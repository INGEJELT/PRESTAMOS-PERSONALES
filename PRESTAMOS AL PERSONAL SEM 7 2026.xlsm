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siste\Downloads\"/>
    </mc:Choice>
  </mc:AlternateContent>
  <xr:revisionPtr revIDLastSave="0" documentId="13_ncr:1_{F18365CC-26D8-45EE-A4B1-A99EA7E6AC0D}" xr6:coauthVersionLast="47" xr6:coauthVersionMax="47" xr10:uidLastSave="{00000000-0000-0000-0000-000000000000}"/>
  <bookViews>
    <workbookView xWindow="-120" yWindow="-120" windowWidth="29040" windowHeight="15720" tabRatio="714" firstSheet="4" activeTab="6" xr2:uid="{00000000-000D-0000-FFFF-FFFF00000000}"/>
  </bookViews>
  <sheets>
    <sheet name="INSTRUCTIVO" sheetId="30" r:id="rId1"/>
    <sheet name="PRESTAMOS AL PERSONAL " sheetId="1" r:id="rId2"/>
    <sheet name="POR EMPLEADO" sheetId="2" r:id="rId3"/>
    <sheet name="SALDOS INICIALES" sheetId="71" r:id="rId4"/>
    <sheet name="POR SEMANA" sheetId="74" r:id="rId5"/>
    <sheet name="CALENDARIO" sheetId="20" r:id="rId6"/>
    <sheet name="01 SEMANA " sheetId="61" r:id="rId7"/>
    <sheet name="02 SEMANA" sheetId="62" r:id="rId8"/>
    <sheet name="03 SEMANA" sheetId="60" r:id="rId9"/>
    <sheet name="04 SEMANA" sheetId="59" r:id="rId10"/>
    <sheet name="05 SEMANA" sheetId="58" r:id="rId11"/>
    <sheet name="06 SEMANA" sheetId="56" r:id="rId12"/>
    <sheet name="07 SEMANA" sheetId="57" r:id="rId13"/>
    <sheet name="08 SEMANA" sheetId="55" r:id="rId14"/>
    <sheet name="09 SEMANA" sheetId="54" r:id="rId15"/>
    <sheet name="10 SEMANA " sheetId="53" r:id="rId16"/>
    <sheet name="11 SEMANA" sheetId="52" r:id="rId17"/>
    <sheet name="12 SEMANA" sheetId="51" r:id="rId18"/>
    <sheet name="13 SEMANA" sheetId="50" r:id="rId19"/>
    <sheet name="14 SEMANA " sheetId="49" r:id="rId20"/>
    <sheet name="15 SEMANA" sheetId="48" r:id="rId21"/>
    <sheet name="16 SEMANA " sheetId="47" r:id="rId22"/>
    <sheet name="17 SEMANA " sheetId="46" r:id="rId23"/>
    <sheet name="18 SEMANA " sheetId="45" r:id="rId24"/>
    <sheet name="19 SEMANA " sheetId="44" r:id="rId25"/>
    <sheet name="20 SEMANA" sheetId="43" r:id="rId26"/>
    <sheet name="21 SEMANA" sheetId="42" r:id="rId27"/>
    <sheet name="22 SEMANA" sheetId="41" r:id="rId28"/>
    <sheet name="23 SEMANA " sheetId="40" r:id="rId29"/>
    <sheet name="24 SEMANA " sheetId="39" r:id="rId30"/>
    <sheet name="25 SEMANA " sheetId="38" r:id="rId31"/>
    <sheet name="26 SEMANA" sheetId="37" r:id="rId32"/>
    <sheet name="27 SEMANA" sheetId="34" r:id="rId33"/>
    <sheet name="28 SEMANA " sheetId="33" r:id="rId34"/>
    <sheet name="29 SEMANA " sheetId="36" r:id="rId35"/>
    <sheet name="30 SEMANA " sheetId="35" r:id="rId36"/>
    <sheet name="31 SEMANA " sheetId="32" r:id="rId37"/>
    <sheet name="32 SEMANA " sheetId="31" r:id="rId38"/>
    <sheet name="33 SEMANA " sheetId="17" r:id="rId39"/>
    <sheet name="34 SEMANA" sheetId="5" r:id="rId40"/>
    <sheet name="35 SEMANA " sheetId="10" r:id="rId41"/>
    <sheet name="36 SEMANA " sheetId="18" r:id="rId42"/>
    <sheet name="37 SEMANA" sheetId="72" r:id="rId43"/>
    <sheet name="38 SEMANA" sheetId="12" r:id="rId44"/>
    <sheet name="39 SEMANA" sheetId="19" r:id="rId45"/>
    <sheet name="40 SEMANA" sheetId="13" r:id="rId46"/>
    <sheet name="41 SEMANA" sheetId="9" r:id="rId47"/>
    <sheet name="42 SEMANA " sheetId="14" r:id="rId48"/>
    <sheet name="43 SEMANA " sheetId="16" r:id="rId49"/>
    <sheet name="44 SEMANA" sheetId="21" r:id="rId50"/>
    <sheet name="45 SEMANA" sheetId="22" r:id="rId51"/>
    <sheet name="46 SEMANA " sheetId="23" r:id="rId52"/>
    <sheet name="47 SEMANA " sheetId="24" r:id="rId53"/>
    <sheet name="48 SEMANA " sheetId="25" r:id="rId54"/>
    <sheet name="49 SEMANA" sheetId="26" r:id="rId55"/>
    <sheet name="50 SEMANA" sheetId="27" r:id="rId56"/>
    <sheet name="51 SEMANA" sheetId="28" r:id="rId57"/>
    <sheet name="52 SEMANA " sheetId="29" r:id="rId58"/>
  </sheets>
  <externalReferences>
    <externalReference r:id="rId59"/>
  </externalReferences>
  <definedNames>
    <definedName name="_xlnm._FilterDatabase" localSheetId="6" hidden="1">'01 SEMANA '!$A$8:$R$8</definedName>
    <definedName name="_xlnm._FilterDatabase" localSheetId="7" hidden="1">'02 SEMANA'!$A$8:$R$8</definedName>
    <definedName name="_xlnm._FilterDatabase" localSheetId="8" hidden="1">'03 SEMANA'!$A$8:$X$8</definedName>
    <definedName name="_xlnm._FilterDatabase" localSheetId="9" hidden="1">'04 SEMANA'!$A$8:$AB$8</definedName>
    <definedName name="_xlnm._FilterDatabase" localSheetId="10" hidden="1">'05 SEMANA'!$A$8:$R$8</definedName>
    <definedName name="_xlnm._FilterDatabase" localSheetId="11" hidden="1">'06 SEMANA'!$A$8:$R$8</definedName>
    <definedName name="_xlnm._FilterDatabase" localSheetId="12" hidden="1">'07 SEMANA'!$A$8:$X$8</definedName>
    <definedName name="_xlnm._FilterDatabase" localSheetId="13" hidden="1">'08 SEMANA'!$A$8:$T$8</definedName>
    <definedName name="_xlnm._FilterDatabase" localSheetId="14" hidden="1">'09 SEMANA'!$A$8:$U$8</definedName>
    <definedName name="_xlnm._FilterDatabase" localSheetId="15" hidden="1">'10 SEMANA '!$A$8:$U$8</definedName>
    <definedName name="_xlnm._FilterDatabase" localSheetId="16" hidden="1">'11 SEMANA'!$A$8:$R$8</definedName>
    <definedName name="_xlnm._FilterDatabase" localSheetId="17" hidden="1">'12 SEMANA'!$A$8:$W$8</definedName>
    <definedName name="_xlnm._FilterDatabase" localSheetId="18" hidden="1">'13 SEMANA'!$A$8:$AB$8</definedName>
    <definedName name="_xlnm._FilterDatabase" localSheetId="19" hidden="1">'14 SEMANA '!$A$8:$U$8</definedName>
    <definedName name="_xlnm._FilterDatabase" localSheetId="20" hidden="1">'15 SEMANA'!$A$8:$R$8</definedName>
    <definedName name="_xlnm._FilterDatabase" localSheetId="21" hidden="1">'16 SEMANA '!$A$8:$U$8</definedName>
    <definedName name="_xlnm._FilterDatabase" localSheetId="22" hidden="1">'17 SEMANA '!$A$8:$U$8</definedName>
    <definedName name="_xlnm._FilterDatabase" localSheetId="23" hidden="1">'18 SEMANA '!$A$8:$T$8</definedName>
    <definedName name="_xlnm._FilterDatabase" localSheetId="24" hidden="1">'19 SEMANA '!$A$8:$Q$8</definedName>
    <definedName name="_xlnm._FilterDatabase" localSheetId="25" hidden="1">'20 SEMANA'!$A$8:$AC$8</definedName>
    <definedName name="_xlnm._FilterDatabase" localSheetId="26" hidden="1">'21 SEMANA'!$A$8:$U$8</definedName>
    <definedName name="_xlnm._FilterDatabase" localSheetId="28" hidden="1">'23 SEMANA '!$A$8:$S$8</definedName>
    <definedName name="_xlnm._FilterDatabase" localSheetId="29" hidden="1">'24 SEMANA '!$A$8:$V$8</definedName>
    <definedName name="_xlnm._FilterDatabase" localSheetId="30" hidden="1">'25 SEMANA '!$A$8:$U$8</definedName>
    <definedName name="_xlnm._FilterDatabase" localSheetId="31" hidden="1">'26 SEMANA'!$A$8:$T$8</definedName>
    <definedName name="_xlnm._FilterDatabase" localSheetId="32" hidden="1">'27 SEMANA'!$A$8:$X$8</definedName>
    <definedName name="_xlnm._FilterDatabase" localSheetId="33" hidden="1">'28 SEMANA '!$A$8:$R$8</definedName>
    <definedName name="_xlnm._FilterDatabase" localSheetId="34" hidden="1">'29 SEMANA '!$A$8:$V$8</definedName>
    <definedName name="_xlnm._FilterDatabase" localSheetId="35" hidden="1">'30 SEMANA '!$A$8:$S$8</definedName>
    <definedName name="_xlnm._FilterDatabase" localSheetId="36" hidden="1">'31 SEMANA '!$A$8:$R$8</definedName>
    <definedName name="_xlnm._FilterDatabase" localSheetId="37" hidden="1">'32 SEMANA '!$A$8:$V$8</definedName>
    <definedName name="_xlnm._FilterDatabase" localSheetId="38" hidden="1">'33 SEMANA '!$A$8:$Y$8</definedName>
    <definedName name="_xlnm._FilterDatabase" localSheetId="39" hidden="1">'34 SEMANA'!$A$8:$V$8</definedName>
    <definedName name="_xlnm._FilterDatabase" localSheetId="40" hidden="1">'35 SEMANA '!$A$8:$T$8</definedName>
    <definedName name="_xlnm._FilterDatabase" localSheetId="41" hidden="1">'36 SEMANA '!$A$8:$Q$8</definedName>
    <definedName name="_xlnm._FilterDatabase" localSheetId="42" hidden="1">'37 SEMANA'!$A$8:$R$8</definedName>
    <definedName name="_xlnm._FilterDatabase" localSheetId="43" hidden="1">'38 SEMANA'!$A$8:$R$8</definedName>
    <definedName name="_xlnm._FilterDatabase" localSheetId="44" hidden="1">'39 SEMANA'!$A$8:$R$8</definedName>
    <definedName name="_xlnm._FilterDatabase" localSheetId="45" hidden="1">'40 SEMANA'!$A$8:$Q$8</definedName>
    <definedName name="_xlnm._FilterDatabase" localSheetId="46" hidden="1">'41 SEMANA'!$A$8:$Q$8</definedName>
    <definedName name="_xlnm._FilterDatabase" localSheetId="47" hidden="1">'42 SEMANA '!$A$8:$Q$8</definedName>
    <definedName name="_xlnm._FilterDatabase" localSheetId="48" hidden="1">'43 SEMANA '!$A$8:$P$8</definedName>
    <definedName name="_xlnm._FilterDatabase" localSheetId="49" hidden="1">'44 SEMANA'!$A$8:$N$8</definedName>
    <definedName name="_xlnm._FilterDatabase" localSheetId="50" hidden="1">'45 SEMANA'!$A$8:$M$8</definedName>
    <definedName name="_xlnm._FilterDatabase" localSheetId="51" hidden="1">'46 SEMANA '!$A$8:$L$8</definedName>
    <definedName name="_xlnm._FilterDatabase" localSheetId="52" hidden="1">'47 SEMANA '!$A$8:$L$8</definedName>
    <definedName name="_xlnm._FilterDatabase" localSheetId="53" hidden="1">'48 SEMANA '!$A$8:$L$8</definedName>
    <definedName name="_xlnm._FilterDatabase" localSheetId="54" hidden="1">'49 SEMANA'!$A$8:$M$8</definedName>
    <definedName name="_xlnm._FilterDatabase" localSheetId="55" hidden="1">'50 SEMANA'!$A$8:$M$8</definedName>
    <definedName name="_xlnm._FilterDatabase" localSheetId="56" hidden="1">'51 SEMANA'!$A$8:$M$8</definedName>
    <definedName name="_xlnm._FilterDatabase" localSheetId="57" hidden="1">'52 SEMANA '!$A$8:$M$8</definedName>
    <definedName name="_xlnm._FilterDatabase" localSheetId="2" hidden="1">'POR EMPLEADO'!$A$8:$J$357</definedName>
    <definedName name="_xlnm._FilterDatabase" localSheetId="4" hidden="1">'POR SEMANA'!$A$8:$BD$8</definedName>
    <definedName name="_xlnm._FilterDatabase" localSheetId="1" hidden="1">'PRESTAMOS AL PERSONAL '!$B$5:$I$59</definedName>
    <definedName name="_xlnm._FilterDatabase" localSheetId="3" hidden="1">'SALDOS INICIALES'!$A$8:$V$8</definedName>
    <definedName name="_xleta.ISOWEEKNUM" hidden="1" xlm="1">#NAME?</definedName>
    <definedName name="_xleta.SUM" hidden="1" xlm="1">#NAME?</definedName>
    <definedName name="_xlnm.Print_Area" localSheetId="1">'PRESTAMOS AL PERSONAL '!$A$1:$J$68</definedName>
    <definedName name="DiasCategorias">[1]Diario!$F$2:$F$367</definedName>
    <definedName name="FechaInicio">[1]Completo!$B$1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61" l="1"/>
  <c r="J23" i="61"/>
  <c r="J22" i="61"/>
  <c r="R9" i="61"/>
  <c r="Q20" i="61"/>
  <c r="Q10" i="61"/>
  <c r="Q11" i="61"/>
  <c r="Q12" i="61"/>
  <c r="R12" i="61" s="1"/>
  <c r="Q13" i="61"/>
  <c r="R13" i="61" s="1"/>
  <c r="Q14" i="61"/>
  <c r="Q15" i="61"/>
  <c r="Q16" i="61"/>
  <c r="Q17" i="61"/>
  <c r="R17" i="61" s="1"/>
  <c r="Q18" i="61"/>
  <c r="Q19" i="61"/>
  <c r="Q9" i="61"/>
  <c r="R10" i="61"/>
  <c r="R11" i="61"/>
  <c r="H14" i="2"/>
  <c r="R15" i="61"/>
  <c r="R16" i="61"/>
  <c r="R18" i="61"/>
  <c r="R19" i="61"/>
  <c r="H28" i="2"/>
  <c r="X14" i="60"/>
  <c r="X15" i="60"/>
  <c r="X16" i="60"/>
  <c r="X17" i="60"/>
  <c r="X18" i="60"/>
  <c r="X19" i="60"/>
  <c r="X20" i="60"/>
  <c r="W10" i="60"/>
  <c r="H24" i="2" s="1"/>
  <c r="W11" i="60"/>
  <c r="H25" i="2" s="1"/>
  <c r="W12" i="60"/>
  <c r="H26" i="2" s="1"/>
  <c r="W13" i="60"/>
  <c r="H27" i="2" s="1"/>
  <c r="W14" i="60"/>
  <c r="W15" i="60"/>
  <c r="W16" i="60"/>
  <c r="W17" i="60"/>
  <c r="W18" i="60"/>
  <c r="W19" i="60"/>
  <c r="W20" i="60"/>
  <c r="W9" i="60"/>
  <c r="X9" i="60" s="1"/>
  <c r="D30" i="74"/>
  <c r="D31" i="74"/>
  <c r="D32" i="74"/>
  <c r="D33" i="74"/>
  <c r="D34" i="74"/>
  <c r="D35" i="74"/>
  <c r="C30" i="74"/>
  <c r="C31" i="74"/>
  <c r="C32" i="74"/>
  <c r="C33" i="74"/>
  <c r="C34" i="74"/>
  <c r="C35" i="74"/>
  <c r="B30" i="74"/>
  <c r="B31" i="74"/>
  <c r="B32" i="74"/>
  <c r="B33" i="74"/>
  <c r="B34" i="74"/>
  <c r="B35" i="74"/>
  <c r="A30" i="74"/>
  <c r="A31" i="74"/>
  <c r="A32" i="74"/>
  <c r="A33" i="74"/>
  <c r="A34" i="74"/>
  <c r="A35" i="74"/>
  <c r="D29" i="74"/>
  <c r="C29" i="74"/>
  <c r="B29" i="74"/>
  <c r="A29" i="74"/>
  <c r="D24" i="74"/>
  <c r="D25" i="74"/>
  <c r="D26" i="74"/>
  <c r="D27" i="74"/>
  <c r="D28" i="74"/>
  <c r="C24" i="74"/>
  <c r="C25" i="74"/>
  <c r="C26" i="74"/>
  <c r="C27" i="74"/>
  <c r="C28" i="74"/>
  <c r="B24" i="74"/>
  <c r="B25" i="74"/>
  <c r="B26" i="74"/>
  <c r="B27" i="74"/>
  <c r="B28" i="74"/>
  <c r="A24" i="74"/>
  <c r="A25" i="74"/>
  <c r="A26" i="74"/>
  <c r="A27" i="74"/>
  <c r="A28" i="74"/>
  <c r="D23" i="74"/>
  <c r="C23" i="74"/>
  <c r="B23" i="74"/>
  <c r="A23" i="74"/>
  <c r="D17" i="74"/>
  <c r="D18" i="74"/>
  <c r="D19" i="74"/>
  <c r="D20" i="74"/>
  <c r="D21" i="74"/>
  <c r="D22" i="74"/>
  <c r="C17" i="74"/>
  <c r="C18" i="74"/>
  <c r="C19" i="74"/>
  <c r="C20" i="74"/>
  <c r="C21" i="74"/>
  <c r="C22" i="74"/>
  <c r="B17" i="74"/>
  <c r="B18" i="74"/>
  <c r="B19" i="74"/>
  <c r="B20" i="74"/>
  <c r="B21" i="74"/>
  <c r="B22" i="74"/>
  <c r="A17" i="74"/>
  <c r="A18" i="74"/>
  <c r="A19" i="74"/>
  <c r="A20" i="74"/>
  <c r="A21" i="74"/>
  <c r="A22" i="74"/>
  <c r="D16" i="74"/>
  <c r="C16" i="74"/>
  <c r="B16" i="74"/>
  <c r="A16" i="74"/>
  <c r="D10" i="74"/>
  <c r="D11" i="74"/>
  <c r="D12" i="74"/>
  <c r="D13" i="74"/>
  <c r="D14" i="74"/>
  <c r="D15" i="74"/>
  <c r="C10" i="74"/>
  <c r="C11" i="74"/>
  <c r="C12" i="74"/>
  <c r="C13" i="74"/>
  <c r="C14" i="74"/>
  <c r="C15" i="74"/>
  <c r="B10" i="74"/>
  <c r="B11" i="74"/>
  <c r="B12" i="74"/>
  <c r="B13" i="74"/>
  <c r="B14" i="74"/>
  <c r="B15" i="74"/>
  <c r="A10" i="74"/>
  <c r="A11" i="74"/>
  <c r="A12" i="74"/>
  <c r="A13" i="74"/>
  <c r="A14" i="74"/>
  <c r="A15" i="74"/>
  <c r="D9" i="74"/>
  <c r="C9" i="74"/>
  <c r="B9" i="74"/>
  <c r="A9" i="74"/>
  <c r="E20" i="62"/>
  <c r="E21" i="60"/>
  <c r="F30" i="2"/>
  <c r="F31" i="2"/>
  <c r="F32" i="2"/>
  <c r="F33" i="2"/>
  <c r="F34" i="2"/>
  <c r="F35" i="2"/>
  <c r="E30" i="2"/>
  <c r="E32" i="2"/>
  <c r="E33" i="2"/>
  <c r="E34" i="2"/>
  <c r="E35" i="2"/>
  <c r="D30" i="2"/>
  <c r="D31" i="2"/>
  <c r="D32" i="2"/>
  <c r="D33" i="2"/>
  <c r="D34" i="2"/>
  <c r="D35" i="2"/>
  <c r="C30" i="2"/>
  <c r="C31" i="2"/>
  <c r="C32" i="2"/>
  <c r="C33" i="2"/>
  <c r="C34" i="2"/>
  <c r="C35" i="2"/>
  <c r="B30" i="2"/>
  <c r="B31" i="2"/>
  <c r="B32" i="2"/>
  <c r="B33" i="2"/>
  <c r="B34" i="2"/>
  <c r="B35" i="2"/>
  <c r="A30" i="2"/>
  <c r="A31" i="2"/>
  <c r="E31" i="2" s="1"/>
  <c r="A32" i="2"/>
  <c r="A33" i="2"/>
  <c r="A34" i="2"/>
  <c r="A35" i="2"/>
  <c r="F29" i="2"/>
  <c r="D29" i="2"/>
  <c r="C29" i="2"/>
  <c r="B29" i="2"/>
  <c r="A29" i="2"/>
  <c r="F24" i="2"/>
  <c r="F25" i="2"/>
  <c r="F26" i="2"/>
  <c r="F27" i="2"/>
  <c r="F28" i="2"/>
  <c r="E24" i="2"/>
  <c r="E25" i="2"/>
  <c r="E26" i="2"/>
  <c r="E27" i="2"/>
  <c r="E28" i="2"/>
  <c r="D24" i="2"/>
  <c r="D25" i="2"/>
  <c r="D26" i="2"/>
  <c r="D27" i="2"/>
  <c r="D28" i="2"/>
  <c r="C24" i="2"/>
  <c r="C25" i="2"/>
  <c r="C26" i="2"/>
  <c r="C27" i="2"/>
  <c r="C28" i="2"/>
  <c r="B24" i="2"/>
  <c r="B25" i="2"/>
  <c r="B26" i="2"/>
  <c r="B27" i="2"/>
  <c r="B28" i="2"/>
  <c r="A24" i="2"/>
  <c r="A25" i="2"/>
  <c r="A26" i="2"/>
  <c r="A27" i="2"/>
  <c r="A28" i="2"/>
  <c r="F23" i="2"/>
  <c r="D23" i="2"/>
  <c r="C23" i="2"/>
  <c r="B23" i="2"/>
  <c r="A23" i="2"/>
  <c r="C17" i="2"/>
  <c r="C18" i="2"/>
  <c r="C19" i="2"/>
  <c r="C20" i="2"/>
  <c r="C21" i="2"/>
  <c r="C22" i="2"/>
  <c r="F17" i="2"/>
  <c r="F18" i="2"/>
  <c r="F19" i="2"/>
  <c r="F20" i="2"/>
  <c r="F21" i="2"/>
  <c r="F22" i="2"/>
  <c r="F16" i="2"/>
  <c r="B17" i="2"/>
  <c r="B18" i="2"/>
  <c r="B19" i="2"/>
  <c r="B20" i="2"/>
  <c r="B21" i="2"/>
  <c r="B22" i="2"/>
  <c r="A17" i="2"/>
  <c r="A18" i="2"/>
  <c r="A19" i="2"/>
  <c r="A20" i="2"/>
  <c r="A21" i="2"/>
  <c r="A22" i="2"/>
  <c r="D16" i="2"/>
  <c r="C16" i="2"/>
  <c r="B16" i="2"/>
  <c r="A16" i="2"/>
  <c r="F10" i="2"/>
  <c r="F11" i="2"/>
  <c r="F12" i="2"/>
  <c r="F13" i="2"/>
  <c r="F14" i="2"/>
  <c r="F15" i="2"/>
  <c r="F9" i="2"/>
  <c r="E12" i="2"/>
  <c r="D10" i="2"/>
  <c r="D11" i="2"/>
  <c r="D12" i="2"/>
  <c r="D13" i="2"/>
  <c r="D14" i="2"/>
  <c r="D15" i="2"/>
  <c r="C10" i="2"/>
  <c r="C11" i="2"/>
  <c r="C12" i="2"/>
  <c r="C13" i="2"/>
  <c r="C14" i="2"/>
  <c r="C15" i="2"/>
  <c r="B10" i="2"/>
  <c r="B11" i="2"/>
  <c r="B12" i="2"/>
  <c r="B13" i="2"/>
  <c r="B14" i="2"/>
  <c r="B15" i="2"/>
  <c r="D9" i="2"/>
  <c r="C9"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9" i="2"/>
  <c r="A10" i="2"/>
  <c r="E10" i="2" s="1"/>
  <c r="A11" i="2"/>
  <c r="E11" i="2" s="1"/>
  <c r="A12" i="2"/>
  <c r="A13" i="2"/>
  <c r="E13" i="2" s="1"/>
  <c r="A9" i="2"/>
  <c r="S9" i="62"/>
  <c r="Y9" i="60"/>
  <c r="AC9" i="59"/>
  <c r="AB12" i="59"/>
  <c r="AB13" i="59"/>
  <c r="AB14" i="59"/>
  <c r="AB15" i="59"/>
  <c r="AB16" i="59"/>
  <c r="AB17" i="59"/>
  <c r="AB18" i="59"/>
  <c r="AB19" i="59"/>
  <c r="R10" i="62"/>
  <c r="R11" i="62"/>
  <c r="R12" i="62"/>
  <c r="R13" i="62"/>
  <c r="R14" i="62"/>
  <c r="R15" i="62"/>
  <c r="R16" i="62"/>
  <c r="R17" i="62"/>
  <c r="R18" i="62"/>
  <c r="R19" i="62"/>
  <c r="H10" i="2"/>
  <c r="Q10" i="62"/>
  <c r="Q11" i="62"/>
  <c r="Q12" i="62"/>
  <c r="Q13" i="62"/>
  <c r="Q14" i="62"/>
  <c r="Q15" i="62"/>
  <c r="Q16" i="62"/>
  <c r="Q17" i="62"/>
  <c r="Q18" i="62"/>
  <c r="Q19" i="62"/>
  <c r="Q9" i="62"/>
  <c r="R9" i="62" s="1"/>
  <c r="Q10" i="19"/>
  <c r="Q11" i="19"/>
  <c r="Q12" i="19"/>
  <c r="R12" i="19" s="1"/>
  <c r="Q13" i="19"/>
  <c r="Q14" i="19"/>
  <c r="Q15" i="19"/>
  <c r="Q16" i="19"/>
  <c r="Q17" i="19"/>
  <c r="Q18" i="19"/>
  <c r="Q9" i="19"/>
  <c r="Q10" i="12"/>
  <c r="H239" i="2" s="1"/>
  <c r="Q11" i="12"/>
  <c r="H240" i="2" s="1"/>
  <c r="Q12" i="12"/>
  <c r="Q13" i="12"/>
  <c r="Q14" i="12"/>
  <c r="Q15" i="12"/>
  <c r="Q16" i="12"/>
  <c r="Q17" i="12"/>
  <c r="Q18" i="12"/>
  <c r="Q9" i="12"/>
  <c r="U10" i="36"/>
  <c r="H185" i="2" s="1"/>
  <c r="U11" i="36"/>
  <c r="V11" i="36" s="1"/>
  <c r="U12" i="36"/>
  <c r="V12" i="36" s="1"/>
  <c r="U13" i="36"/>
  <c r="V13" i="36" s="1"/>
  <c r="U14" i="36"/>
  <c r="H189" i="2" s="1"/>
  <c r="U15" i="36"/>
  <c r="V15" i="36" s="1"/>
  <c r="U16" i="36"/>
  <c r="V16" i="36" s="1"/>
  <c r="U17" i="36"/>
  <c r="V17" i="36" s="1"/>
  <c r="U18" i="36"/>
  <c r="U19" i="36"/>
  <c r="U9" i="36"/>
  <c r="V9" i="36" s="1"/>
  <c r="Q10" i="33"/>
  <c r="H179" i="2" s="1"/>
  <c r="Q11" i="33"/>
  <c r="Q12" i="33"/>
  <c r="Q13" i="33"/>
  <c r="Q14" i="33"/>
  <c r="Q15" i="33"/>
  <c r="R15" i="33" s="1"/>
  <c r="Q16" i="33"/>
  <c r="Q17" i="33"/>
  <c r="Q18" i="33"/>
  <c r="Q19" i="33"/>
  <c r="Q9" i="33"/>
  <c r="AA10" i="50"/>
  <c r="AA11" i="50"/>
  <c r="AA12" i="50"/>
  <c r="AA13" i="50"/>
  <c r="H88" i="2" s="1"/>
  <c r="AA14" i="50"/>
  <c r="AB14" i="50" s="1"/>
  <c r="AA15" i="50"/>
  <c r="AA16" i="50"/>
  <c r="AA17" i="50"/>
  <c r="AA18" i="50"/>
  <c r="AB18" i="50" s="1"/>
  <c r="AA19" i="50"/>
  <c r="AA9" i="50"/>
  <c r="AB9" i="50" s="1"/>
  <c r="Q10" i="48"/>
  <c r="R10" i="48" s="1"/>
  <c r="Q11" i="48"/>
  <c r="Q12" i="48"/>
  <c r="Q13" i="48"/>
  <c r="Q14" i="48"/>
  <c r="Q15" i="48"/>
  <c r="Q16" i="48"/>
  <c r="Q17" i="48"/>
  <c r="Q18" i="48"/>
  <c r="Q19" i="48"/>
  <c r="R19" i="48" s="1"/>
  <c r="Q9" i="48"/>
  <c r="T10" i="49"/>
  <c r="U10" i="49" s="1"/>
  <c r="T11" i="49"/>
  <c r="H92" i="2" s="1"/>
  <c r="T12" i="49"/>
  <c r="T13" i="49"/>
  <c r="T14" i="49"/>
  <c r="H95" i="2" s="1"/>
  <c r="T15" i="49"/>
  <c r="H96" i="2" s="1"/>
  <c r="T16" i="49"/>
  <c r="T17" i="49"/>
  <c r="T18" i="49"/>
  <c r="T19" i="49"/>
  <c r="T9" i="49"/>
  <c r="U9" i="49" s="1"/>
  <c r="H85" i="2"/>
  <c r="H86" i="2"/>
  <c r="V10" i="51"/>
  <c r="H79" i="2" s="1"/>
  <c r="V11" i="51"/>
  <c r="W11" i="51" s="1"/>
  <c r="V12" i="51"/>
  <c r="V13" i="51"/>
  <c r="V14" i="51"/>
  <c r="V15" i="51"/>
  <c r="V16" i="51"/>
  <c r="V17" i="51"/>
  <c r="V18" i="51"/>
  <c r="V19" i="51"/>
  <c r="V9" i="51"/>
  <c r="H78" i="2" s="1"/>
  <c r="S10" i="55"/>
  <c r="S11" i="55"/>
  <c r="H56" i="2" s="1"/>
  <c r="S12" i="55"/>
  <c r="T12" i="55" s="1"/>
  <c r="S13" i="55"/>
  <c r="S14" i="55"/>
  <c r="S15" i="55"/>
  <c r="S16" i="55"/>
  <c r="S17" i="55"/>
  <c r="S18" i="55"/>
  <c r="S19" i="55"/>
  <c r="S9" i="55"/>
  <c r="AA11" i="59"/>
  <c r="H31" i="2" s="1"/>
  <c r="AA12" i="59"/>
  <c r="AA13" i="59"/>
  <c r="AA14" i="59"/>
  <c r="AA15" i="59"/>
  <c r="AA16" i="59"/>
  <c r="AA17" i="59"/>
  <c r="AA18" i="59"/>
  <c r="AA19" i="59"/>
  <c r="AA10" i="59"/>
  <c r="AB10" i="59" s="1"/>
  <c r="F96" i="2"/>
  <c r="E96" i="2"/>
  <c r="D96" i="2"/>
  <c r="C96" i="2"/>
  <c r="A96" i="2"/>
  <c r="J96" i="2" s="1"/>
  <c r="D98" i="2"/>
  <c r="D99" i="2"/>
  <c r="D97" i="2"/>
  <c r="D91" i="2"/>
  <c r="D92" i="2"/>
  <c r="D93" i="2"/>
  <c r="D94" i="2"/>
  <c r="D95" i="2"/>
  <c r="D90" i="2"/>
  <c r="D85" i="2"/>
  <c r="D86" i="2"/>
  <c r="D87" i="2"/>
  <c r="D88" i="2"/>
  <c r="D89" i="2"/>
  <c r="D84" i="2"/>
  <c r="D79" i="2"/>
  <c r="D80" i="2"/>
  <c r="D81" i="2"/>
  <c r="D82" i="2"/>
  <c r="D83" i="2"/>
  <c r="D78" i="2"/>
  <c r="D73" i="2"/>
  <c r="D74" i="2"/>
  <c r="D75" i="2"/>
  <c r="D76" i="2"/>
  <c r="D77" i="2"/>
  <c r="D72" i="2"/>
  <c r="D67" i="2"/>
  <c r="D68" i="2"/>
  <c r="D69" i="2"/>
  <c r="D70" i="2"/>
  <c r="D71" i="2"/>
  <c r="D66" i="2"/>
  <c r="D61" i="2"/>
  <c r="D62" i="2"/>
  <c r="D63" i="2"/>
  <c r="D64" i="2"/>
  <c r="D60" i="2"/>
  <c r="D55" i="2"/>
  <c r="D56" i="2"/>
  <c r="D57" i="2"/>
  <c r="D54" i="2"/>
  <c r="D52" i="2"/>
  <c r="D53" i="2"/>
  <c r="D49" i="2"/>
  <c r="D50" i="2"/>
  <c r="D51" i="2"/>
  <c r="D48" i="2"/>
  <c r="D43" i="2"/>
  <c r="D44" i="2"/>
  <c r="D45" i="2"/>
  <c r="D42" i="2"/>
  <c r="L358" i="2"/>
  <c r="M358" i="2" s="1"/>
  <c r="L359" i="2"/>
  <c r="M359" i="2" s="1"/>
  <c r="L360" i="2"/>
  <c r="M360" i="2" s="1"/>
  <c r="H357" i="2"/>
  <c r="F357" i="2"/>
  <c r="I357" i="2" s="1"/>
  <c r="F358" i="2"/>
  <c r="I358" i="2" s="1"/>
  <c r="F359" i="2"/>
  <c r="F360" i="2"/>
  <c r="D357" i="2"/>
  <c r="D358" i="2"/>
  <c r="D359" i="2"/>
  <c r="D360" i="2"/>
  <c r="C357" i="2"/>
  <c r="C358" i="2"/>
  <c r="C359" i="2"/>
  <c r="C360" i="2"/>
  <c r="B357" i="2"/>
  <c r="B358" i="2"/>
  <c r="B359" i="2"/>
  <c r="B360" i="2"/>
  <c r="A357" i="2"/>
  <c r="A358" i="2"/>
  <c r="K358" i="2" s="1"/>
  <c r="A359" i="2"/>
  <c r="K359" i="2" s="1"/>
  <c r="A360" i="2"/>
  <c r="K360" i="2" s="1"/>
  <c r="U38" i="71"/>
  <c r="T38" i="71"/>
  <c r="T39" i="71"/>
  <c r="H358" i="2" s="1"/>
  <c r="T40" i="71"/>
  <c r="H359" i="2" s="1"/>
  <c r="T41" i="71"/>
  <c r="U41" i="71" s="1"/>
  <c r="T9" i="71"/>
  <c r="U9" i="71" s="1"/>
  <c r="T10" i="71"/>
  <c r="U10" i="71" s="1"/>
  <c r="T11" i="71"/>
  <c r="U11" i="71" s="1"/>
  <c r="T12" i="71"/>
  <c r="T13" i="71"/>
  <c r="H332" i="2" s="1"/>
  <c r="T14" i="71"/>
  <c r="H333" i="2" s="1"/>
  <c r="T15" i="71"/>
  <c r="H334" i="2" s="1"/>
  <c r="T16" i="71"/>
  <c r="U16" i="71" s="1"/>
  <c r="T17" i="71"/>
  <c r="H336" i="2" s="1"/>
  <c r="T18" i="71"/>
  <c r="U18" i="71" s="1"/>
  <c r="T19" i="71"/>
  <c r="H338" i="2" s="1"/>
  <c r="T20" i="71"/>
  <c r="U20" i="71" s="1"/>
  <c r="T21" i="71"/>
  <c r="U21" i="71" s="1"/>
  <c r="T22" i="71"/>
  <c r="U22" i="71" s="1"/>
  <c r="T23" i="71"/>
  <c r="U23" i="71" s="1"/>
  <c r="T24" i="71"/>
  <c r="H343" i="2" s="1"/>
  <c r="T25" i="71"/>
  <c r="H344" i="2" s="1"/>
  <c r="T26" i="71"/>
  <c r="U26" i="71" s="1"/>
  <c r="T27" i="71"/>
  <c r="H346" i="2" s="1"/>
  <c r="T28" i="71"/>
  <c r="U28" i="71" s="1"/>
  <c r="T29" i="71"/>
  <c r="U29" i="71" s="1"/>
  <c r="T30" i="71"/>
  <c r="U30" i="71" s="1"/>
  <c r="T31" i="71"/>
  <c r="H350" i="2" s="1"/>
  <c r="T32" i="71"/>
  <c r="U32" i="71" s="1"/>
  <c r="T33" i="71"/>
  <c r="U33" i="71" s="1"/>
  <c r="T34" i="71"/>
  <c r="U34" i="71" s="1"/>
  <c r="T35" i="71"/>
  <c r="U35" i="71" s="1"/>
  <c r="T36" i="71"/>
  <c r="H355" i="2" s="1"/>
  <c r="T37" i="71"/>
  <c r="H356" i="2" s="1"/>
  <c r="E42" i="71"/>
  <c r="J44" i="71" s="1"/>
  <c r="M10" i="21"/>
  <c r="M11" i="21"/>
  <c r="M12" i="21"/>
  <c r="M13" i="21"/>
  <c r="M14" i="21"/>
  <c r="M15" i="21"/>
  <c r="M16" i="21"/>
  <c r="N16" i="21" s="1"/>
  <c r="M17" i="21"/>
  <c r="N17" i="21" s="1"/>
  <c r="M18" i="21"/>
  <c r="N18" i="21" s="1"/>
  <c r="M19" i="21"/>
  <c r="N19" i="21" s="1"/>
  <c r="M9" i="21"/>
  <c r="Y13" i="17"/>
  <c r="Y15" i="17"/>
  <c r="Y16" i="17"/>
  <c r="Y17" i="17"/>
  <c r="Y18" i="17"/>
  <c r="Y19" i="17"/>
  <c r="X10" i="17"/>
  <c r="H209" i="2" s="1"/>
  <c r="X11" i="17"/>
  <c r="Y11" i="17" s="1"/>
  <c r="X12" i="17"/>
  <c r="Y12" i="17" s="1"/>
  <c r="X13" i="17"/>
  <c r="X14" i="17"/>
  <c r="Y14" i="17" s="1"/>
  <c r="X15" i="17"/>
  <c r="X16" i="17"/>
  <c r="X17" i="17"/>
  <c r="X18" i="17"/>
  <c r="X19" i="17"/>
  <c r="X9" i="17"/>
  <c r="H208" i="2" s="1"/>
  <c r="P10" i="9"/>
  <c r="Q10" i="9" s="1"/>
  <c r="P11" i="9"/>
  <c r="H258" i="2" s="1"/>
  <c r="Q14" i="9"/>
  <c r="Q15" i="9"/>
  <c r="Q16" i="9"/>
  <c r="Q17" i="9"/>
  <c r="Q18" i="9"/>
  <c r="Q19" i="9"/>
  <c r="P12" i="9"/>
  <c r="Q12" i="9" s="1"/>
  <c r="P13" i="9"/>
  <c r="H260" i="2" s="1"/>
  <c r="P14" i="9"/>
  <c r="H261" i="2" s="1"/>
  <c r="P15" i="9"/>
  <c r="P16" i="9"/>
  <c r="P17" i="9"/>
  <c r="P18" i="9"/>
  <c r="P19" i="9"/>
  <c r="P9" i="9"/>
  <c r="Q9" i="9" s="1"/>
  <c r="F294" i="2"/>
  <c r="C294" i="2"/>
  <c r="D294" i="2"/>
  <c r="B294" i="2"/>
  <c r="A294" i="2"/>
  <c r="J294" i="2" s="1"/>
  <c r="A298" i="2"/>
  <c r="E298" i="2" s="1"/>
  <c r="B298" i="2"/>
  <c r="C298" i="2"/>
  <c r="D298" i="2"/>
  <c r="F298" i="2"/>
  <c r="A299" i="2"/>
  <c r="E299" i="2" s="1"/>
  <c r="B299" i="2"/>
  <c r="C299" i="2"/>
  <c r="D299" i="2"/>
  <c r="F299" i="2"/>
  <c r="A300" i="2"/>
  <c r="G300" i="2" s="1"/>
  <c r="B300" i="2"/>
  <c r="C300" i="2"/>
  <c r="D300" i="2"/>
  <c r="F300" i="2"/>
  <c r="H300" i="2"/>
  <c r="L13" i="24"/>
  <c r="L14" i="24"/>
  <c r="L15" i="24"/>
  <c r="L16" i="24"/>
  <c r="L17" i="24"/>
  <c r="L18" i="24"/>
  <c r="L19" i="24"/>
  <c r="L20" i="24"/>
  <c r="K10" i="24"/>
  <c r="L10" i="24" s="1"/>
  <c r="K9" i="24"/>
  <c r="H292" i="2" s="1"/>
  <c r="O10" i="16"/>
  <c r="H269" i="2" s="1"/>
  <c r="O11" i="16"/>
  <c r="H270" i="2" s="1"/>
  <c r="O12" i="16"/>
  <c r="H271" i="2" s="1"/>
  <c r="O13" i="16"/>
  <c r="H272" i="2" s="1"/>
  <c r="O14" i="16"/>
  <c r="H273" i="2" s="1"/>
  <c r="O15" i="16"/>
  <c r="O16" i="16"/>
  <c r="O17" i="16"/>
  <c r="O18" i="16"/>
  <c r="O19" i="16"/>
  <c r="O9" i="16"/>
  <c r="H268" i="2" s="1"/>
  <c r="P10" i="14"/>
  <c r="H263" i="2" s="1"/>
  <c r="P11" i="14"/>
  <c r="H264" i="2" s="1"/>
  <c r="P12" i="14"/>
  <c r="P13" i="14"/>
  <c r="H266" i="2" s="1"/>
  <c r="P14" i="14"/>
  <c r="P15" i="14"/>
  <c r="Q15" i="14" s="1"/>
  <c r="P16" i="14"/>
  <c r="P17" i="14"/>
  <c r="P18" i="14"/>
  <c r="P19" i="14"/>
  <c r="P9" i="14"/>
  <c r="H262" i="2" s="1"/>
  <c r="P10" i="13"/>
  <c r="H251" i="2" s="1"/>
  <c r="P11" i="13"/>
  <c r="P12" i="13"/>
  <c r="H253" i="2" s="1"/>
  <c r="P13" i="13"/>
  <c r="Q13" i="13" s="1"/>
  <c r="P14" i="13"/>
  <c r="P15" i="13"/>
  <c r="Q15" i="13" s="1"/>
  <c r="P16" i="13"/>
  <c r="P17" i="13"/>
  <c r="P18" i="13"/>
  <c r="P19" i="13"/>
  <c r="P9" i="13"/>
  <c r="S10" i="10"/>
  <c r="H221" i="2" s="1"/>
  <c r="S11" i="10"/>
  <c r="H222" i="2" s="1"/>
  <c r="S12" i="10"/>
  <c r="S13" i="10"/>
  <c r="S14" i="10"/>
  <c r="H225" i="2" s="1"/>
  <c r="S15" i="10"/>
  <c r="T15" i="10" s="1"/>
  <c r="S16" i="10"/>
  <c r="S17" i="10"/>
  <c r="S18" i="10"/>
  <c r="S19" i="10"/>
  <c r="T19" i="10" s="1"/>
  <c r="S9" i="10"/>
  <c r="T9" i="10" s="1"/>
  <c r="U11" i="5"/>
  <c r="H216" i="2" s="1"/>
  <c r="U10" i="5"/>
  <c r="H215" i="2" s="1"/>
  <c r="U12" i="5"/>
  <c r="V12" i="5" s="1"/>
  <c r="U13" i="5"/>
  <c r="U14" i="5"/>
  <c r="U15" i="5"/>
  <c r="U16" i="5"/>
  <c r="U17" i="5"/>
  <c r="U18" i="5"/>
  <c r="U19" i="5"/>
  <c r="U9" i="5"/>
  <c r="V9" i="5" s="1"/>
  <c r="Q10" i="72"/>
  <c r="H233" i="2" s="1"/>
  <c r="Q11" i="72"/>
  <c r="H234" i="2" s="1"/>
  <c r="Q12" i="72"/>
  <c r="R12" i="72" s="1"/>
  <c r="Q13" i="72"/>
  <c r="R13" i="72" s="1"/>
  <c r="Q14" i="72"/>
  <c r="R14" i="72" s="1"/>
  <c r="Q15" i="72"/>
  <c r="R15" i="72" s="1"/>
  <c r="Q16" i="72"/>
  <c r="Q17" i="72"/>
  <c r="Q18" i="72"/>
  <c r="R18" i="72" s="1"/>
  <c r="Q19" i="72"/>
  <c r="Q9" i="72"/>
  <c r="H232" i="2" s="1"/>
  <c r="P10" i="18"/>
  <c r="H227" i="2" s="1"/>
  <c r="P11" i="18"/>
  <c r="H228" i="2" s="1"/>
  <c r="P12" i="18"/>
  <c r="H229" i="2" s="1"/>
  <c r="P13" i="18"/>
  <c r="Q13" i="18" s="1"/>
  <c r="P14" i="18"/>
  <c r="Q14" i="18" s="1"/>
  <c r="P15" i="18"/>
  <c r="P16" i="18"/>
  <c r="Q16" i="18" s="1"/>
  <c r="P17" i="18"/>
  <c r="P18" i="18"/>
  <c r="Q18" i="18" s="1"/>
  <c r="P19" i="18"/>
  <c r="P9" i="18"/>
  <c r="Q9" i="18" s="1"/>
  <c r="U10" i="31"/>
  <c r="V10" i="31" s="1"/>
  <c r="U11" i="31"/>
  <c r="U12" i="31"/>
  <c r="V12" i="31" s="1"/>
  <c r="U13" i="31"/>
  <c r="V13" i="31" s="1"/>
  <c r="U14" i="31"/>
  <c r="H207" i="2" s="1"/>
  <c r="U15" i="31"/>
  <c r="U16" i="31"/>
  <c r="U17" i="31"/>
  <c r="V17" i="31" s="1"/>
  <c r="U18" i="31"/>
  <c r="V18" i="31" s="1"/>
  <c r="U19" i="31"/>
  <c r="V19" i="31" s="1"/>
  <c r="U9" i="31"/>
  <c r="H202" i="2" s="1"/>
  <c r="V15" i="31"/>
  <c r="V16" i="31"/>
  <c r="W10" i="34"/>
  <c r="X10" i="34" s="1"/>
  <c r="W11" i="34"/>
  <c r="X11" i="34" s="1"/>
  <c r="W12" i="34"/>
  <c r="W13" i="34"/>
  <c r="W14" i="34"/>
  <c r="H177" i="2" s="1"/>
  <c r="W15" i="34"/>
  <c r="X15" i="34" s="1"/>
  <c r="W16" i="34"/>
  <c r="X16" i="34" s="1"/>
  <c r="W17" i="34"/>
  <c r="X17" i="34" s="1"/>
  <c r="W18" i="34"/>
  <c r="X18" i="34" s="1"/>
  <c r="W19" i="34"/>
  <c r="X19" i="34" s="1"/>
  <c r="W9" i="34"/>
  <c r="X9" i="34" s="1"/>
  <c r="AB10" i="43"/>
  <c r="AB11" i="43"/>
  <c r="AB12" i="43"/>
  <c r="AB13" i="43"/>
  <c r="AB14" i="43"/>
  <c r="AB15" i="43"/>
  <c r="AB16" i="43"/>
  <c r="AB17" i="43"/>
  <c r="AB18" i="43"/>
  <c r="AB19" i="43"/>
  <c r="AB9" i="43"/>
  <c r="H223" i="2"/>
  <c r="H224" i="2"/>
  <c r="T17" i="10"/>
  <c r="T18" i="10"/>
  <c r="V14" i="5"/>
  <c r="V17" i="5"/>
  <c r="V18" i="5"/>
  <c r="V19" i="5"/>
  <c r="Q10" i="32"/>
  <c r="R10" i="32" s="1"/>
  <c r="Q11" i="32"/>
  <c r="R11" i="32" s="1"/>
  <c r="Q12" i="32"/>
  <c r="H199" i="2" s="1"/>
  <c r="Q13" i="32"/>
  <c r="Q14" i="32"/>
  <c r="H201" i="2" s="1"/>
  <c r="Q15" i="32"/>
  <c r="Q16" i="32"/>
  <c r="Q17" i="32"/>
  <c r="Q18" i="32"/>
  <c r="Q19" i="32"/>
  <c r="Q9" i="32"/>
  <c r="R9" i="32" s="1"/>
  <c r="R10" i="35"/>
  <c r="S10" i="35" s="1"/>
  <c r="R11" i="35"/>
  <c r="S11" i="35" s="1"/>
  <c r="R12" i="35"/>
  <c r="S12" i="35" s="1"/>
  <c r="R13" i="35"/>
  <c r="S13" i="35" s="1"/>
  <c r="R14" i="35"/>
  <c r="S14" i="35" s="1"/>
  <c r="R15" i="35"/>
  <c r="S15" i="35" s="1"/>
  <c r="R16" i="35"/>
  <c r="R17" i="35"/>
  <c r="R18" i="35"/>
  <c r="R19" i="35"/>
  <c r="S19" i="35" s="1"/>
  <c r="R9" i="35"/>
  <c r="V18" i="36"/>
  <c r="V19" i="36"/>
  <c r="S16" i="35"/>
  <c r="S17" i="35"/>
  <c r="S18" i="35"/>
  <c r="R12" i="33"/>
  <c r="H182" i="2"/>
  <c r="R16" i="33"/>
  <c r="R17" i="33"/>
  <c r="R18" i="33"/>
  <c r="R9" i="33"/>
  <c r="S10" i="37"/>
  <c r="T10" i="37" s="1"/>
  <c r="S11" i="37"/>
  <c r="T11" i="37" s="1"/>
  <c r="S12" i="37"/>
  <c r="T12" i="37" s="1"/>
  <c r="S13" i="37"/>
  <c r="T13" i="37" s="1"/>
  <c r="S14" i="37"/>
  <c r="S15" i="37"/>
  <c r="T15" i="37" s="1"/>
  <c r="S16" i="37"/>
  <c r="T16" i="37" s="1"/>
  <c r="S17" i="37"/>
  <c r="S18" i="37"/>
  <c r="T18" i="37" s="1"/>
  <c r="S19" i="37"/>
  <c r="S9" i="37"/>
  <c r="T9" i="37" s="1"/>
  <c r="T10" i="38"/>
  <c r="H161" i="2" s="1"/>
  <c r="T11" i="38"/>
  <c r="U11" i="38" s="1"/>
  <c r="T12" i="38"/>
  <c r="H163" i="2" s="1"/>
  <c r="T13" i="38"/>
  <c r="T14" i="38"/>
  <c r="T15" i="38"/>
  <c r="T16" i="38"/>
  <c r="T17" i="38"/>
  <c r="T18" i="38"/>
  <c r="T19" i="38"/>
  <c r="U19" i="38" s="1"/>
  <c r="T9" i="38"/>
  <c r="H160" i="2" s="1"/>
  <c r="U10" i="39"/>
  <c r="V10" i="39" s="1"/>
  <c r="U11" i="39"/>
  <c r="H156" i="2" s="1"/>
  <c r="U12" i="39"/>
  <c r="V12" i="39" s="1"/>
  <c r="U13" i="39"/>
  <c r="U14" i="39"/>
  <c r="H159" i="2" s="1"/>
  <c r="U15" i="39"/>
  <c r="V15" i="39" s="1"/>
  <c r="U16" i="39"/>
  <c r="U17" i="39"/>
  <c r="V17" i="39" s="1"/>
  <c r="U18" i="39"/>
  <c r="V18" i="39" s="1"/>
  <c r="U19" i="39"/>
  <c r="U9" i="39"/>
  <c r="V9" i="39" s="1"/>
  <c r="H323" i="2"/>
  <c r="H324" i="2"/>
  <c r="H325" i="2"/>
  <c r="H326" i="2"/>
  <c r="H327" i="2"/>
  <c r="H322" i="2"/>
  <c r="F323" i="2"/>
  <c r="I323" i="2" s="1"/>
  <c r="F324" i="2"/>
  <c r="F325" i="2"/>
  <c r="F326" i="2"/>
  <c r="F327" i="2"/>
  <c r="F322" i="2"/>
  <c r="H321" i="2"/>
  <c r="H316" i="2"/>
  <c r="F317" i="2"/>
  <c r="F318" i="2"/>
  <c r="F319" i="2"/>
  <c r="F320" i="2"/>
  <c r="F321" i="2"/>
  <c r="I321" i="2" s="1"/>
  <c r="F316" i="2"/>
  <c r="H315" i="2"/>
  <c r="F311" i="2"/>
  <c r="F312" i="2"/>
  <c r="F313" i="2"/>
  <c r="F314" i="2"/>
  <c r="F315" i="2"/>
  <c r="F310" i="2"/>
  <c r="H308" i="2"/>
  <c r="H309" i="2"/>
  <c r="F305" i="2"/>
  <c r="F306" i="2"/>
  <c r="F307" i="2"/>
  <c r="F308" i="2"/>
  <c r="I308" i="2" s="1"/>
  <c r="F309" i="2"/>
  <c r="F304" i="2"/>
  <c r="H301" i="2"/>
  <c r="H302" i="2"/>
  <c r="F301" i="2"/>
  <c r="F302" i="2"/>
  <c r="F303" i="2"/>
  <c r="H295" i="2"/>
  <c r="F293" i="2"/>
  <c r="F295" i="2"/>
  <c r="I295" i="2" s="1"/>
  <c r="F296" i="2"/>
  <c r="F297" i="2"/>
  <c r="F292" i="2"/>
  <c r="H289" i="2"/>
  <c r="H290" i="2"/>
  <c r="H291" i="2"/>
  <c r="F287" i="2"/>
  <c r="F288" i="2"/>
  <c r="F289" i="2"/>
  <c r="F290" i="2"/>
  <c r="F291" i="2"/>
  <c r="I291" i="2" s="1"/>
  <c r="F286" i="2"/>
  <c r="F281" i="2"/>
  <c r="F282" i="2"/>
  <c r="F283" i="2"/>
  <c r="F284" i="2"/>
  <c r="F285" i="2"/>
  <c r="F280" i="2"/>
  <c r="F275" i="2"/>
  <c r="F276" i="2"/>
  <c r="F277" i="2"/>
  <c r="F278" i="2"/>
  <c r="F279" i="2"/>
  <c r="F274" i="2"/>
  <c r="F269" i="2"/>
  <c r="F270" i="2"/>
  <c r="F271" i="2"/>
  <c r="F272" i="2"/>
  <c r="F273" i="2"/>
  <c r="F268" i="2"/>
  <c r="F263" i="2"/>
  <c r="F264" i="2"/>
  <c r="F265" i="2"/>
  <c r="F266" i="2"/>
  <c r="F267" i="2"/>
  <c r="F262" i="2"/>
  <c r="F257" i="2"/>
  <c r="F258" i="2"/>
  <c r="F259" i="2"/>
  <c r="F260" i="2"/>
  <c r="F261" i="2"/>
  <c r="F256" i="2"/>
  <c r="F251" i="2"/>
  <c r="F252" i="2"/>
  <c r="F253" i="2"/>
  <c r="F254" i="2"/>
  <c r="F255" i="2"/>
  <c r="F250" i="2"/>
  <c r="H247" i="2"/>
  <c r="H249" i="2"/>
  <c r="F245" i="2"/>
  <c r="F246" i="2"/>
  <c r="F247" i="2"/>
  <c r="F248" i="2"/>
  <c r="F249" i="2"/>
  <c r="F244" i="2"/>
  <c r="H243" i="2"/>
  <c r="I243" i="2" s="1"/>
  <c r="F239" i="2"/>
  <c r="F240" i="2"/>
  <c r="F241" i="2"/>
  <c r="F242" i="2"/>
  <c r="F243" i="2"/>
  <c r="F238" i="2"/>
  <c r="F233" i="2"/>
  <c r="F234" i="2"/>
  <c r="F235" i="2"/>
  <c r="F236" i="2"/>
  <c r="F237" i="2"/>
  <c r="F232" i="2"/>
  <c r="F227" i="2"/>
  <c r="F228" i="2"/>
  <c r="F229" i="2"/>
  <c r="F230" i="2"/>
  <c r="F231" i="2"/>
  <c r="F226" i="2"/>
  <c r="F221" i="2"/>
  <c r="F222" i="2"/>
  <c r="F223" i="2"/>
  <c r="F224" i="2"/>
  <c r="F225" i="2"/>
  <c r="F220" i="2"/>
  <c r="F215" i="2"/>
  <c r="F216" i="2"/>
  <c r="F217" i="2"/>
  <c r="F218" i="2"/>
  <c r="F219" i="2"/>
  <c r="F214" i="2"/>
  <c r="D214" i="2"/>
  <c r="C214" i="2"/>
  <c r="B214" i="2"/>
  <c r="A214" i="2"/>
  <c r="E214" i="2" s="1"/>
  <c r="F211" i="2"/>
  <c r="F212" i="2"/>
  <c r="F213" i="2"/>
  <c r="A215" i="2"/>
  <c r="G215" i="2" s="1"/>
  <c r="A216" i="2"/>
  <c r="J216" i="2" s="1"/>
  <c r="A217" i="2"/>
  <c r="G217" i="2" s="1"/>
  <c r="X12" i="34"/>
  <c r="H176" i="2"/>
  <c r="H171" i="2"/>
  <c r="T17" i="37"/>
  <c r="T19" i="37"/>
  <c r="U13" i="38"/>
  <c r="H165" i="2"/>
  <c r="U15" i="38"/>
  <c r="U17" i="38"/>
  <c r="H158" i="2"/>
  <c r="V16" i="39"/>
  <c r="R10" i="40"/>
  <c r="S10" i="40" s="1"/>
  <c r="R11" i="40"/>
  <c r="S11" i="40" s="1"/>
  <c r="R12" i="40"/>
  <c r="S12" i="40" s="1"/>
  <c r="R13" i="40"/>
  <c r="R14" i="40"/>
  <c r="R15" i="40"/>
  <c r="R16" i="40"/>
  <c r="R17" i="40"/>
  <c r="S17" i="40" s="1"/>
  <c r="R18" i="40"/>
  <c r="S18" i="40" s="1"/>
  <c r="R19" i="40"/>
  <c r="R9" i="40"/>
  <c r="S9" i="40" s="1"/>
  <c r="T10" i="41"/>
  <c r="H143" i="2" s="1"/>
  <c r="T11" i="41"/>
  <c r="T12" i="41"/>
  <c r="T13" i="41"/>
  <c r="H146" i="2" s="1"/>
  <c r="T14" i="41"/>
  <c r="U14" i="41" s="1"/>
  <c r="T15" i="41"/>
  <c r="T16" i="41"/>
  <c r="U16" i="41" s="1"/>
  <c r="T17" i="41"/>
  <c r="U17" i="41" s="1"/>
  <c r="T18" i="41"/>
  <c r="U18" i="41" s="1"/>
  <c r="T19" i="41"/>
  <c r="T9" i="41"/>
  <c r="U9" i="41" s="1"/>
  <c r="T10" i="42"/>
  <c r="U10" i="42" s="1"/>
  <c r="T11" i="42"/>
  <c r="U11" i="42" s="1"/>
  <c r="T12" i="42"/>
  <c r="U12" i="42" s="1"/>
  <c r="T13" i="42"/>
  <c r="H139" i="2" s="1"/>
  <c r="T14" i="42"/>
  <c r="T15" i="42"/>
  <c r="U15" i="42" s="1"/>
  <c r="T16" i="42"/>
  <c r="T17" i="42"/>
  <c r="U17" i="42" s="1"/>
  <c r="T18" i="42"/>
  <c r="T19" i="42"/>
  <c r="T9" i="42"/>
  <c r="U9" i="42" s="1"/>
  <c r="H152" i="2"/>
  <c r="S16" i="40"/>
  <c r="U12" i="41"/>
  <c r="U14" i="42"/>
  <c r="U16" i="42"/>
  <c r="S10" i="45"/>
  <c r="H116" i="2" s="1"/>
  <c r="S11" i="45"/>
  <c r="S12" i="45"/>
  <c r="H118" i="2" s="1"/>
  <c r="S13" i="45"/>
  <c r="H119" i="2" s="1"/>
  <c r="S14" i="45"/>
  <c r="T14" i="45" s="1"/>
  <c r="S15" i="45"/>
  <c r="S16" i="45"/>
  <c r="T16" i="45" s="1"/>
  <c r="S17" i="45"/>
  <c r="T17" i="45" s="1"/>
  <c r="S18" i="45"/>
  <c r="S19" i="45"/>
  <c r="S9" i="45"/>
  <c r="T9" i="45" s="1"/>
  <c r="T10" i="46"/>
  <c r="U10" i="46" s="1"/>
  <c r="T11" i="46"/>
  <c r="T12" i="46"/>
  <c r="U12" i="46" s="1"/>
  <c r="T13" i="46"/>
  <c r="U13" i="46" s="1"/>
  <c r="T14" i="46"/>
  <c r="T15" i="46"/>
  <c r="U15" i="46" s="1"/>
  <c r="T16" i="46"/>
  <c r="T17" i="46"/>
  <c r="U17" i="46" s="1"/>
  <c r="T18" i="46"/>
  <c r="T19" i="46"/>
  <c r="U19" i="46" s="1"/>
  <c r="T9" i="46"/>
  <c r="U9" i="46" s="1"/>
  <c r="T10" i="47"/>
  <c r="U10" i="47" s="1"/>
  <c r="T11" i="47"/>
  <c r="U11" i="47" s="1"/>
  <c r="T12" i="47"/>
  <c r="U12" i="47" s="1"/>
  <c r="T13" i="47"/>
  <c r="U13" i="47" s="1"/>
  <c r="T14" i="47"/>
  <c r="T15" i="47"/>
  <c r="U15" i="47" s="1"/>
  <c r="T16" i="47"/>
  <c r="U16" i="47" s="1"/>
  <c r="T17" i="47"/>
  <c r="U17" i="47" s="1"/>
  <c r="T18" i="47"/>
  <c r="U18" i="47" s="1"/>
  <c r="T19" i="47"/>
  <c r="T9" i="47"/>
  <c r="U9" i="47" s="1"/>
  <c r="I58" i="1"/>
  <c r="P10" i="44"/>
  <c r="Q10" i="44" s="1"/>
  <c r="P11" i="44"/>
  <c r="Q11" i="44" s="1"/>
  <c r="P12" i="44"/>
  <c r="Q12" i="44" s="1"/>
  <c r="P13" i="44"/>
  <c r="Q13" i="44" s="1"/>
  <c r="P14" i="44"/>
  <c r="P15" i="44"/>
  <c r="Q15" i="44" s="1"/>
  <c r="P16" i="44"/>
  <c r="P17" i="44"/>
  <c r="Q17" i="44" s="1"/>
  <c r="P18" i="44"/>
  <c r="P19" i="44"/>
  <c r="P9" i="44"/>
  <c r="Q9" i="44" s="1"/>
  <c r="U11" i="46"/>
  <c r="H114" i="2"/>
  <c r="U16" i="46"/>
  <c r="U18" i="46"/>
  <c r="U14" i="47"/>
  <c r="U19" i="47"/>
  <c r="U12" i="49"/>
  <c r="H94" i="2"/>
  <c r="U16" i="49"/>
  <c r="U17" i="49"/>
  <c r="U18" i="49"/>
  <c r="U19" i="49"/>
  <c r="H90" i="2"/>
  <c r="T10" i="53"/>
  <c r="U10" i="53" s="1"/>
  <c r="T11" i="53"/>
  <c r="T12" i="53"/>
  <c r="U12" i="53" s="1"/>
  <c r="T13" i="53"/>
  <c r="T14" i="53"/>
  <c r="H71" i="2" s="1"/>
  <c r="T15" i="53"/>
  <c r="T16" i="53"/>
  <c r="T17" i="53"/>
  <c r="U17" i="53" s="1"/>
  <c r="T18" i="53"/>
  <c r="T19" i="53"/>
  <c r="T9" i="53"/>
  <c r="H66" i="2" s="1"/>
  <c r="AB12" i="50"/>
  <c r="AB17" i="50"/>
  <c r="AB19" i="50"/>
  <c r="H81" i="2"/>
  <c r="H82" i="2"/>
  <c r="W14" i="51"/>
  <c r="W18" i="51"/>
  <c r="W19" i="51"/>
  <c r="Q9" i="52"/>
  <c r="Q10" i="52"/>
  <c r="H73" i="2" s="1"/>
  <c r="Q11" i="52"/>
  <c r="H74" i="2" s="1"/>
  <c r="Q12" i="52"/>
  <c r="R12" i="52" s="1"/>
  <c r="Q13" i="52"/>
  <c r="Q14" i="52"/>
  <c r="R14" i="52" s="1"/>
  <c r="Q15" i="52"/>
  <c r="Q16" i="52"/>
  <c r="R16" i="52" s="1"/>
  <c r="Q17" i="52"/>
  <c r="Q18" i="52"/>
  <c r="R18" i="52" s="1"/>
  <c r="Q19" i="52"/>
  <c r="R19" i="52" s="1"/>
  <c r="T10" i="54"/>
  <c r="U10" i="54" s="1"/>
  <c r="T11" i="54"/>
  <c r="U11" i="54" s="1"/>
  <c r="T12" i="54"/>
  <c r="U12" i="54" s="1"/>
  <c r="T13" i="54"/>
  <c r="H64" i="2" s="1"/>
  <c r="T14" i="54"/>
  <c r="H65" i="2" s="1"/>
  <c r="T15" i="54"/>
  <c r="U15" i="54" s="1"/>
  <c r="T16" i="54"/>
  <c r="U16" i="54" s="1"/>
  <c r="T17" i="54"/>
  <c r="U17" i="54" s="1"/>
  <c r="T18" i="54"/>
  <c r="U18" i="54" s="1"/>
  <c r="T19" i="54"/>
  <c r="U19" i="54" s="1"/>
  <c r="T9" i="54"/>
  <c r="U9" i="54" s="1"/>
  <c r="W10" i="57"/>
  <c r="X10" i="57" s="1"/>
  <c r="W11" i="57"/>
  <c r="W12" i="57"/>
  <c r="H51" i="2" s="1"/>
  <c r="W13" i="57"/>
  <c r="W14" i="57"/>
  <c r="W15" i="57"/>
  <c r="X15" i="57" s="1"/>
  <c r="W16" i="57"/>
  <c r="W17" i="57"/>
  <c r="W18" i="57"/>
  <c r="W19" i="57"/>
  <c r="W9" i="57"/>
  <c r="A120" i="2"/>
  <c r="J120" i="2" s="1"/>
  <c r="A121" i="2"/>
  <c r="E121" i="2" s="1"/>
  <c r="C120" i="2"/>
  <c r="C121" i="2"/>
  <c r="C122" i="2"/>
  <c r="D120" i="2"/>
  <c r="D121" i="2"/>
  <c r="D122" i="2"/>
  <c r="F120" i="2"/>
  <c r="F121" i="2"/>
  <c r="F122" i="2"/>
  <c r="J24" i="29"/>
  <c r="J23" i="29"/>
  <c r="J22" i="29"/>
  <c r="M20" i="29"/>
  <c r="L20" i="29"/>
  <c r="E20" i="29"/>
  <c r="M19" i="29"/>
  <c r="L19" i="29"/>
  <c r="M18" i="29"/>
  <c r="L18" i="29"/>
  <c r="M17" i="29"/>
  <c r="L17" i="29"/>
  <c r="M16" i="29"/>
  <c r="L16" i="29"/>
  <c r="M15" i="29"/>
  <c r="L15" i="29"/>
  <c r="M14" i="29"/>
  <c r="L14" i="29"/>
  <c r="M13" i="29"/>
  <c r="L13" i="29"/>
  <c r="M12" i="29"/>
  <c r="L12" i="29"/>
  <c r="M11" i="29"/>
  <c r="L11" i="29"/>
  <c r="M10" i="29"/>
  <c r="L10" i="29"/>
  <c r="M9" i="29"/>
  <c r="L9" i="29"/>
  <c r="E20" i="28"/>
  <c r="J22" i="28" s="1"/>
  <c r="M19" i="28"/>
  <c r="L19" i="28"/>
  <c r="M18" i="28"/>
  <c r="L18" i="28"/>
  <c r="M17" i="28"/>
  <c r="L17" i="28"/>
  <c r="M16" i="28"/>
  <c r="L16" i="28"/>
  <c r="M15" i="28"/>
  <c r="L15" i="28"/>
  <c r="M14" i="28"/>
  <c r="L14" i="28"/>
  <c r="L13" i="28"/>
  <c r="H320" i="2" s="1"/>
  <c r="L12" i="28"/>
  <c r="H319" i="2" s="1"/>
  <c r="L11" i="28"/>
  <c r="H318" i="2" s="1"/>
  <c r="L10" i="28"/>
  <c r="H317" i="2" s="1"/>
  <c r="M9" i="28"/>
  <c r="L9" i="28"/>
  <c r="E20" i="27"/>
  <c r="J22" i="27" s="1"/>
  <c r="M19" i="27"/>
  <c r="L19" i="27"/>
  <c r="M18" i="27"/>
  <c r="L18" i="27"/>
  <c r="M17" i="27"/>
  <c r="L17" i="27"/>
  <c r="M16" i="27"/>
  <c r="L16" i="27"/>
  <c r="L15" i="27"/>
  <c r="M15" i="27" s="1"/>
  <c r="M14" i="27"/>
  <c r="L14" i="27"/>
  <c r="L13" i="27"/>
  <c r="H314" i="2" s="1"/>
  <c r="I314" i="2" s="1"/>
  <c r="L12" i="27"/>
  <c r="H313" i="2" s="1"/>
  <c r="L11" i="27"/>
  <c r="H312" i="2" s="1"/>
  <c r="L10" i="27"/>
  <c r="H311" i="2" s="1"/>
  <c r="L9" i="27"/>
  <c r="M9" i="27" s="1"/>
  <c r="E20" i="26"/>
  <c r="J22" i="26" s="1"/>
  <c r="M19" i="26"/>
  <c r="L19" i="26"/>
  <c r="M18" i="26"/>
  <c r="L18" i="26"/>
  <c r="M17" i="26"/>
  <c r="L17" i="26"/>
  <c r="M16" i="26"/>
  <c r="L16" i="26"/>
  <c r="L15" i="26"/>
  <c r="M15" i="26" s="1"/>
  <c r="L14" i="26"/>
  <c r="M14" i="26" s="1"/>
  <c r="L13" i="26"/>
  <c r="M13" i="26" s="1"/>
  <c r="L12" i="26"/>
  <c r="H307" i="2" s="1"/>
  <c r="L11" i="26"/>
  <c r="H306" i="2" s="1"/>
  <c r="L10" i="26"/>
  <c r="H305" i="2" s="1"/>
  <c r="L9" i="26"/>
  <c r="H304" i="2" s="1"/>
  <c r="E20" i="25"/>
  <c r="J22" i="25" s="1"/>
  <c r="L19" i="25"/>
  <c r="K19" i="25"/>
  <c r="L18" i="25"/>
  <c r="K18" i="25"/>
  <c r="L17" i="25"/>
  <c r="K17" i="25"/>
  <c r="L16" i="25"/>
  <c r="K16" i="25"/>
  <c r="L15" i="25"/>
  <c r="K15" i="25"/>
  <c r="K14" i="25"/>
  <c r="H303" i="2" s="1"/>
  <c r="L13" i="25"/>
  <c r="K13" i="25"/>
  <c r="K12" i="25"/>
  <c r="L12" i="25" s="1"/>
  <c r="L11" i="25"/>
  <c r="K11" i="25"/>
  <c r="K10" i="25"/>
  <c r="L10" i="25" s="1"/>
  <c r="K9" i="25"/>
  <c r="L9" i="25" s="1"/>
  <c r="E21" i="24"/>
  <c r="J23" i="24" s="1"/>
  <c r="K20" i="24"/>
  <c r="K19" i="24"/>
  <c r="K18" i="24"/>
  <c r="K17" i="24"/>
  <c r="K16" i="24"/>
  <c r="K15" i="24"/>
  <c r="H297" i="2" s="1"/>
  <c r="K14" i="24"/>
  <c r="H296" i="2" s="1"/>
  <c r="K13" i="24"/>
  <c r="K12" i="24"/>
  <c r="L12" i="24" s="1"/>
  <c r="K11" i="24"/>
  <c r="H293" i="2" s="1"/>
  <c r="E20" i="23"/>
  <c r="J22" i="23" s="1"/>
  <c r="L19" i="23"/>
  <c r="K19" i="23"/>
  <c r="L18" i="23"/>
  <c r="K18" i="23"/>
  <c r="L17" i="23"/>
  <c r="K17" i="23"/>
  <c r="L16" i="23"/>
  <c r="K16" i="23"/>
  <c r="L15" i="23"/>
  <c r="K15" i="23"/>
  <c r="L14" i="23"/>
  <c r="K14" i="23"/>
  <c r="L13" i="23"/>
  <c r="K13" i="23"/>
  <c r="L12" i="23"/>
  <c r="K12" i="23"/>
  <c r="K11" i="23"/>
  <c r="H288" i="2" s="1"/>
  <c r="K10" i="23"/>
  <c r="H287" i="2" s="1"/>
  <c r="K9" i="23"/>
  <c r="L9" i="23" s="1"/>
  <c r="E20" i="22"/>
  <c r="J22" i="22" s="1"/>
  <c r="M19" i="22"/>
  <c r="L19" i="22"/>
  <c r="M18" i="22"/>
  <c r="L18" i="22"/>
  <c r="M17" i="22"/>
  <c r="L17" i="22"/>
  <c r="M16" i="22"/>
  <c r="L16" i="22"/>
  <c r="M15" i="22"/>
  <c r="L15" i="22"/>
  <c r="L14" i="22"/>
  <c r="M14" i="22" s="1"/>
  <c r="L13" i="22"/>
  <c r="H284" i="2" s="1"/>
  <c r="L12" i="22"/>
  <c r="H283" i="2" s="1"/>
  <c r="L11" i="22"/>
  <c r="H282" i="2" s="1"/>
  <c r="L10" i="22"/>
  <c r="H281" i="2" s="1"/>
  <c r="L9" i="22"/>
  <c r="M9" i="22" s="1"/>
  <c r="E20" i="21"/>
  <c r="J22" i="21" s="1"/>
  <c r="N15" i="21"/>
  <c r="H279" i="2"/>
  <c r="N13" i="21"/>
  <c r="H278" i="2"/>
  <c r="H277" i="2"/>
  <c r="H276" i="2"/>
  <c r="H275" i="2"/>
  <c r="E20" i="16"/>
  <c r="J22" i="16" s="1"/>
  <c r="P19" i="16"/>
  <c r="P18" i="16"/>
  <c r="P17" i="16"/>
  <c r="P16" i="16"/>
  <c r="P15" i="16"/>
  <c r="D24" i="14"/>
  <c r="E20" i="14"/>
  <c r="J22" i="14" s="1"/>
  <c r="Q19" i="14"/>
  <c r="Q18" i="14"/>
  <c r="Q17" i="14"/>
  <c r="Q16" i="14"/>
  <c r="R14" i="14"/>
  <c r="Q14" i="14"/>
  <c r="R13" i="14"/>
  <c r="R12" i="14"/>
  <c r="H265" i="2"/>
  <c r="R11" i="14"/>
  <c r="R10" i="14"/>
  <c r="R9" i="14"/>
  <c r="E20" i="9"/>
  <c r="J22" i="9" s="1"/>
  <c r="R12" i="9"/>
  <c r="E20" i="13"/>
  <c r="J22" i="13" s="1"/>
  <c r="Q19" i="13"/>
  <c r="Q18" i="13"/>
  <c r="Q17" i="13"/>
  <c r="Q16" i="13"/>
  <c r="Q14" i="13"/>
  <c r="R11" i="13"/>
  <c r="H252" i="2"/>
  <c r="R10" i="13"/>
  <c r="R9" i="13"/>
  <c r="E19" i="19"/>
  <c r="J21" i="19" s="1"/>
  <c r="R18" i="19"/>
  <c r="R17" i="19"/>
  <c r="R16" i="19"/>
  <c r="R15" i="19"/>
  <c r="R14" i="19"/>
  <c r="R13" i="19"/>
  <c r="R11" i="19"/>
  <c r="H245" i="2"/>
  <c r="S9" i="19"/>
  <c r="E19" i="12"/>
  <c r="J21" i="12" s="1"/>
  <c r="R18" i="12"/>
  <c r="R17" i="12"/>
  <c r="R16" i="12"/>
  <c r="R15" i="12"/>
  <c r="R14" i="12"/>
  <c r="H242" i="2"/>
  <c r="R12" i="12"/>
  <c r="S9" i="12"/>
  <c r="H238" i="2"/>
  <c r="E20" i="72"/>
  <c r="J22" i="72" s="1"/>
  <c r="R19" i="72"/>
  <c r="R17" i="72"/>
  <c r="R16" i="72"/>
  <c r="S9" i="72"/>
  <c r="E20" i="18"/>
  <c r="J22" i="18" s="1"/>
  <c r="Q19" i="18"/>
  <c r="Q17" i="18"/>
  <c r="Q15" i="18"/>
  <c r="R9" i="18"/>
  <c r="E20" i="10"/>
  <c r="J22" i="10" s="1"/>
  <c r="T16" i="10"/>
  <c r="U9" i="10"/>
  <c r="E20" i="5"/>
  <c r="J22" i="5" s="1"/>
  <c r="V16" i="5"/>
  <c r="V15" i="5"/>
  <c r="V13" i="5"/>
  <c r="E20" i="17"/>
  <c r="J22" i="17" s="1"/>
  <c r="H212" i="2"/>
  <c r="Z9" i="17"/>
  <c r="E20" i="31"/>
  <c r="J22" i="31" s="1"/>
  <c r="W9" i="31"/>
  <c r="E20" i="32"/>
  <c r="J22" i="32" s="1"/>
  <c r="R19" i="32"/>
  <c r="R18" i="32"/>
  <c r="R17" i="32"/>
  <c r="R16" i="32"/>
  <c r="R15" i="32"/>
  <c r="R13" i="32"/>
  <c r="R12" i="32"/>
  <c r="S9" i="32"/>
  <c r="E20" i="35"/>
  <c r="J22" i="35" s="1"/>
  <c r="T9" i="35"/>
  <c r="E20" i="36"/>
  <c r="J22" i="36" s="1"/>
  <c r="W9" i="36"/>
  <c r="E20" i="33"/>
  <c r="J22" i="33" s="1"/>
  <c r="R19" i="33"/>
  <c r="H183" i="2"/>
  <c r="R11" i="33"/>
  <c r="S9" i="33"/>
  <c r="E20" i="34"/>
  <c r="J22" i="34" s="1"/>
  <c r="Y9" i="34"/>
  <c r="E20" i="37"/>
  <c r="J22" i="37" s="1"/>
  <c r="U9" i="37"/>
  <c r="E20" i="38"/>
  <c r="J22" i="38" s="1"/>
  <c r="U18" i="38"/>
  <c r="U16" i="38"/>
  <c r="V9" i="38"/>
  <c r="E20" i="39"/>
  <c r="J22" i="39" s="1"/>
  <c r="V19" i="39"/>
  <c r="W9" i="39"/>
  <c r="E20" i="40"/>
  <c r="J22" i="40" s="1"/>
  <c r="S19" i="40"/>
  <c r="S15" i="40"/>
  <c r="S14" i="40"/>
  <c r="T9" i="40"/>
  <c r="E20" i="41"/>
  <c r="J22" i="41" s="1"/>
  <c r="U19" i="41"/>
  <c r="U15" i="41"/>
  <c r="U11" i="41"/>
  <c r="V9" i="41"/>
  <c r="E20" i="42"/>
  <c r="J22" i="42" s="1"/>
  <c r="U19" i="42"/>
  <c r="U18" i="42"/>
  <c r="V9" i="42"/>
  <c r="E20" i="43"/>
  <c r="J22" i="43" s="1"/>
  <c r="AD9" i="43"/>
  <c r="E20" i="44"/>
  <c r="J22" i="44" s="1"/>
  <c r="Q19" i="44"/>
  <c r="Q18" i="44"/>
  <c r="Q16" i="44"/>
  <c r="Q14" i="44"/>
  <c r="R9" i="44"/>
  <c r="E20" i="45"/>
  <c r="J22" i="45" s="1"/>
  <c r="T19" i="45"/>
  <c r="T18" i="45"/>
  <c r="U9" i="45"/>
  <c r="E20" i="46"/>
  <c r="J22" i="46" s="1"/>
  <c r="V9" i="46"/>
  <c r="E20" i="47"/>
  <c r="J22" i="47" s="1"/>
  <c r="V9" i="47"/>
  <c r="E20" i="48"/>
  <c r="J22" i="48" s="1"/>
  <c r="R18" i="48"/>
  <c r="R17" i="48"/>
  <c r="R16" i="48"/>
  <c r="R15" i="48"/>
  <c r="R14" i="48"/>
  <c r="R13" i="48"/>
  <c r="R12" i="48"/>
  <c r="R11" i="48"/>
  <c r="S9" i="48"/>
  <c r="E20" i="49"/>
  <c r="J22" i="49" s="1"/>
  <c r="V9" i="49"/>
  <c r="E20" i="50"/>
  <c r="J22" i="50" s="1"/>
  <c r="AB16" i="50"/>
  <c r="AB15" i="50"/>
  <c r="AC9" i="50"/>
  <c r="E20" i="51"/>
  <c r="J22" i="51" s="1"/>
  <c r="W17" i="51"/>
  <c r="W16" i="51"/>
  <c r="W15" i="51"/>
  <c r="X9" i="51"/>
  <c r="E20" i="52"/>
  <c r="J22" i="52" s="1"/>
  <c r="R17" i="52"/>
  <c r="R15" i="52"/>
  <c r="R13" i="52"/>
  <c r="R10" i="52"/>
  <c r="S9" i="52"/>
  <c r="E20" i="53"/>
  <c r="J22" i="53" s="1"/>
  <c r="U19" i="53"/>
  <c r="U18" i="53"/>
  <c r="U16" i="53"/>
  <c r="U15" i="53"/>
  <c r="H70" i="2"/>
  <c r="U11" i="53"/>
  <c r="V9" i="53"/>
  <c r="E20" i="54"/>
  <c r="J22" i="54" s="1"/>
  <c r="U13" i="54"/>
  <c r="V9" i="54"/>
  <c r="E20" i="55"/>
  <c r="J22" i="55" s="1"/>
  <c r="T19" i="55"/>
  <c r="T18" i="55"/>
  <c r="T17" i="55"/>
  <c r="T16" i="55"/>
  <c r="T15" i="55"/>
  <c r="T14" i="55"/>
  <c r="H58" i="2"/>
  <c r="T11" i="55"/>
  <c r="T10" i="55"/>
  <c r="U9" i="55"/>
  <c r="T9" i="55"/>
  <c r="E20" i="57"/>
  <c r="J22" i="57" s="1"/>
  <c r="X19" i="57"/>
  <c r="X18" i="57"/>
  <c r="X17" i="57"/>
  <c r="X16" i="57"/>
  <c r="X14" i="57"/>
  <c r="X13" i="57"/>
  <c r="Y9" i="57"/>
  <c r="H48" i="2"/>
  <c r="E20" i="56"/>
  <c r="J22" i="56" s="1"/>
  <c r="R19" i="56"/>
  <c r="Q19" i="56"/>
  <c r="R18" i="56"/>
  <c r="Q18" i="56"/>
  <c r="R17" i="56"/>
  <c r="Q17" i="56"/>
  <c r="R16" i="56"/>
  <c r="Q16" i="56"/>
  <c r="R15" i="56"/>
  <c r="Q15" i="56"/>
  <c r="Q14" i="56"/>
  <c r="H47" i="2" s="1"/>
  <c r="Q13" i="56"/>
  <c r="H46" i="2" s="1"/>
  <c r="R12" i="56"/>
  <c r="Q12" i="56"/>
  <c r="Q11" i="56"/>
  <c r="Q10" i="56"/>
  <c r="R10" i="56" s="1"/>
  <c r="S9" i="56"/>
  <c r="Q9" i="56"/>
  <c r="H42" i="2" s="1"/>
  <c r="E20" i="58"/>
  <c r="J22" i="58" s="1"/>
  <c r="R19" i="58"/>
  <c r="Q19" i="58"/>
  <c r="R18" i="58"/>
  <c r="Q18" i="58"/>
  <c r="R17" i="58"/>
  <c r="Q17" i="58"/>
  <c r="R16" i="58"/>
  <c r="Q16" i="58"/>
  <c r="R15" i="58"/>
  <c r="Q15" i="58"/>
  <c r="R14" i="58"/>
  <c r="Q14" i="58"/>
  <c r="Q13" i="58"/>
  <c r="R13" i="58" s="1"/>
  <c r="Q12" i="58"/>
  <c r="H39" i="2" s="1"/>
  <c r="Q11" i="58"/>
  <c r="H38" i="2" s="1"/>
  <c r="Q10" i="58"/>
  <c r="R10" i="58" s="1"/>
  <c r="S9" i="58"/>
  <c r="Q9" i="58"/>
  <c r="H36" i="2" s="1"/>
  <c r="E20" i="59"/>
  <c r="J22" i="59" s="1"/>
  <c r="H35" i="2"/>
  <c r="AA9" i="59"/>
  <c r="H29" i="2" s="1"/>
  <c r="J23" i="60"/>
  <c r="J22" i="62"/>
  <c r="E20" i="61"/>
  <c r="H15" i="2"/>
  <c r="H11" i="2"/>
  <c r="D331" i="74"/>
  <c r="C331" i="74"/>
  <c r="B331" i="74"/>
  <c r="A331" i="74"/>
  <c r="D330" i="74"/>
  <c r="C330" i="74"/>
  <c r="B330" i="74"/>
  <c r="A330" i="74"/>
  <c r="D329" i="74"/>
  <c r="C329" i="74"/>
  <c r="B329" i="74"/>
  <c r="A329" i="74"/>
  <c r="D328" i="74"/>
  <c r="C328" i="74"/>
  <c r="B328" i="74"/>
  <c r="A328" i="74"/>
  <c r="D327" i="74"/>
  <c r="C327" i="74"/>
  <c r="B327" i="74"/>
  <c r="A327" i="74"/>
  <c r="D326" i="74"/>
  <c r="C326" i="74"/>
  <c r="B326" i="74"/>
  <c r="A326" i="74"/>
  <c r="D325" i="74"/>
  <c r="C325" i="74"/>
  <c r="B325" i="74"/>
  <c r="A325" i="74"/>
  <c r="D324" i="74"/>
  <c r="C324" i="74"/>
  <c r="B324" i="74"/>
  <c r="A324" i="74"/>
  <c r="D323" i="74"/>
  <c r="C323" i="74"/>
  <c r="B323" i="74"/>
  <c r="A323" i="74"/>
  <c r="D322" i="74"/>
  <c r="C322" i="74"/>
  <c r="B322" i="74"/>
  <c r="A322" i="74"/>
  <c r="D321" i="74"/>
  <c r="C321" i="74"/>
  <c r="B321" i="74"/>
  <c r="A321" i="74"/>
  <c r="D320" i="74"/>
  <c r="C320" i="74"/>
  <c r="B320" i="74"/>
  <c r="A320" i="74"/>
  <c r="D319" i="74"/>
  <c r="C319" i="74"/>
  <c r="B319" i="74"/>
  <c r="A319" i="74"/>
  <c r="BD318" i="74"/>
  <c r="D318" i="74"/>
  <c r="C318" i="74"/>
  <c r="B318" i="74"/>
  <c r="A318" i="74"/>
  <c r="BD317" i="74"/>
  <c r="D317" i="74"/>
  <c r="C317" i="74"/>
  <c r="B317" i="74"/>
  <c r="A317" i="74"/>
  <c r="BD316" i="74"/>
  <c r="D316" i="74"/>
  <c r="C316" i="74"/>
  <c r="B316" i="74"/>
  <c r="A316" i="74"/>
  <c r="BD315" i="74"/>
  <c r="D315" i="74"/>
  <c r="C315" i="74"/>
  <c r="B315" i="74"/>
  <c r="A315" i="74"/>
  <c r="BD314" i="74"/>
  <c r="D314" i="74"/>
  <c r="C314" i="74"/>
  <c r="B314" i="74"/>
  <c r="A314" i="74"/>
  <c r="BD313" i="74"/>
  <c r="D313" i="74"/>
  <c r="C313" i="74"/>
  <c r="B313" i="74"/>
  <c r="A313" i="74"/>
  <c r="BD312" i="74"/>
  <c r="BC312" i="74"/>
  <c r="D312" i="74"/>
  <c r="C312" i="74"/>
  <c r="B312" i="74"/>
  <c r="A312" i="74"/>
  <c r="BD311" i="74"/>
  <c r="BC311" i="74"/>
  <c r="D311" i="74"/>
  <c r="C311" i="74"/>
  <c r="B311" i="74"/>
  <c r="A311" i="74"/>
  <c r="BD310" i="74"/>
  <c r="BC310" i="74"/>
  <c r="D310" i="74"/>
  <c r="C310" i="74"/>
  <c r="B310" i="74"/>
  <c r="A310" i="74"/>
  <c r="BD309" i="74"/>
  <c r="BC309" i="74"/>
  <c r="D309" i="74"/>
  <c r="C309" i="74"/>
  <c r="B309" i="74"/>
  <c r="A309" i="74"/>
  <c r="BD308" i="74"/>
  <c r="BC308" i="74"/>
  <c r="D308" i="74"/>
  <c r="C308" i="74"/>
  <c r="B308" i="74"/>
  <c r="A308" i="74"/>
  <c r="BD307" i="74"/>
  <c r="BC307" i="74"/>
  <c r="D307" i="74"/>
  <c r="C307" i="74"/>
  <c r="B307" i="74"/>
  <c r="A307" i="74"/>
  <c r="BD306" i="74"/>
  <c r="BC306" i="74"/>
  <c r="BB306" i="74"/>
  <c r="D306" i="74"/>
  <c r="C306" i="74"/>
  <c r="B306" i="74"/>
  <c r="A306" i="74"/>
  <c r="BD305" i="74"/>
  <c r="BC305" i="74"/>
  <c r="BB305" i="74"/>
  <c r="D305" i="74"/>
  <c r="C305" i="74"/>
  <c r="B305" i="74"/>
  <c r="A305" i="74"/>
  <c r="BD304" i="74"/>
  <c r="BC304" i="74"/>
  <c r="BB304" i="74"/>
  <c r="D304" i="74"/>
  <c r="C304" i="74"/>
  <c r="B304" i="74"/>
  <c r="A304" i="74"/>
  <c r="BD303" i="74"/>
  <c r="BC303" i="74"/>
  <c r="BB303" i="74"/>
  <c r="D303" i="74"/>
  <c r="C303" i="74"/>
  <c r="B303" i="74"/>
  <c r="A303" i="74"/>
  <c r="BD302" i="74"/>
  <c r="BC302" i="74"/>
  <c r="BB302" i="74"/>
  <c r="D302" i="74"/>
  <c r="C302" i="74"/>
  <c r="B302" i="74"/>
  <c r="A302" i="74"/>
  <c r="BD301" i="74"/>
  <c r="BC301" i="74"/>
  <c r="BB301" i="74"/>
  <c r="D301" i="74"/>
  <c r="C301" i="74"/>
  <c r="B301" i="74"/>
  <c r="A301" i="74"/>
  <c r="AZ300" i="74"/>
  <c r="AY300" i="74"/>
  <c r="AX300" i="74"/>
  <c r="AW300" i="74"/>
  <c r="AV300" i="74"/>
  <c r="D300" i="74"/>
  <c r="C300" i="74"/>
  <c r="B300" i="74"/>
  <c r="A300" i="74"/>
  <c r="AZ299" i="74"/>
  <c r="AY299" i="74"/>
  <c r="AX299" i="74"/>
  <c r="AW299" i="74"/>
  <c r="AV299" i="74"/>
  <c r="D299" i="74"/>
  <c r="C299" i="74"/>
  <c r="B299" i="74"/>
  <c r="A299" i="74"/>
  <c r="AZ298" i="74"/>
  <c r="AY298" i="74"/>
  <c r="AX298" i="74"/>
  <c r="AW298" i="74"/>
  <c r="AV298" i="74"/>
  <c r="D298" i="74"/>
  <c r="C298" i="74"/>
  <c r="B298" i="74"/>
  <c r="A298" i="74"/>
  <c r="AZ297" i="74"/>
  <c r="AY297" i="74"/>
  <c r="AX297" i="74"/>
  <c r="AW297" i="74"/>
  <c r="AV297" i="74"/>
  <c r="D297" i="74"/>
  <c r="C297" i="74"/>
  <c r="B297" i="74"/>
  <c r="A297" i="74"/>
  <c r="AZ296" i="74"/>
  <c r="AY296" i="74"/>
  <c r="AX296" i="74"/>
  <c r="AW296" i="74"/>
  <c r="AV296" i="74"/>
  <c r="D296" i="74"/>
  <c r="C296" i="74"/>
  <c r="B296" i="74"/>
  <c r="A296" i="74"/>
  <c r="AZ295" i="74"/>
  <c r="AY295" i="74"/>
  <c r="AX295" i="74"/>
  <c r="AW295" i="74"/>
  <c r="AV295" i="74"/>
  <c r="D295" i="74"/>
  <c r="C295" i="74"/>
  <c r="B295" i="74"/>
  <c r="A295" i="74"/>
  <c r="AZ294" i="74"/>
  <c r="AY294" i="74"/>
  <c r="AX294" i="74"/>
  <c r="AW294" i="74"/>
  <c r="AV294" i="74"/>
  <c r="D294" i="74"/>
  <c r="C294" i="74"/>
  <c r="B294" i="74"/>
  <c r="A294" i="74"/>
  <c r="AZ293" i="74"/>
  <c r="AY293" i="74"/>
  <c r="AX293" i="74"/>
  <c r="AW293" i="74"/>
  <c r="AV293" i="74"/>
  <c r="D293" i="74"/>
  <c r="C293" i="74"/>
  <c r="B293" i="74"/>
  <c r="A293" i="74"/>
  <c r="AZ292" i="74"/>
  <c r="AY292" i="74"/>
  <c r="AX292" i="74"/>
  <c r="AW292" i="74"/>
  <c r="AV292" i="74"/>
  <c r="D292" i="74"/>
  <c r="C292" i="74"/>
  <c r="B292" i="74"/>
  <c r="A292" i="74"/>
  <c r="AZ291" i="74"/>
  <c r="AY291" i="74"/>
  <c r="AX291" i="74"/>
  <c r="AW291" i="74"/>
  <c r="AV291" i="74"/>
  <c r="D291" i="74"/>
  <c r="C291" i="74"/>
  <c r="B291" i="74"/>
  <c r="A291" i="74"/>
  <c r="AZ290" i="74"/>
  <c r="AY290" i="74"/>
  <c r="AX290" i="74"/>
  <c r="AW290" i="74"/>
  <c r="AV290" i="74"/>
  <c r="D290" i="74"/>
  <c r="C290" i="74"/>
  <c r="B290" i="74"/>
  <c r="A290" i="74"/>
  <c r="AZ289" i="74"/>
  <c r="AY289" i="74"/>
  <c r="AX289" i="74"/>
  <c r="AW289" i="74"/>
  <c r="AV289" i="74"/>
  <c r="D289" i="74"/>
  <c r="C289" i="74"/>
  <c r="B289" i="74"/>
  <c r="A289" i="74"/>
  <c r="AZ288" i="74"/>
  <c r="AY288" i="74"/>
  <c r="AX288" i="74"/>
  <c r="AW288" i="74"/>
  <c r="AV288" i="74"/>
  <c r="D288" i="74"/>
  <c r="C288" i="74"/>
  <c r="B288" i="74"/>
  <c r="A288" i="74"/>
  <c r="AZ287" i="74"/>
  <c r="AY287" i="74"/>
  <c r="AX287" i="74"/>
  <c r="AW287" i="74"/>
  <c r="AV287" i="74"/>
  <c r="D287" i="74"/>
  <c r="C287" i="74"/>
  <c r="B287" i="74"/>
  <c r="A287" i="74"/>
  <c r="AZ286" i="74"/>
  <c r="AY286" i="74"/>
  <c r="AX286" i="74"/>
  <c r="AW286" i="74"/>
  <c r="AV286" i="74"/>
  <c r="D286" i="74"/>
  <c r="C286" i="74"/>
  <c r="B286" i="74"/>
  <c r="A286" i="74"/>
  <c r="AZ285" i="74"/>
  <c r="AY285" i="74"/>
  <c r="AX285" i="74"/>
  <c r="AW285" i="74"/>
  <c r="AV285" i="74"/>
  <c r="D285" i="74"/>
  <c r="C285" i="74"/>
  <c r="B285" i="74"/>
  <c r="A285" i="74"/>
  <c r="AZ284" i="74"/>
  <c r="AY284" i="74"/>
  <c r="AX284" i="74"/>
  <c r="AW284" i="74"/>
  <c r="AV284" i="74"/>
  <c r="D284" i="74"/>
  <c r="C284" i="74"/>
  <c r="B284" i="74"/>
  <c r="A284" i="74"/>
  <c r="AZ283" i="74"/>
  <c r="AY283" i="74"/>
  <c r="AX283" i="74"/>
  <c r="AW283" i="74"/>
  <c r="AV283" i="74"/>
  <c r="D283" i="74"/>
  <c r="C283" i="74"/>
  <c r="B283" i="74"/>
  <c r="A283" i="74"/>
  <c r="BC282" i="74"/>
  <c r="BB282" i="74"/>
  <c r="BA282" i="74"/>
  <c r="AZ282" i="74"/>
  <c r="AY282" i="74"/>
  <c r="AX282" i="74"/>
  <c r="D282" i="74"/>
  <c r="C282" i="74"/>
  <c r="B282" i="74"/>
  <c r="A282" i="74"/>
  <c r="BC281" i="74"/>
  <c r="BB281" i="74"/>
  <c r="BA281" i="74"/>
  <c r="AZ281" i="74"/>
  <c r="AY281" i="74"/>
  <c r="AX281" i="74"/>
  <c r="D281" i="74"/>
  <c r="C281" i="74"/>
  <c r="B281" i="74"/>
  <c r="A281" i="74"/>
  <c r="BC280" i="74"/>
  <c r="BB280" i="74"/>
  <c r="BA280" i="74"/>
  <c r="AZ280" i="74"/>
  <c r="AY280" i="74"/>
  <c r="AX280" i="74"/>
  <c r="D280" i="74"/>
  <c r="C280" i="74"/>
  <c r="B280" i="74"/>
  <c r="A280" i="74"/>
  <c r="BC279" i="74"/>
  <c r="BB279" i="74"/>
  <c r="BA279" i="74"/>
  <c r="AZ279" i="74"/>
  <c r="AY279" i="74"/>
  <c r="AX279" i="74"/>
  <c r="D279" i="74"/>
  <c r="C279" i="74"/>
  <c r="B279" i="74"/>
  <c r="A279" i="74"/>
  <c r="BC278" i="74"/>
  <c r="BB278" i="74"/>
  <c r="BA278" i="74"/>
  <c r="AZ278" i="74"/>
  <c r="AY278" i="74"/>
  <c r="AX278" i="74"/>
  <c r="D278" i="74"/>
  <c r="C278" i="74"/>
  <c r="B278" i="74"/>
  <c r="A278" i="74"/>
  <c r="BC277" i="74"/>
  <c r="BB277" i="74"/>
  <c r="BA277" i="74"/>
  <c r="AZ277" i="74"/>
  <c r="AY277" i="74"/>
  <c r="AX277" i="74"/>
  <c r="D277" i="74"/>
  <c r="C277" i="74"/>
  <c r="B277" i="74"/>
  <c r="A277" i="74"/>
  <c r="BB276" i="74"/>
  <c r="BA276" i="74"/>
  <c r="AZ276" i="74"/>
  <c r="AY276" i="74"/>
  <c r="AX276" i="74"/>
  <c r="AW276" i="74"/>
  <c r="D276" i="74"/>
  <c r="C276" i="74"/>
  <c r="B276" i="74"/>
  <c r="A276" i="74"/>
  <c r="BB275" i="74"/>
  <c r="BA275" i="74"/>
  <c r="AZ275" i="74"/>
  <c r="AY275" i="74"/>
  <c r="AX275" i="74"/>
  <c r="AW275" i="74"/>
  <c r="D275" i="74"/>
  <c r="C275" i="74"/>
  <c r="B275" i="74"/>
  <c r="A275" i="74"/>
  <c r="BB274" i="74"/>
  <c r="BA274" i="74"/>
  <c r="AZ274" i="74"/>
  <c r="AY274" i="74"/>
  <c r="AX274" i="74"/>
  <c r="AW274" i="74"/>
  <c r="D274" i="74"/>
  <c r="C274" i="74"/>
  <c r="B274" i="74"/>
  <c r="A274" i="74"/>
  <c r="BB273" i="74"/>
  <c r="BA273" i="74"/>
  <c r="AZ273" i="74"/>
  <c r="AY273" i="74"/>
  <c r="AX273" i="74"/>
  <c r="AW273" i="74"/>
  <c r="D273" i="74"/>
  <c r="C273" i="74"/>
  <c r="B273" i="74"/>
  <c r="A273" i="74"/>
  <c r="BB272" i="74"/>
  <c r="BA272" i="74"/>
  <c r="AZ272" i="74"/>
  <c r="AY272" i="74"/>
  <c r="AX272" i="74"/>
  <c r="AW272" i="74"/>
  <c r="D272" i="74"/>
  <c r="C272" i="74"/>
  <c r="B272" i="74"/>
  <c r="A272" i="74"/>
  <c r="BB271" i="74"/>
  <c r="BA271" i="74"/>
  <c r="AZ271" i="74"/>
  <c r="AY271" i="74"/>
  <c r="AX271" i="74"/>
  <c r="AW271" i="74"/>
  <c r="D271" i="74"/>
  <c r="C271" i="74"/>
  <c r="B271" i="74"/>
  <c r="A271" i="74"/>
  <c r="AZ270" i="74"/>
  <c r="AY270" i="74"/>
  <c r="AX270" i="74"/>
  <c r="AW270" i="74"/>
  <c r="AV270" i="74"/>
  <c r="D270" i="74"/>
  <c r="C270" i="74"/>
  <c r="B270" i="74"/>
  <c r="A270" i="74"/>
  <c r="AZ269" i="74"/>
  <c r="AY269" i="74"/>
  <c r="AX269" i="74"/>
  <c r="AW269" i="74"/>
  <c r="AV269" i="74"/>
  <c r="D269" i="74"/>
  <c r="C269" i="74"/>
  <c r="B269" i="74"/>
  <c r="A269" i="74"/>
  <c r="AZ268" i="74"/>
  <c r="AY268" i="74"/>
  <c r="AX268" i="74"/>
  <c r="AW268" i="74"/>
  <c r="AV268" i="74"/>
  <c r="D268" i="74"/>
  <c r="C268" i="74"/>
  <c r="B268" i="74"/>
  <c r="A268" i="74"/>
  <c r="AZ267" i="74"/>
  <c r="AY267" i="74"/>
  <c r="AX267" i="74"/>
  <c r="AW267" i="74"/>
  <c r="AV267" i="74"/>
  <c r="D267" i="74"/>
  <c r="C267" i="74"/>
  <c r="B267" i="74"/>
  <c r="A267" i="74"/>
  <c r="AZ266" i="74"/>
  <c r="AY266" i="74"/>
  <c r="AX266" i="74"/>
  <c r="AW266" i="74"/>
  <c r="AV266" i="74"/>
  <c r="D266" i="74"/>
  <c r="C266" i="74"/>
  <c r="B266" i="74"/>
  <c r="A266" i="74"/>
  <c r="AZ265" i="74"/>
  <c r="AY265" i="74"/>
  <c r="AX265" i="74"/>
  <c r="AW265" i="74"/>
  <c r="AV265" i="74"/>
  <c r="D265" i="74"/>
  <c r="C265" i="74"/>
  <c r="B265" i="74"/>
  <c r="A265" i="74"/>
  <c r="AZ264" i="74"/>
  <c r="AY264" i="74"/>
  <c r="AX264" i="74"/>
  <c r="AW264" i="74"/>
  <c r="AV264" i="74"/>
  <c r="AU264" i="74"/>
  <c r="D264" i="74"/>
  <c r="C264" i="74"/>
  <c r="B264" i="74"/>
  <c r="A264" i="74"/>
  <c r="AZ263" i="74"/>
  <c r="AY263" i="74"/>
  <c r="AX263" i="74"/>
  <c r="AW263" i="74"/>
  <c r="AV263" i="74"/>
  <c r="AU263" i="74"/>
  <c r="D263" i="74"/>
  <c r="C263" i="74"/>
  <c r="B263" i="74"/>
  <c r="A263" i="74"/>
  <c r="AZ262" i="74"/>
  <c r="AY262" i="74"/>
  <c r="AX262" i="74"/>
  <c r="AW262" i="74"/>
  <c r="AV262" i="74"/>
  <c r="AU262" i="74"/>
  <c r="D262" i="74"/>
  <c r="C262" i="74"/>
  <c r="B262" i="74"/>
  <c r="A262" i="74"/>
  <c r="AZ261" i="74"/>
  <c r="AY261" i="74"/>
  <c r="AX261" i="74"/>
  <c r="AW261" i="74"/>
  <c r="AV261" i="74"/>
  <c r="AU261" i="74"/>
  <c r="D261" i="74"/>
  <c r="C261" i="74"/>
  <c r="B261" i="74"/>
  <c r="A261" i="74"/>
  <c r="AZ260" i="74"/>
  <c r="AY260" i="74"/>
  <c r="AX260" i="74"/>
  <c r="AW260" i="74"/>
  <c r="AV260" i="74"/>
  <c r="AU260" i="74"/>
  <c r="D260" i="74"/>
  <c r="C260" i="74"/>
  <c r="B260" i="74"/>
  <c r="A260" i="74"/>
  <c r="AZ259" i="74"/>
  <c r="AY259" i="74"/>
  <c r="AX259" i="74"/>
  <c r="AW259" i="74"/>
  <c r="AV259" i="74"/>
  <c r="AU259" i="74"/>
  <c r="D259" i="74"/>
  <c r="C259" i="74"/>
  <c r="B259" i="74"/>
  <c r="A259" i="74"/>
  <c r="AY258" i="74"/>
  <c r="AX258" i="74"/>
  <c r="AW258" i="74"/>
  <c r="AV258" i="74"/>
  <c r="AU258" i="74"/>
  <c r="AT258" i="74"/>
  <c r="D258" i="74"/>
  <c r="C258" i="74"/>
  <c r="B258" i="74"/>
  <c r="A258" i="74"/>
  <c r="AY257" i="74"/>
  <c r="AX257" i="74"/>
  <c r="AW257" i="74"/>
  <c r="AV257" i="74"/>
  <c r="AU257" i="74"/>
  <c r="AT257" i="74"/>
  <c r="D257" i="74"/>
  <c r="C257" i="74"/>
  <c r="B257" i="74"/>
  <c r="A257" i="74"/>
  <c r="AY256" i="74"/>
  <c r="AX256" i="74"/>
  <c r="AW256" i="74"/>
  <c r="AV256" i="74"/>
  <c r="AU256" i="74"/>
  <c r="AT256" i="74"/>
  <c r="D256" i="74"/>
  <c r="C256" i="74"/>
  <c r="B256" i="74"/>
  <c r="A256" i="74"/>
  <c r="AY255" i="74"/>
  <c r="AX255" i="74"/>
  <c r="AW255" i="74"/>
  <c r="AV255" i="74"/>
  <c r="AU255" i="74"/>
  <c r="AT255" i="74"/>
  <c r="D255" i="74"/>
  <c r="C255" i="74"/>
  <c r="B255" i="74"/>
  <c r="A255" i="74"/>
  <c r="AY254" i="74"/>
  <c r="AX254" i="74"/>
  <c r="AW254" i="74"/>
  <c r="AV254" i="74"/>
  <c r="AU254" i="74"/>
  <c r="AT254" i="74"/>
  <c r="D254" i="74"/>
  <c r="C254" i="74"/>
  <c r="B254" i="74"/>
  <c r="A254" i="74"/>
  <c r="AY253" i="74"/>
  <c r="AX253" i="74"/>
  <c r="AW253" i="74"/>
  <c r="AV253" i="74"/>
  <c r="AU253" i="74"/>
  <c r="AT253" i="74"/>
  <c r="D253" i="74"/>
  <c r="C253" i="74"/>
  <c r="B253" i="74"/>
  <c r="A253" i="74"/>
  <c r="AX252" i="74"/>
  <c r="AW252" i="74"/>
  <c r="AV252" i="74"/>
  <c r="AU252" i="74"/>
  <c r="AT252" i="74"/>
  <c r="AS252" i="74"/>
  <c r="D252" i="74"/>
  <c r="C252" i="74"/>
  <c r="B252" i="74"/>
  <c r="A252" i="74"/>
  <c r="AX251" i="74"/>
  <c r="AW251" i="74"/>
  <c r="AV251" i="74"/>
  <c r="AU251" i="74"/>
  <c r="AT251" i="74"/>
  <c r="AS251" i="74"/>
  <c r="D251" i="74"/>
  <c r="C251" i="74"/>
  <c r="B251" i="74"/>
  <c r="A251" i="74"/>
  <c r="AX250" i="74"/>
  <c r="AW250" i="74"/>
  <c r="AV250" i="74"/>
  <c r="AU250" i="74"/>
  <c r="AT250" i="74"/>
  <c r="AS250" i="74"/>
  <c r="D250" i="74"/>
  <c r="C250" i="74"/>
  <c r="B250" i="74"/>
  <c r="A250" i="74"/>
  <c r="AX249" i="74"/>
  <c r="AW249" i="74"/>
  <c r="AV249" i="74"/>
  <c r="AU249" i="74"/>
  <c r="AT249" i="74"/>
  <c r="AS249" i="74"/>
  <c r="D249" i="74"/>
  <c r="C249" i="74"/>
  <c r="B249" i="74"/>
  <c r="A249" i="74"/>
  <c r="AX248" i="74"/>
  <c r="AW248" i="74"/>
  <c r="AV248" i="74"/>
  <c r="AU248" i="74"/>
  <c r="AT248" i="74"/>
  <c r="AS248" i="74"/>
  <c r="D248" i="74"/>
  <c r="C248" i="74"/>
  <c r="B248" i="74"/>
  <c r="A248" i="74"/>
  <c r="AX247" i="74"/>
  <c r="AW247" i="74"/>
  <c r="AV247" i="74"/>
  <c r="AU247" i="74"/>
  <c r="AT247" i="74"/>
  <c r="AS247" i="74"/>
  <c r="D247" i="74"/>
  <c r="C247" i="74"/>
  <c r="B247" i="74"/>
  <c r="A247" i="74"/>
  <c r="AW246" i="74"/>
  <c r="AV246" i="74"/>
  <c r="AU246" i="74"/>
  <c r="AT246" i="74"/>
  <c r="AS246" i="74"/>
  <c r="AR246" i="74"/>
  <c r="D246" i="74"/>
  <c r="C246" i="74"/>
  <c r="B246" i="74"/>
  <c r="A246" i="74"/>
  <c r="AW245" i="74"/>
  <c r="AV245" i="74"/>
  <c r="AU245" i="74"/>
  <c r="AT245" i="74"/>
  <c r="AS245" i="74"/>
  <c r="AR245" i="74"/>
  <c r="D245" i="74"/>
  <c r="C245" i="74"/>
  <c r="B245" i="74"/>
  <c r="A245" i="74"/>
  <c r="AW244" i="74"/>
  <c r="AV244" i="74"/>
  <c r="AU244" i="74"/>
  <c r="AT244" i="74"/>
  <c r="AS244" i="74"/>
  <c r="AR244" i="74"/>
  <c r="D244" i="74"/>
  <c r="C244" i="74"/>
  <c r="B244" i="74"/>
  <c r="A244" i="74"/>
  <c r="AW243" i="74"/>
  <c r="AV243" i="74"/>
  <c r="AU243" i="74"/>
  <c r="AT243" i="74"/>
  <c r="AS243" i="74"/>
  <c r="AR243" i="74"/>
  <c r="D243" i="74"/>
  <c r="C243" i="74"/>
  <c r="B243" i="74"/>
  <c r="A243" i="74"/>
  <c r="AW242" i="74"/>
  <c r="AV242" i="74"/>
  <c r="AU242" i="74"/>
  <c r="AT242" i="74"/>
  <c r="AS242" i="74"/>
  <c r="AR242" i="74"/>
  <c r="D242" i="74"/>
  <c r="C242" i="74"/>
  <c r="B242" i="74"/>
  <c r="A242" i="74"/>
  <c r="AW241" i="74"/>
  <c r="AV241" i="74"/>
  <c r="AU241" i="74"/>
  <c r="AT241" i="74"/>
  <c r="AS241" i="74"/>
  <c r="AR241" i="74"/>
  <c r="D241" i="74"/>
  <c r="C241" i="74"/>
  <c r="B241" i="74"/>
  <c r="A241" i="74"/>
  <c r="AV240" i="74"/>
  <c r="AU240" i="74"/>
  <c r="AT240" i="74"/>
  <c r="AS240" i="74"/>
  <c r="AR240" i="74"/>
  <c r="AQ240" i="74"/>
  <c r="D240" i="74"/>
  <c r="C240" i="74"/>
  <c r="B240" i="74"/>
  <c r="A240" i="74"/>
  <c r="AV239" i="74"/>
  <c r="AU239" i="74"/>
  <c r="AT239" i="74"/>
  <c r="AS239" i="74"/>
  <c r="AR239" i="74"/>
  <c r="AQ239" i="74"/>
  <c r="D239" i="74"/>
  <c r="C239" i="74"/>
  <c r="B239" i="74"/>
  <c r="A239" i="74"/>
  <c r="AV238" i="74"/>
  <c r="AU238" i="74"/>
  <c r="AT238" i="74"/>
  <c r="AS238" i="74"/>
  <c r="AR238" i="74"/>
  <c r="AQ238" i="74"/>
  <c r="D238" i="74"/>
  <c r="C238" i="74"/>
  <c r="B238" i="74"/>
  <c r="A238" i="74"/>
  <c r="AV237" i="74"/>
  <c r="AU237" i="74"/>
  <c r="AT237" i="74"/>
  <c r="AS237" i="74"/>
  <c r="AR237" i="74"/>
  <c r="AQ237" i="74"/>
  <c r="D237" i="74"/>
  <c r="C237" i="74"/>
  <c r="B237" i="74"/>
  <c r="A237" i="74"/>
  <c r="AV236" i="74"/>
  <c r="AU236" i="74"/>
  <c r="AT236" i="74"/>
  <c r="AS236" i="74"/>
  <c r="AR236" i="74"/>
  <c r="AQ236" i="74"/>
  <c r="D236" i="74"/>
  <c r="C236" i="74"/>
  <c r="B236" i="74"/>
  <c r="A236" i="74"/>
  <c r="AV235" i="74"/>
  <c r="AU235" i="74"/>
  <c r="AT235" i="74"/>
  <c r="AS235" i="74"/>
  <c r="AR235" i="74"/>
  <c r="AQ235" i="74"/>
  <c r="D235" i="74"/>
  <c r="C235" i="74"/>
  <c r="B235" i="74"/>
  <c r="A235" i="74"/>
  <c r="AU234" i="74"/>
  <c r="AT234" i="74"/>
  <c r="AS234" i="74"/>
  <c r="AR234" i="74"/>
  <c r="AQ234" i="74"/>
  <c r="AP234" i="74"/>
  <c r="D234" i="74"/>
  <c r="C234" i="74"/>
  <c r="B234" i="74"/>
  <c r="A234" i="74"/>
  <c r="AU233" i="74"/>
  <c r="AT233" i="74"/>
  <c r="AS233" i="74"/>
  <c r="AR233" i="74"/>
  <c r="AQ233" i="74"/>
  <c r="AP233" i="74"/>
  <c r="D233" i="74"/>
  <c r="C233" i="74"/>
  <c r="B233" i="74"/>
  <c r="A233" i="74"/>
  <c r="AU232" i="74"/>
  <c r="AT232" i="74"/>
  <c r="AS232" i="74"/>
  <c r="AR232" i="74"/>
  <c r="AQ232" i="74"/>
  <c r="AP232" i="74"/>
  <c r="D232" i="74"/>
  <c r="C232" i="74"/>
  <c r="B232" i="74"/>
  <c r="A232" i="74"/>
  <c r="AU231" i="74"/>
  <c r="AT231" i="74"/>
  <c r="AS231" i="74"/>
  <c r="AR231" i="74"/>
  <c r="AQ231" i="74"/>
  <c r="AP231" i="74"/>
  <c r="D231" i="74"/>
  <c r="C231" i="74"/>
  <c r="B231" i="74"/>
  <c r="A231" i="74"/>
  <c r="AU230" i="74"/>
  <c r="AT230" i="74"/>
  <c r="AS230" i="74"/>
  <c r="AR230" i="74"/>
  <c r="AQ230" i="74"/>
  <c r="AP230" i="74"/>
  <c r="D230" i="74"/>
  <c r="C230" i="74"/>
  <c r="B230" i="74"/>
  <c r="A230" i="74"/>
  <c r="AU229" i="74"/>
  <c r="AT229" i="74"/>
  <c r="AS229" i="74"/>
  <c r="AR229" i="74"/>
  <c r="AQ229" i="74"/>
  <c r="AP229" i="74"/>
  <c r="D229" i="74"/>
  <c r="C229" i="74"/>
  <c r="B229" i="74"/>
  <c r="A229" i="74"/>
  <c r="AT228" i="74"/>
  <c r="AS228" i="74"/>
  <c r="AR228" i="74"/>
  <c r="AQ228" i="74"/>
  <c r="AP228" i="74"/>
  <c r="AO228" i="74"/>
  <c r="D228" i="74"/>
  <c r="C228" i="74"/>
  <c r="B228" i="74"/>
  <c r="A228" i="74"/>
  <c r="AT227" i="74"/>
  <c r="AS227" i="74"/>
  <c r="AR227" i="74"/>
  <c r="AQ227" i="74"/>
  <c r="AP227" i="74"/>
  <c r="AO227" i="74"/>
  <c r="D227" i="74"/>
  <c r="C227" i="74"/>
  <c r="B227" i="74"/>
  <c r="A227" i="74"/>
  <c r="AT226" i="74"/>
  <c r="AS226" i="74"/>
  <c r="AR226" i="74"/>
  <c r="AQ226" i="74"/>
  <c r="AP226" i="74"/>
  <c r="AO226" i="74"/>
  <c r="D226" i="74"/>
  <c r="C226" i="74"/>
  <c r="B226" i="74"/>
  <c r="A226" i="74"/>
  <c r="AT225" i="74"/>
  <c r="AS225" i="74"/>
  <c r="AR225" i="74"/>
  <c r="AQ225" i="74"/>
  <c r="AP225" i="74"/>
  <c r="AO225" i="74"/>
  <c r="D225" i="74"/>
  <c r="C225" i="74"/>
  <c r="B225" i="74"/>
  <c r="A225" i="74"/>
  <c r="AT224" i="74"/>
  <c r="AS224" i="74"/>
  <c r="AR224" i="74"/>
  <c r="AQ224" i="74"/>
  <c r="AP224" i="74"/>
  <c r="AO224" i="74"/>
  <c r="D224" i="74"/>
  <c r="C224" i="74"/>
  <c r="B224" i="74"/>
  <c r="A224" i="74"/>
  <c r="AT223" i="74"/>
  <c r="AS223" i="74"/>
  <c r="AR223" i="74"/>
  <c r="AQ223" i="74"/>
  <c r="AP223" i="74"/>
  <c r="AO223" i="74"/>
  <c r="D223" i="74"/>
  <c r="C223" i="74"/>
  <c r="B223" i="74"/>
  <c r="A223" i="74"/>
  <c r="AS222" i="74"/>
  <c r="AR222" i="74"/>
  <c r="AQ222" i="74"/>
  <c r="AP222" i="74"/>
  <c r="AO222" i="74"/>
  <c r="AN222" i="74"/>
  <c r="D222" i="74"/>
  <c r="C222" i="74"/>
  <c r="B222" i="74"/>
  <c r="A222" i="74"/>
  <c r="AS221" i="74"/>
  <c r="AR221" i="74"/>
  <c r="AQ221" i="74"/>
  <c r="AP221" i="74"/>
  <c r="AO221" i="74"/>
  <c r="AN221" i="74"/>
  <c r="D221" i="74"/>
  <c r="C221" i="74"/>
  <c r="B221" i="74"/>
  <c r="A221" i="74"/>
  <c r="AS220" i="74"/>
  <c r="AR220" i="74"/>
  <c r="AQ220" i="74"/>
  <c r="AP220" i="74"/>
  <c r="AO220" i="74"/>
  <c r="AN220" i="74"/>
  <c r="D220" i="74"/>
  <c r="C220" i="74"/>
  <c r="B220" i="74"/>
  <c r="A220" i="74"/>
  <c r="AS219" i="74"/>
  <c r="AR219" i="74"/>
  <c r="AQ219" i="74"/>
  <c r="AP219" i="74"/>
  <c r="AO219" i="74"/>
  <c r="AN219" i="74"/>
  <c r="D219" i="74"/>
  <c r="C219" i="74"/>
  <c r="B219" i="74"/>
  <c r="A219" i="74"/>
  <c r="AS218" i="74"/>
  <c r="AR218" i="74"/>
  <c r="AQ218" i="74"/>
  <c r="AP218" i="74"/>
  <c r="AO218" i="74"/>
  <c r="AN218" i="74"/>
  <c r="D218" i="74"/>
  <c r="C218" i="74"/>
  <c r="B218" i="74"/>
  <c r="A218" i="74"/>
  <c r="AS217" i="74"/>
  <c r="AR217" i="74"/>
  <c r="AQ217" i="74"/>
  <c r="AP217" i="74"/>
  <c r="AO217" i="74"/>
  <c r="AN217" i="74"/>
  <c r="D217" i="74"/>
  <c r="C217" i="74"/>
  <c r="B217" i="74"/>
  <c r="A217" i="74"/>
  <c r="AR216" i="74"/>
  <c r="AQ216" i="74"/>
  <c r="AP216" i="74"/>
  <c r="AO216" i="74"/>
  <c r="AN216" i="74"/>
  <c r="AM216" i="74"/>
  <c r="D216" i="74"/>
  <c r="C216" i="74"/>
  <c r="B216" i="74"/>
  <c r="A216" i="74"/>
  <c r="AR215" i="74"/>
  <c r="AQ215" i="74"/>
  <c r="AP215" i="74"/>
  <c r="AO215" i="74"/>
  <c r="AN215" i="74"/>
  <c r="AM215" i="74"/>
  <c r="D215" i="74"/>
  <c r="C215" i="74"/>
  <c r="B215" i="74"/>
  <c r="A215" i="74"/>
  <c r="AR214" i="74"/>
  <c r="AQ214" i="74"/>
  <c r="AP214" i="74"/>
  <c r="AO214" i="74"/>
  <c r="AN214" i="74"/>
  <c r="AM214" i="74"/>
  <c r="D214" i="74"/>
  <c r="C214" i="74"/>
  <c r="B214" i="74"/>
  <c r="A214" i="74"/>
  <c r="AR213" i="74"/>
  <c r="AQ213" i="74"/>
  <c r="AP213" i="74"/>
  <c r="AO213" i="74"/>
  <c r="AN213" i="74"/>
  <c r="AM213" i="74"/>
  <c r="D213" i="74"/>
  <c r="C213" i="74"/>
  <c r="B213" i="74"/>
  <c r="A213" i="74"/>
  <c r="AR212" i="74"/>
  <c r="AQ212" i="74"/>
  <c r="AP212" i="74"/>
  <c r="AO212" i="74"/>
  <c r="AN212" i="74"/>
  <c r="AM212" i="74"/>
  <c r="D212" i="74"/>
  <c r="C212" i="74"/>
  <c r="B212" i="74"/>
  <c r="A212" i="74"/>
  <c r="AR211" i="74"/>
  <c r="AQ211" i="74"/>
  <c r="AP211" i="74"/>
  <c r="AO211" i="74"/>
  <c r="AN211" i="74"/>
  <c r="AM211" i="74"/>
  <c r="D211" i="74"/>
  <c r="C211" i="74"/>
  <c r="B211" i="74"/>
  <c r="A211" i="74"/>
  <c r="AQ210" i="74"/>
  <c r="AP210" i="74"/>
  <c r="AO210" i="74"/>
  <c r="AN210" i="74"/>
  <c r="AM210" i="74"/>
  <c r="AL210" i="74"/>
  <c r="D210" i="74"/>
  <c r="C210" i="74"/>
  <c r="B210" i="74"/>
  <c r="A210" i="74"/>
  <c r="AQ209" i="74"/>
  <c r="AP209" i="74"/>
  <c r="AO209" i="74"/>
  <c r="AN209" i="74"/>
  <c r="AM209" i="74"/>
  <c r="AL209" i="74"/>
  <c r="D209" i="74"/>
  <c r="C209" i="74"/>
  <c r="B209" i="74"/>
  <c r="A209" i="74"/>
  <c r="AQ208" i="74"/>
  <c r="AP208" i="74"/>
  <c r="AO208" i="74"/>
  <c r="AN208" i="74"/>
  <c r="AM208" i="74"/>
  <c r="AL208" i="74"/>
  <c r="D208" i="74"/>
  <c r="C208" i="74"/>
  <c r="B208" i="74"/>
  <c r="A208" i="74"/>
  <c r="AQ207" i="74"/>
  <c r="AP207" i="74"/>
  <c r="AO207" i="74"/>
  <c r="AN207" i="74"/>
  <c r="AM207" i="74"/>
  <c r="AL207" i="74"/>
  <c r="D207" i="74"/>
  <c r="C207" i="74"/>
  <c r="B207" i="74"/>
  <c r="A207" i="74"/>
  <c r="AQ206" i="74"/>
  <c r="AP206" i="74"/>
  <c r="AO206" i="74"/>
  <c r="AN206" i="74"/>
  <c r="AM206" i="74"/>
  <c r="AL206" i="74"/>
  <c r="D206" i="74"/>
  <c r="C206" i="74"/>
  <c r="B206" i="74"/>
  <c r="A206" i="74"/>
  <c r="AQ205" i="74"/>
  <c r="AP205" i="74"/>
  <c r="AO205" i="74"/>
  <c r="AN205" i="74"/>
  <c r="AM205" i="74"/>
  <c r="AL205" i="74"/>
  <c r="D205" i="74"/>
  <c r="C205" i="74"/>
  <c r="B205" i="74"/>
  <c r="A205" i="74"/>
  <c r="AP204" i="74"/>
  <c r="AO204" i="74"/>
  <c r="AN204" i="74"/>
  <c r="AM204" i="74"/>
  <c r="AL204" i="74"/>
  <c r="AK204" i="74"/>
  <c r="D204" i="74"/>
  <c r="C204" i="74"/>
  <c r="B204" i="74"/>
  <c r="A204" i="74"/>
  <c r="AP203" i="74"/>
  <c r="AO203" i="74"/>
  <c r="AN203" i="74"/>
  <c r="AM203" i="74"/>
  <c r="AL203" i="74"/>
  <c r="AK203" i="74"/>
  <c r="D203" i="74"/>
  <c r="C203" i="74"/>
  <c r="B203" i="74"/>
  <c r="A203" i="74"/>
  <c r="AP202" i="74"/>
  <c r="AO202" i="74"/>
  <c r="AN202" i="74"/>
  <c r="AM202" i="74"/>
  <c r="AL202" i="74"/>
  <c r="AK202" i="74"/>
  <c r="D202" i="74"/>
  <c r="C202" i="74"/>
  <c r="B202" i="74"/>
  <c r="A202" i="74"/>
  <c r="AP201" i="74"/>
  <c r="AO201" i="74"/>
  <c r="AN201" i="74"/>
  <c r="AM201" i="74"/>
  <c r="AL201" i="74"/>
  <c r="AK201" i="74"/>
  <c r="D201" i="74"/>
  <c r="C201" i="74"/>
  <c r="B201" i="74"/>
  <c r="A201" i="74"/>
  <c r="AP200" i="74"/>
  <c r="AO200" i="74"/>
  <c r="AN200" i="74"/>
  <c r="AM200" i="74"/>
  <c r="AL200" i="74"/>
  <c r="AK200" i="74"/>
  <c r="D200" i="74"/>
  <c r="C200" i="74"/>
  <c r="B200" i="74"/>
  <c r="A200" i="74"/>
  <c r="AP199" i="74"/>
  <c r="AO199" i="74"/>
  <c r="AN199" i="74"/>
  <c r="AM199" i="74"/>
  <c r="AL199" i="74"/>
  <c r="AK199" i="74"/>
  <c r="D199" i="74"/>
  <c r="C199" i="74"/>
  <c r="B199" i="74"/>
  <c r="A199" i="74"/>
  <c r="AO198" i="74"/>
  <c r="AN198" i="74"/>
  <c r="AM198" i="74"/>
  <c r="AL198" i="74"/>
  <c r="AK198" i="74"/>
  <c r="AJ198" i="74"/>
  <c r="D198" i="74"/>
  <c r="C198" i="74"/>
  <c r="B198" i="74"/>
  <c r="A198" i="74"/>
  <c r="AO197" i="74"/>
  <c r="AN197" i="74"/>
  <c r="AM197" i="74"/>
  <c r="AL197" i="74"/>
  <c r="AK197" i="74"/>
  <c r="AJ197" i="74"/>
  <c r="D197" i="74"/>
  <c r="C197" i="74"/>
  <c r="B197" i="74"/>
  <c r="A197" i="74"/>
  <c r="AO196" i="74"/>
  <c r="AN196" i="74"/>
  <c r="AM196" i="74"/>
  <c r="AL196" i="74"/>
  <c r="AK196" i="74"/>
  <c r="AJ196" i="74"/>
  <c r="D196" i="74"/>
  <c r="C196" i="74"/>
  <c r="B196" i="74"/>
  <c r="A196" i="74"/>
  <c r="AO195" i="74"/>
  <c r="AN195" i="74"/>
  <c r="AM195" i="74"/>
  <c r="AL195" i="74"/>
  <c r="AK195" i="74"/>
  <c r="AJ195" i="74"/>
  <c r="D195" i="74"/>
  <c r="C195" i="74"/>
  <c r="B195" i="74"/>
  <c r="A195" i="74"/>
  <c r="AO194" i="74"/>
  <c r="AN194" i="74"/>
  <c r="AM194" i="74"/>
  <c r="AL194" i="74"/>
  <c r="AK194" i="74"/>
  <c r="AJ194" i="74"/>
  <c r="D194" i="74"/>
  <c r="C194" i="74"/>
  <c r="B194" i="74"/>
  <c r="A194" i="74"/>
  <c r="AO193" i="74"/>
  <c r="AN193" i="74"/>
  <c r="AM193" i="74"/>
  <c r="AL193" i="74"/>
  <c r="AK193" i="74"/>
  <c r="AJ193" i="74"/>
  <c r="D193" i="74"/>
  <c r="C193" i="74"/>
  <c r="B193" i="74"/>
  <c r="A193" i="74"/>
  <c r="AN192" i="74"/>
  <c r="AM192" i="74"/>
  <c r="AL192" i="74"/>
  <c r="AK192" i="74"/>
  <c r="AJ192" i="74"/>
  <c r="AI192" i="74"/>
  <c r="D192" i="74"/>
  <c r="C192" i="74"/>
  <c r="B192" i="74"/>
  <c r="A192" i="74"/>
  <c r="AN191" i="74"/>
  <c r="AM191" i="74"/>
  <c r="AL191" i="74"/>
  <c r="AK191" i="74"/>
  <c r="AJ191" i="74"/>
  <c r="AI191" i="74"/>
  <c r="D191" i="74"/>
  <c r="C191" i="74"/>
  <c r="B191" i="74"/>
  <c r="A191" i="74"/>
  <c r="AN190" i="74"/>
  <c r="AM190" i="74"/>
  <c r="AL190" i="74"/>
  <c r="AK190" i="74"/>
  <c r="AJ190" i="74"/>
  <c r="AI190" i="74"/>
  <c r="D190" i="74"/>
  <c r="C190" i="74"/>
  <c r="B190" i="74"/>
  <c r="A190" i="74"/>
  <c r="AN189" i="74"/>
  <c r="AM189" i="74"/>
  <c r="AL189" i="74"/>
  <c r="AK189" i="74"/>
  <c r="AJ189" i="74"/>
  <c r="AI189" i="74"/>
  <c r="D189" i="74"/>
  <c r="C189" i="74"/>
  <c r="B189" i="74"/>
  <c r="A189" i="74"/>
  <c r="AN188" i="74"/>
  <c r="AM188" i="74"/>
  <c r="AL188" i="74"/>
  <c r="AK188" i="74"/>
  <c r="AJ188" i="74"/>
  <c r="AI188" i="74"/>
  <c r="D188" i="74"/>
  <c r="C188" i="74"/>
  <c r="B188" i="74"/>
  <c r="A188" i="74"/>
  <c r="AN187" i="74"/>
  <c r="AM187" i="74"/>
  <c r="AL187" i="74"/>
  <c r="AK187" i="74"/>
  <c r="AJ187" i="74"/>
  <c r="AI187" i="74"/>
  <c r="D187" i="74"/>
  <c r="C187" i="74"/>
  <c r="B187" i="74"/>
  <c r="A187" i="74"/>
  <c r="AM186" i="74"/>
  <c r="AL186" i="74"/>
  <c r="AK186" i="74"/>
  <c r="AJ186" i="74"/>
  <c r="AI186" i="74"/>
  <c r="AH186" i="74"/>
  <c r="D186" i="74"/>
  <c r="C186" i="74"/>
  <c r="B186" i="74"/>
  <c r="A186" i="74"/>
  <c r="AM185" i="74"/>
  <c r="AL185" i="74"/>
  <c r="AK185" i="74"/>
  <c r="AJ185" i="74"/>
  <c r="AI185" i="74"/>
  <c r="AH185" i="74"/>
  <c r="D185" i="74"/>
  <c r="C185" i="74"/>
  <c r="B185" i="74"/>
  <c r="A185" i="74"/>
  <c r="AM184" i="74"/>
  <c r="AL184" i="74"/>
  <c r="AK184" i="74"/>
  <c r="AJ184" i="74"/>
  <c r="AI184" i="74"/>
  <c r="AH184" i="74"/>
  <c r="D184" i="74"/>
  <c r="C184" i="74"/>
  <c r="B184" i="74"/>
  <c r="A184" i="74"/>
  <c r="AM183" i="74"/>
  <c r="AL183" i="74"/>
  <c r="AK183" i="74"/>
  <c r="AJ183" i="74"/>
  <c r="AI183" i="74"/>
  <c r="AH183" i="74"/>
  <c r="D183" i="74"/>
  <c r="C183" i="74"/>
  <c r="B183" i="74"/>
  <c r="A183" i="74"/>
  <c r="AM182" i="74"/>
  <c r="AL182" i="74"/>
  <c r="AK182" i="74"/>
  <c r="AJ182" i="74"/>
  <c r="AI182" i="74"/>
  <c r="AH182" i="74"/>
  <c r="D182" i="74"/>
  <c r="C182" i="74"/>
  <c r="B182" i="74"/>
  <c r="A182" i="74"/>
  <c r="AM181" i="74"/>
  <c r="AL181" i="74"/>
  <c r="AK181" i="74"/>
  <c r="AJ181" i="74"/>
  <c r="AI181" i="74"/>
  <c r="AH181" i="74"/>
  <c r="D181" i="74"/>
  <c r="C181" i="74"/>
  <c r="B181" i="74"/>
  <c r="A181" i="74"/>
  <c r="AL180" i="74"/>
  <c r="AK180" i="74"/>
  <c r="AJ180" i="74"/>
  <c r="AI180" i="74"/>
  <c r="AH180" i="74"/>
  <c r="AG180" i="74"/>
  <c r="D180" i="74"/>
  <c r="C180" i="74"/>
  <c r="B180" i="74"/>
  <c r="A180" i="74"/>
  <c r="AL179" i="74"/>
  <c r="AK179" i="74"/>
  <c r="AJ179" i="74"/>
  <c r="AI179" i="74"/>
  <c r="AH179" i="74"/>
  <c r="AG179" i="74"/>
  <c r="D179" i="74"/>
  <c r="C179" i="74"/>
  <c r="B179" i="74"/>
  <c r="A179" i="74"/>
  <c r="AL178" i="74"/>
  <c r="AK178" i="74"/>
  <c r="AJ178" i="74"/>
  <c r="AI178" i="74"/>
  <c r="AH178" i="74"/>
  <c r="AG178" i="74"/>
  <c r="D178" i="74"/>
  <c r="C178" i="74"/>
  <c r="B178" i="74"/>
  <c r="A178" i="74"/>
  <c r="AL177" i="74"/>
  <c r="AK177" i="74"/>
  <c r="AJ177" i="74"/>
  <c r="AI177" i="74"/>
  <c r="AH177" i="74"/>
  <c r="AG177" i="74"/>
  <c r="D177" i="74"/>
  <c r="C177" i="74"/>
  <c r="B177" i="74"/>
  <c r="A177" i="74"/>
  <c r="AL176" i="74"/>
  <c r="AK176" i="74"/>
  <c r="AJ176" i="74"/>
  <c r="AI176" i="74"/>
  <c r="AH176" i="74"/>
  <c r="AG176" i="74"/>
  <c r="D176" i="74"/>
  <c r="C176" i="74"/>
  <c r="B176" i="74"/>
  <c r="A176" i="74"/>
  <c r="AL175" i="74"/>
  <c r="AK175" i="74"/>
  <c r="AJ175" i="74"/>
  <c r="AI175" i="74"/>
  <c r="AH175" i="74"/>
  <c r="AG175" i="74"/>
  <c r="D175" i="74"/>
  <c r="C175" i="74"/>
  <c r="B175" i="74"/>
  <c r="A175" i="74"/>
  <c r="AK174" i="74"/>
  <c r="AJ174" i="74"/>
  <c r="AI174" i="74"/>
  <c r="AH174" i="74"/>
  <c r="AG174" i="74"/>
  <c r="AF174" i="74"/>
  <c r="D174" i="74"/>
  <c r="C174" i="74"/>
  <c r="B174" i="74"/>
  <c r="A174" i="74"/>
  <c r="AK173" i="74"/>
  <c r="AJ173" i="74"/>
  <c r="AI173" i="74"/>
  <c r="AH173" i="74"/>
  <c r="AG173" i="74"/>
  <c r="AF173" i="74"/>
  <c r="D173" i="74"/>
  <c r="C173" i="74"/>
  <c r="B173" i="74"/>
  <c r="A173" i="74"/>
  <c r="AK172" i="74"/>
  <c r="AJ172" i="74"/>
  <c r="AI172" i="74"/>
  <c r="AH172" i="74"/>
  <c r="AG172" i="74"/>
  <c r="AF172" i="74"/>
  <c r="D172" i="74"/>
  <c r="C172" i="74"/>
  <c r="B172" i="74"/>
  <c r="A172" i="74"/>
  <c r="AK171" i="74"/>
  <c r="AJ171" i="74"/>
  <c r="AI171" i="74"/>
  <c r="AH171" i="74"/>
  <c r="AG171" i="74"/>
  <c r="AF171" i="74"/>
  <c r="D171" i="74"/>
  <c r="C171" i="74"/>
  <c r="B171" i="74"/>
  <c r="A171" i="74"/>
  <c r="AK170" i="74"/>
  <c r="AJ170" i="74"/>
  <c r="AI170" i="74"/>
  <c r="AH170" i="74"/>
  <c r="AG170" i="74"/>
  <c r="AF170" i="74"/>
  <c r="D170" i="74"/>
  <c r="C170" i="74"/>
  <c r="B170" i="74"/>
  <c r="A170" i="74"/>
  <c r="AK169" i="74"/>
  <c r="AJ169" i="74"/>
  <c r="AI169" i="74"/>
  <c r="AH169" i="74"/>
  <c r="AG169" i="74"/>
  <c r="AF169" i="74"/>
  <c r="D169" i="74"/>
  <c r="C169" i="74"/>
  <c r="B169" i="74"/>
  <c r="A169" i="74"/>
  <c r="AJ168" i="74"/>
  <c r="AI168" i="74"/>
  <c r="AH168" i="74"/>
  <c r="AG168" i="74"/>
  <c r="AF168" i="74"/>
  <c r="AE168" i="74"/>
  <c r="D168" i="74"/>
  <c r="C168" i="74"/>
  <c r="B168" i="74"/>
  <c r="A168" i="74"/>
  <c r="AJ167" i="74"/>
  <c r="AI167" i="74"/>
  <c r="AH167" i="74"/>
  <c r="AG167" i="74"/>
  <c r="AF167" i="74"/>
  <c r="AE167" i="74"/>
  <c r="D167" i="74"/>
  <c r="C167" i="74"/>
  <c r="B167" i="74"/>
  <c r="A167" i="74"/>
  <c r="AJ166" i="74"/>
  <c r="AI166" i="74"/>
  <c r="AH166" i="74"/>
  <c r="AG166" i="74"/>
  <c r="AF166" i="74"/>
  <c r="AE166" i="74"/>
  <c r="D166" i="74"/>
  <c r="C166" i="74"/>
  <c r="B166" i="74"/>
  <c r="A166" i="74"/>
  <c r="AJ165" i="74"/>
  <c r="AI165" i="74"/>
  <c r="AH165" i="74"/>
  <c r="AG165" i="74"/>
  <c r="AF165" i="74"/>
  <c r="AE165" i="74"/>
  <c r="D165" i="74"/>
  <c r="C165" i="74"/>
  <c r="B165" i="74"/>
  <c r="A165" i="74"/>
  <c r="AJ164" i="74"/>
  <c r="AI164" i="74"/>
  <c r="AH164" i="74"/>
  <c r="AG164" i="74"/>
  <c r="AF164" i="74"/>
  <c r="AE164" i="74"/>
  <c r="D164" i="74"/>
  <c r="C164" i="74"/>
  <c r="B164" i="74"/>
  <c r="A164" i="74"/>
  <c r="AJ163" i="74"/>
  <c r="AI163" i="74"/>
  <c r="AH163" i="74"/>
  <c r="AG163" i="74"/>
  <c r="AF163" i="74"/>
  <c r="AE163" i="74"/>
  <c r="D163" i="74"/>
  <c r="C163" i="74"/>
  <c r="B163" i="74"/>
  <c r="A163" i="74"/>
  <c r="AI162" i="74"/>
  <c r="AH162" i="74"/>
  <c r="AG162" i="74"/>
  <c r="AF162" i="74"/>
  <c r="AE162" i="74"/>
  <c r="AD162" i="74"/>
  <c r="D162" i="74"/>
  <c r="C162" i="74"/>
  <c r="B162" i="74"/>
  <c r="A162" i="74"/>
  <c r="AI161" i="74"/>
  <c r="AH161" i="74"/>
  <c r="AG161" i="74"/>
  <c r="AF161" i="74"/>
  <c r="AE161" i="74"/>
  <c r="AD161" i="74"/>
  <c r="D161" i="74"/>
  <c r="C161" i="74"/>
  <c r="B161" i="74"/>
  <c r="A161" i="74"/>
  <c r="AI160" i="74"/>
  <c r="AH160" i="74"/>
  <c r="AG160" i="74"/>
  <c r="AF160" i="74"/>
  <c r="AE160" i="74"/>
  <c r="AD160" i="74"/>
  <c r="D160" i="74"/>
  <c r="C160" i="74"/>
  <c r="B160" i="74"/>
  <c r="A160" i="74"/>
  <c r="AI159" i="74"/>
  <c r="AH159" i="74"/>
  <c r="AG159" i="74"/>
  <c r="AF159" i="74"/>
  <c r="AE159" i="74"/>
  <c r="AD159" i="74"/>
  <c r="D159" i="74"/>
  <c r="C159" i="74"/>
  <c r="B159" i="74"/>
  <c r="A159" i="74"/>
  <c r="AI158" i="74"/>
  <c r="AH158" i="74"/>
  <c r="AG158" i="74"/>
  <c r="AF158" i="74"/>
  <c r="AE158" i="74"/>
  <c r="AD158" i="74"/>
  <c r="D158" i="74"/>
  <c r="C158" i="74"/>
  <c r="B158" i="74"/>
  <c r="A158" i="74"/>
  <c r="AI157" i="74"/>
  <c r="AH157" i="74"/>
  <c r="AG157" i="74"/>
  <c r="AF157" i="74"/>
  <c r="AE157" i="74"/>
  <c r="AD157" i="74"/>
  <c r="D157" i="74"/>
  <c r="C157" i="74"/>
  <c r="B157" i="74"/>
  <c r="A157" i="74"/>
  <c r="AH156" i="74"/>
  <c r="AG156" i="74"/>
  <c r="AF156" i="74"/>
  <c r="AE156" i="74"/>
  <c r="AD156" i="74"/>
  <c r="AC156" i="74"/>
  <c r="D156" i="74"/>
  <c r="C156" i="74"/>
  <c r="B156" i="74"/>
  <c r="A156" i="74"/>
  <c r="AH155" i="74"/>
  <c r="AG155" i="74"/>
  <c r="AF155" i="74"/>
  <c r="AE155" i="74"/>
  <c r="AD155" i="74"/>
  <c r="AC155" i="74"/>
  <c r="D155" i="74"/>
  <c r="C155" i="74"/>
  <c r="B155" i="74"/>
  <c r="A155" i="74"/>
  <c r="AH154" i="74"/>
  <c r="AG154" i="74"/>
  <c r="AF154" i="74"/>
  <c r="AE154" i="74"/>
  <c r="AD154" i="74"/>
  <c r="AC154" i="74"/>
  <c r="D154" i="74"/>
  <c r="C154" i="74"/>
  <c r="B154" i="74"/>
  <c r="A154" i="74"/>
  <c r="AH153" i="74"/>
  <c r="AG153" i="74"/>
  <c r="AF153" i="74"/>
  <c r="AE153" i="74"/>
  <c r="AD153" i="74"/>
  <c r="AC153" i="74"/>
  <c r="D153" i="74"/>
  <c r="C153" i="74"/>
  <c r="B153" i="74"/>
  <c r="A153" i="74"/>
  <c r="AH152" i="74"/>
  <c r="AG152" i="74"/>
  <c r="AF152" i="74"/>
  <c r="AE152" i="74"/>
  <c r="AD152" i="74"/>
  <c r="AC152" i="74"/>
  <c r="D152" i="74"/>
  <c r="C152" i="74"/>
  <c r="B152" i="74"/>
  <c r="A152" i="74"/>
  <c r="AH151" i="74"/>
  <c r="AG151" i="74"/>
  <c r="AF151" i="74"/>
  <c r="AE151" i="74"/>
  <c r="AD151" i="74"/>
  <c r="AC151" i="74"/>
  <c r="D151" i="74"/>
  <c r="C151" i="74"/>
  <c r="B151" i="74"/>
  <c r="A151" i="74"/>
  <c r="AG150" i="74"/>
  <c r="AF150" i="74"/>
  <c r="AE150" i="74"/>
  <c r="AD150" i="74"/>
  <c r="AC150" i="74"/>
  <c r="AB150" i="74"/>
  <c r="D150" i="74"/>
  <c r="C150" i="74"/>
  <c r="B150" i="74"/>
  <c r="A150" i="74"/>
  <c r="AG149" i="74"/>
  <c r="AF149" i="74"/>
  <c r="AE149" i="74"/>
  <c r="AD149" i="74"/>
  <c r="AC149" i="74"/>
  <c r="AB149" i="74"/>
  <c r="D149" i="74"/>
  <c r="C149" i="74"/>
  <c r="B149" i="74"/>
  <c r="A149" i="74"/>
  <c r="AG148" i="74"/>
  <c r="AF148" i="74"/>
  <c r="AE148" i="74"/>
  <c r="AD148" i="74"/>
  <c r="AC148" i="74"/>
  <c r="AB148" i="74"/>
  <c r="D148" i="74"/>
  <c r="C148" i="74"/>
  <c r="B148" i="74"/>
  <c r="A148" i="74"/>
  <c r="AG147" i="74"/>
  <c r="AF147" i="74"/>
  <c r="AE147" i="74"/>
  <c r="AD147" i="74"/>
  <c r="AC147" i="74"/>
  <c r="AB147" i="74"/>
  <c r="D147" i="74"/>
  <c r="C147" i="74"/>
  <c r="B147" i="74"/>
  <c r="A147" i="74"/>
  <c r="AG146" i="74"/>
  <c r="AF146" i="74"/>
  <c r="AE146" i="74"/>
  <c r="AD146" i="74"/>
  <c r="AC146" i="74"/>
  <c r="AB146" i="74"/>
  <c r="D146" i="74"/>
  <c r="C146" i="74"/>
  <c r="B146" i="74"/>
  <c r="A146" i="74"/>
  <c r="AG145" i="74"/>
  <c r="AF145" i="74"/>
  <c r="AE145" i="74"/>
  <c r="AD145" i="74"/>
  <c r="AC145" i="74"/>
  <c r="AB145" i="74"/>
  <c r="D145" i="74"/>
  <c r="C145" i="74"/>
  <c r="B145" i="74"/>
  <c r="A145" i="74"/>
  <c r="AF144" i="74"/>
  <c r="AE144" i="74"/>
  <c r="AD144" i="74"/>
  <c r="AC144" i="74"/>
  <c r="AB144" i="74"/>
  <c r="AA144" i="74"/>
  <c r="D144" i="74"/>
  <c r="C144" i="74"/>
  <c r="B144" i="74"/>
  <c r="A144" i="74"/>
  <c r="AF143" i="74"/>
  <c r="AE143" i="74"/>
  <c r="AD143" i="74"/>
  <c r="AC143" i="74"/>
  <c r="AB143" i="74"/>
  <c r="AA143" i="74"/>
  <c r="D143" i="74"/>
  <c r="C143" i="74"/>
  <c r="B143" i="74"/>
  <c r="A143" i="74"/>
  <c r="AF142" i="74"/>
  <c r="AE142" i="74"/>
  <c r="AD142" i="74"/>
  <c r="AC142" i="74"/>
  <c r="AB142" i="74"/>
  <c r="AA142" i="74"/>
  <c r="D142" i="74"/>
  <c r="C142" i="74"/>
  <c r="B142" i="74"/>
  <c r="A142" i="74"/>
  <c r="AF141" i="74"/>
  <c r="AE141" i="74"/>
  <c r="AD141" i="74"/>
  <c r="AC141" i="74"/>
  <c r="AB141" i="74"/>
  <c r="AA141" i="74"/>
  <c r="D141" i="74"/>
  <c r="C141" i="74"/>
  <c r="B141" i="74"/>
  <c r="A141" i="74"/>
  <c r="AF140" i="74"/>
  <c r="AE140" i="74"/>
  <c r="AD140" i="74"/>
  <c r="AC140" i="74"/>
  <c r="AB140" i="74"/>
  <c r="AA140" i="74"/>
  <c r="D140" i="74"/>
  <c r="C140" i="74"/>
  <c r="B140" i="74"/>
  <c r="A140" i="74"/>
  <c r="AF139" i="74"/>
  <c r="AE139" i="74"/>
  <c r="AD139" i="74"/>
  <c r="AC139" i="74"/>
  <c r="AB139" i="74"/>
  <c r="AA139" i="74"/>
  <c r="D139" i="74"/>
  <c r="C139" i="74"/>
  <c r="B139" i="74"/>
  <c r="A139" i="74"/>
  <c r="AE138" i="74"/>
  <c r="AD138" i="74"/>
  <c r="AC138" i="74"/>
  <c r="AB138" i="74"/>
  <c r="AA138" i="74"/>
  <c r="Z138" i="74"/>
  <c r="D138" i="74"/>
  <c r="C138" i="74"/>
  <c r="B138" i="74"/>
  <c r="A138" i="74"/>
  <c r="AE137" i="74"/>
  <c r="AD137" i="74"/>
  <c r="AC137" i="74"/>
  <c r="AB137" i="74"/>
  <c r="AA137" i="74"/>
  <c r="Z137" i="74"/>
  <c r="D137" i="74"/>
  <c r="C137" i="74"/>
  <c r="B137" i="74"/>
  <c r="A137" i="74"/>
  <c r="AE136" i="74"/>
  <c r="AD136" i="74"/>
  <c r="AC136" i="74"/>
  <c r="AB136" i="74"/>
  <c r="AA136" i="74"/>
  <c r="Z136" i="74"/>
  <c r="D136" i="74"/>
  <c r="C136" i="74"/>
  <c r="B136" i="74"/>
  <c r="A136" i="74"/>
  <c r="AE135" i="74"/>
  <c r="AD135" i="74"/>
  <c r="AC135" i="74"/>
  <c r="AB135" i="74"/>
  <c r="AA135" i="74"/>
  <c r="Z135" i="74"/>
  <c r="D135" i="74"/>
  <c r="C135" i="74"/>
  <c r="B135" i="74"/>
  <c r="A135" i="74"/>
  <c r="AE134" i="74"/>
  <c r="AD134" i="74"/>
  <c r="AC134" i="74"/>
  <c r="AB134" i="74"/>
  <c r="AA134" i="74"/>
  <c r="Z134" i="74"/>
  <c r="D134" i="74"/>
  <c r="C134" i="74"/>
  <c r="B134" i="74"/>
  <c r="A134" i="74"/>
  <c r="AE133" i="74"/>
  <c r="AD133" i="74"/>
  <c r="AC133" i="74"/>
  <c r="AB133" i="74"/>
  <c r="AA133" i="74"/>
  <c r="Z133" i="74"/>
  <c r="D133" i="74"/>
  <c r="C133" i="74"/>
  <c r="B133" i="74"/>
  <c r="A133" i="74"/>
  <c r="AE132" i="74"/>
  <c r="AD132" i="74"/>
  <c r="AC132" i="74"/>
  <c r="AB132" i="74"/>
  <c r="AA132" i="74"/>
  <c r="Z132" i="74"/>
  <c r="D132" i="74"/>
  <c r="C132" i="74"/>
  <c r="B132" i="74"/>
  <c r="A132" i="74"/>
  <c r="AD131" i="74"/>
  <c r="AC131" i="74"/>
  <c r="AB131" i="74"/>
  <c r="AA131" i="74"/>
  <c r="Z131" i="74"/>
  <c r="Y131" i="74"/>
  <c r="D131" i="74"/>
  <c r="C131" i="74"/>
  <c r="B131" i="74"/>
  <c r="A131" i="74"/>
  <c r="AD130" i="74"/>
  <c r="AC130" i="74"/>
  <c r="AB130" i="74"/>
  <c r="AA130" i="74"/>
  <c r="Z130" i="74"/>
  <c r="Y130" i="74"/>
  <c r="D130" i="74"/>
  <c r="C130" i="74"/>
  <c r="B130" i="74"/>
  <c r="A130" i="74"/>
  <c r="AD129" i="74"/>
  <c r="AC129" i="74"/>
  <c r="AB129" i="74"/>
  <c r="AA129" i="74"/>
  <c r="Z129" i="74"/>
  <c r="Y129" i="74"/>
  <c r="D129" i="74"/>
  <c r="C129" i="74"/>
  <c r="B129" i="74"/>
  <c r="A129" i="74"/>
  <c r="AD128" i="74"/>
  <c r="AC128" i="74"/>
  <c r="AB128" i="74"/>
  <c r="AA128" i="74"/>
  <c r="Z128" i="74"/>
  <c r="Y128" i="74"/>
  <c r="D128" i="74"/>
  <c r="C128" i="74"/>
  <c r="B128" i="74"/>
  <c r="A128" i="74"/>
  <c r="AD127" i="74"/>
  <c r="AC127" i="74"/>
  <c r="AB127" i="74"/>
  <c r="AA127" i="74"/>
  <c r="Z127" i="74"/>
  <c r="Y127" i="74"/>
  <c r="D127" i="74"/>
  <c r="C127" i="74"/>
  <c r="B127" i="74"/>
  <c r="A127" i="74"/>
  <c r="AD126" i="74"/>
  <c r="AC126" i="74"/>
  <c r="AB126" i="74"/>
  <c r="AA126" i="74"/>
  <c r="Z126" i="74"/>
  <c r="Y126" i="74"/>
  <c r="D126" i="74"/>
  <c r="C126" i="74"/>
  <c r="B126" i="74"/>
  <c r="A126" i="74"/>
  <c r="AC125" i="74"/>
  <c r="AB125" i="74"/>
  <c r="AA125" i="74"/>
  <c r="Z125" i="74"/>
  <c r="Y125" i="74"/>
  <c r="X125" i="74"/>
  <c r="D125" i="74"/>
  <c r="C125" i="74"/>
  <c r="B125" i="74"/>
  <c r="A125" i="74"/>
  <c r="AC124" i="74"/>
  <c r="AB124" i="74"/>
  <c r="AA124" i="74"/>
  <c r="Z124" i="74"/>
  <c r="Y124" i="74"/>
  <c r="X124" i="74"/>
  <c r="D124" i="74"/>
  <c r="C124" i="74"/>
  <c r="B124" i="74"/>
  <c r="A124" i="74"/>
  <c r="AC123" i="74"/>
  <c r="AB123" i="74"/>
  <c r="AA123" i="74"/>
  <c r="Z123" i="74"/>
  <c r="Y123" i="74"/>
  <c r="X123" i="74"/>
  <c r="D123" i="74"/>
  <c r="C123" i="74"/>
  <c r="B123" i="74"/>
  <c r="A123" i="74"/>
  <c r="AC122" i="74"/>
  <c r="AB122" i="74"/>
  <c r="AA122" i="74"/>
  <c r="Z122" i="74"/>
  <c r="Y122" i="74"/>
  <c r="X122" i="74"/>
  <c r="D122" i="74"/>
  <c r="C122" i="74"/>
  <c r="B122" i="74"/>
  <c r="A122" i="74"/>
  <c r="AC121" i="74"/>
  <c r="AB121" i="74"/>
  <c r="AA121" i="74"/>
  <c r="Z121" i="74"/>
  <c r="Y121" i="74"/>
  <c r="X121" i="74"/>
  <c r="D121" i="74"/>
  <c r="C121" i="74"/>
  <c r="B121" i="74"/>
  <c r="A121" i="74"/>
  <c r="AC120" i="74"/>
  <c r="AB120" i="74"/>
  <c r="AA120" i="74"/>
  <c r="Z120" i="74"/>
  <c r="Y120" i="74"/>
  <c r="X120" i="74"/>
  <c r="D120" i="74"/>
  <c r="C120" i="74"/>
  <c r="B120" i="74"/>
  <c r="A120" i="74"/>
  <c r="AB119" i="74"/>
  <c r="AA119" i="74"/>
  <c r="Z119" i="74"/>
  <c r="Y119" i="74"/>
  <c r="X119" i="74"/>
  <c r="W119" i="74"/>
  <c r="D119" i="74"/>
  <c r="C119" i="74"/>
  <c r="B119" i="74"/>
  <c r="A119" i="74"/>
  <c r="AB118" i="74"/>
  <c r="AA118" i="74"/>
  <c r="Z118" i="74"/>
  <c r="Y118" i="74"/>
  <c r="X118" i="74"/>
  <c r="W118" i="74"/>
  <c r="D118" i="74"/>
  <c r="C118" i="74"/>
  <c r="B118" i="74"/>
  <c r="A118" i="74"/>
  <c r="AB117" i="74"/>
  <c r="AA117" i="74"/>
  <c r="Z117" i="74"/>
  <c r="Y117" i="74"/>
  <c r="X117" i="74"/>
  <c r="W117" i="74"/>
  <c r="D117" i="74"/>
  <c r="C117" i="74"/>
  <c r="B117" i="74"/>
  <c r="A117" i="74"/>
  <c r="AB116" i="74"/>
  <c r="AA116" i="74"/>
  <c r="Z116" i="74"/>
  <c r="Y116" i="74"/>
  <c r="X116" i="74"/>
  <c r="W116" i="74"/>
  <c r="D116" i="74"/>
  <c r="C116" i="74"/>
  <c r="B116" i="74"/>
  <c r="A116" i="74"/>
  <c r="AB115" i="74"/>
  <c r="AA115" i="74"/>
  <c r="Z115" i="74"/>
  <c r="Y115" i="74"/>
  <c r="X115" i="74"/>
  <c r="W115" i="74"/>
  <c r="D115" i="74"/>
  <c r="C115" i="74"/>
  <c r="B115" i="74"/>
  <c r="A115" i="74"/>
  <c r="AB114" i="74"/>
  <c r="AA114" i="74"/>
  <c r="Z114" i="74"/>
  <c r="Y114" i="74"/>
  <c r="X114" i="74"/>
  <c r="W114" i="74"/>
  <c r="D114" i="74"/>
  <c r="C114" i="74"/>
  <c r="B114" i="74"/>
  <c r="A114" i="74"/>
  <c r="AA113" i="74"/>
  <c r="Z113" i="74"/>
  <c r="Y113" i="74"/>
  <c r="X113" i="74"/>
  <c r="W113" i="74"/>
  <c r="V113" i="74"/>
  <c r="D113" i="74"/>
  <c r="C113" i="74"/>
  <c r="B113" i="74"/>
  <c r="A113" i="74"/>
  <c r="AA112" i="74"/>
  <c r="Z112" i="74"/>
  <c r="Y112" i="74"/>
  <c r="X112" i="74"/>
  <c r="W112" i="74"/>
  <c r="V112" i="74"/>
  <c r="D112" i="74"/>
  <c r="C112" i="74"/>
  <c r="B112" i="74"/>
  <c r="A112" i="74"/>
  <c r="AA111" i="74"/>
  <c r="Z111" i="74"/>
  <c r="Y111" i="74"/>
  <c r="X111" i="74"/>
  <c r="W111" i="74"/>
  <c r="V111" i="74"/>
  <c r="D111" i="74"/>
  <c r="C111" i="74"/>
  <c r="B111" i="74"/>
  <c r="A111" i="74"/>
  <c r="AA110" i="74"/>
  <c r="Z110" i="74"/>
  <c r="Y110" i="74"/>
  <c r="X110" i="74"/>
  <c r="W110" i="74"/>
  <c r="V110" i="74"/>
  <c r="D110" i="74"/>
  <c r="C110" i="74"/>
  <c r="B110" i="74"/>
  <c r="A110" i="74"/>
  <c r="AA109" i="74"/>
  <c r="Z109" i="74"/>
  <c r="Y109" i="74"/>
  <c r="X109" i="74"/>
  <c r="W109" i="74"/>
  <c r="V109" i="74"/>
  <c r="D109" i="74"/>
  <c r="C109" i="74"/>
  <c r="B109" i="74"/>
  <c r="A109" i="74"/>
  <c r="Z108" i="74"/>
  <c r="Y108" i="74"/>
  <c r="X108" i="74"/>
  <c r="W108" i="74"/>
  <c r="V108" i="74"/>
  <c r="U108" i="74"/>
  <c r="D108" i="74"/>
  <c r="C108" i="74"/>
  <c r="B108" i="74"/>
  <c r="A108" i="74"/>
  <c r="Z107" i="74"/>
  <c r="Y107" i="74"/>
  <c r="X107" i="74"/>
  <c r="W107" i="74"/>
  <c r="V107" i="74"/>
  <c r="U107" i="74"/>
  <c r="D107" i="74"/>
  <c r="C107" i="74"/>
  <c r="B107" i="74"/>
  <c r="A107" i="74"/>
  <c r="Z106" i="74"/>
  <c r="Y106" i="74"/>
  <c r="X106" i="74"/>
  <c r="W106" i="74"/>
  <c r="V106" i="74"/>
  <c r="U106" i="74"/>
  <c r="D106" i="74"/>
  <c r="C106" i="74"/>
  <c r="B106" i="74"/>
  <c r="A106" i="74"/>
  <c r="Z105" i="74"/>
  <c r="Y105" i="74"/>
  <c r="X105" i="74"/>
  <c r="W105" i="74"/>
  <c r="V105" i="74"/>
  <c r="U105" i="74"/>
  <c r="D105" i="74"/>
  <c r="C105" i="74"/>
  <c r="B105" i="74"/>
  <c r="A105" i="74"/>
  <c r="Z104" i="74"/>
  <c r="Y104" i="74"/>
  <c r="X104" i="74"/>
  <c r="W104" i="74"/>
  <c r="V104" i="74"/>
  <c r="U104" i="74"/>
  <c r="D104" i="74"/>
  <c r="C104" i="74"/>
  <c r="B104" i="74"/>
  <c r="A104" i="74"/>
  <c r="Z103" i="74"/>
  <c r="Y103" i="74"/>
  <c r="X103" i="74"/>
  <c r="W103" i="74"/>
  <c r="V103" i="74"/>
  <c r="U103" i="74"/>
  <c r="D103" i="74"/>
  <c r="C103" i="74"/>
  <c r="B103" i="74"/>
  <c r="A103" i="74"/>
  <c r="Y102" i="74"/>
  <c r="X102" i="74"/>
  <c r="W102" i="74"/>
  <c r="V102" i="74"/>
  <c r="U102" i="74"/>
  <c r="T102" i="74"/>
  <c r="D102" i="74"/>
  <c r="C102" i="74"/>
  <c r="B102" i="74"/>
  <c r="A102" i="74"/>
  <c r="Y101" i="74"/>
  <c r="X101" i="74"/>
  <c r="W101" i="74"/>
  <c r="V101" i="74"/>
  <c r="U101" i="74"/>
  <c r="T101" i="74"/>
  <c r="D101" i="74"/>
  <c r="C101" i="74"/>
  <c r="B101" i="74"/>
  <c r="A101" i="74"/>
  <c r="Y100" i="74"/>
  <c r="X100" i="74"/>
  <c r="W100" i="74"/>
  <c r="V100" i="74"/>
  <c r="U100" i="74"/>
  <c r="T100" i="74"/>
  <c r="D100" i="74"/>
  <c r="C100" i="74"/>
  <c r="B100" i="74"/>
  <c r="A100" i="74"/>
  <c r="Y99" i="74"/>
  <c r="X99" i="74"/>
  <c r="W99" i="74"/>
  <c r="V99" i="74"/>
  <c r="U99" i="74"/>
  <c r="T99" i="74"/>
  <c r="D99" i="74"/>
  <c r="C99" i="74"/>
  <c r="B99" i="74"/>
  <c r="A99" i="74"/>
  <c r="Y98" i="74"/>
  <c r="X98" i="74"/>
  <c r="W98" i="74"/>
  <c r="V98" i="74"/>
  <c r="U98" i="74"/>
  <c r="T98" i="74"/>
  <c r="D98" i="74"/>
  <c r="C98" i="74"/>
  <c r="B98" i="74"/>
  <c r="A98" i="74"/>
  <c r="Y97" i="74"/>
  <c r="X97" i="74"/>
  <c r="W97" i="74"/>
  <c r="V97" i="74"/>
  <c r="U97" i="74"/>
  <c r="T97" i="74"/>
  <c r="D97" i="74"/>
  <c r="C97" i="74"/>
  <c r="B97" i="74"/>
  <c r="A97" i="74"/>
  <c r="X96" i="74"/>
  <c r="W96" i="74"/>
  <c r="V96" i="74"/>
  <c r="U96" i="74"/>
  <c r="T96" i="74"/>
  <c r="S96" i="74"/>
  <c r="D96" i="74"/>
  <c r="C96" i="74"/>
  <c r="B96" i="74"/>
  <c r="A96" i="74"/>
  <c r="X95" i="74"/>
  <c r="W95" i="74"/>
  <c r="V95" i="74"/>
  <c r="U95" i="74"/>
  <c r="T95" i="74"/>
  <c r="S95" i="74"/>
  <c r="D95" i="74"/>
  <c r="C95" i="74"/>
  <c r="B95" i="74"/>
  <c r="A95" i="74"/>
  <c r="X94" i="74"/>
  <c r="W94" i="74"/>
  <c r="V94" i="74"/>
  <c r="U94" i="74"/>
  <c r="T94" i="74"/>
  <c r="S94" i="74"/>
  <c r="D94" i="74"/>
  <c r="C94" i="74"/>
  <c r="B94" i="74"/>
  <c r="A94" i="74"/>
  <c r="X93" i="74"/>
  <c r="W93" i="74"/>
  <c r="V93" i="74"/>
  <c r="U93" i="74"/>
  <c r="T93" i="74"/>
  <c r="S93" i="74"/>
  <c r="D93" i="74"/>
  <c r="C93" i="74"/>
  <c r="B93" i="74"/>
  <c r="A93" i="74"/>
  <c r="X92" i="74"/>
  <c r="W92" i="74"/>
  <c r="V92" i="74"/>
  <c r="U92" i="74"/>
  <c r="T92" i="74"/>
  <c r="S92" i="74"/>
  <c r="D92" i="74"/>
  <c r="C92" i="74"/>
  <c r="B92" i="74"/>
  <c r="A92" i="74"/>
  <c r="X91" i="74"/>
  <c r="W91" i="74"/>
  <c r="V91" i="74"/>
  <c r="U91" i="74"/>
  <c r="T91" i="74"/>
  <c r="S91" i="74"/>
  <c r="D91" i="74"/>
  <c r="C91" i="74"/>
  <c r="B91" i="74"/>
  <c r="A91" i="74"/>
  <c r="W90" i="74"/>
  <c r="V90" i="74"/>
  <c r="U90" i="74"/>
  <c r="T90" i="74"/>
  <c r="S90" i="74"/>
  <c r="R90" i="74"/>
  <c r="D90" i="74"/>
  <c r="C90" i="74"/>
  <c r="B90" i="74"/>
  <c r="A90" i="74"/>
  <c r="W89" i="74"/>
  <c r="V89" i="74"/>
  <c r="U89" i="74"/>
  <c r="T89" i="74"/>
  <c r="S89" i="74"/>
  <c r="R89" i="74"/>
  <c r="D89" i="74"/>
  <c r="C89" i="74"/>
  <c r="B89" i="74"/>
  <c r="A89" i="74"/>
  <c r="W88" i="74"/>
  <c r="V88" i="74"/>
  <c r="U88" i="74"/>
  <c r="T88" i="74"/>
  <c r="S88" i="74"/>
  <c r="R88" i="74"/>
  <c r="D88" i="74"/>
  <c r="C88" i="74"/>
  <c r="B88" i="74"/>
  <c r="A88" i="74"/>
  <c r="W87" i="74"/>
  <c r="V87" i="74"/>
  <c r="U87" i="74"/>
  <c r="T87" i="74"/>
  <c r="S87" i="74"/>
  <c r="R87" i="74"/>
  <c r="D87" i="74"/>
  <c r="C87" i="74"/>
  <c r="B87" i="74"/>
  <c r="A87" i="74"/>
  <c r="W86" i="74"/>
  <c r="V86" i="74"/>
  <c r="U86" i="74"/>
  <c r="T86" i="74"/>
  <c r="S86" i="74"/>
  <c r="R86" i="74"/>
  <c r="D86" i="74"/>
  <c r="C86" i="74"/>
  <c r="B86" i="74"/>
  <c r="A86" i="74"/>
  <c r="W85" i="74"/>
  <c r="V85" i="74"/>
  <c r="U85" i="74"/>
  <c r="T85" i="74"/>
  <c r="S85" i="74"/>
  <c r="R85" i="74"/>
  <c r="D85" i="74"/>
  <c r="C85" i="74"/>
  <c r="B85" i="74"/>
  <c r="A85" i="74"/>
  <c r="V84" i="74"/>
  <c r="U84" i="74"/>
  <c r="T84" i="74"/>
  <c r="S84" i="74"/>
  <c r="R84" i="74"/>
  <c r="Q84" i="74"/>
  <c r="D84" i="74"/>
  <c r="C84" i="74"/>
  <c r="B84" i="74"/>
  <c r="A84" i="74"/>
  <c r="V83" i="74"/>
  <c r="U83" i="74"/>
  <c r="T83" i="74"/>
  <c r="S83" i="74"/>
  <c r="R83" i="74"/>
  <c r="Q83" i="74"/>
  <c r="D83" i="74"/>
  <c r="C83" i="74"/>
  <c r="B83" i="74"/>
  <c r="A83" i="74"/>
  <c r="V82" i="74"/>
  <c r="U82" i="74"/>
  <c r="T82" i="74"/>
  <c r="S82" i="74"/>
  <c r="R82" i="74"/>
  <c r="Q82" i="74"/>
  <c r="D82" i="74"/>
  <c r="C82" i="74"/>
  <c r="B82" i="74"/>
  <c r="A82" i="74"/>
  <c r="V81" i="74"/>
  <c r="U81" i="74"/>
  <c r="T81" i="74"/>
  <c r="S81" i="74"/>
  <c r="R81" i="74"/>
  <c r="Q81" i="74"/>
  <c r="D81" i="74"/>
  <c r="C81" i="74"/>
  <c r="B81" i="74"/>
  <c r="A81" i="74"/>
  <c r="V80" i="74"/>
  <c r="U80" i="74"/>
  <c r="T80" i="74"/>
  <c r="S80" i="74"/>
  <c r="R80" i="74"/>
  <c r="Q80" i="74"/>
  <c r="D80" i="74"/>
  <c r="C80" i="74"/>
  <c r="B80" i="74"/>
  <c r="A80" i="74"/>
  <c r="V79" i="74"/>
  <c r="U79" i="74"/>
  <c r="T79" i="74"/>
  <c r="S79" i="74"/>
  <c r="R79" i="74"/>
  <c r="Q79" i="74"/>
  <c r="D79" i="74"/>
  <c r="C79" i="74"/>
  <c r="B79" i="74"/>
  <c r="A79" i="74"/>
  <c r="U78" i="74"/>
  <c r="T78" i="74"/>
  <c r="S78" i="74"/>
  <c r="R78" i="74"/>
  <c r="Q78" i="74"/>
  <c r="P78" i="74"/>
  <c r="D78" i="74"/>
  <c r="C78" i="74"/>
  <c r="B78" i="74"/>
  <c r="A78" i="74"/>
  <c r="U77" i="74"/>
  <c r="T77" i="74"/>
  <c r="S77" i="74"/>
  <c r="R77" i="74"/>
  <c r="Q77" i="74"/>
  <c r="P77" i="74"/>
  <c r="D77" i="74"/>
  <c r="C77" i="74"/>
  <c r="B77" i="74"/>
  <c r="A77" i="74"/>
  <c r="U76" i="74"/>
  <c r="T76" i="74"/>
  <c r="S76" i="74"/>
  <c r="R76" i="74"/>
  <c r="Q76" i="74"/>
  <c r="P76" i="74"/>
  <c r="D76" i="74"/>
  <c r="C76" i="74"/>
  <c r="B76" i="74"/>
  <c r="A76" i="74"/>
  <c r="U75" i="74"/>
  <c r="T75" i="74"/>
  <c r="S75" i="74"/>
  <c r="R75" i="74"/>
  <c r="Q75" i="74"/>
  <c r="P75" i="74"/>
  <c r="D75" i="74"/>
  <c r="C75" i="74"/>
  <c r="B75" i="74"/>
  <c r="A75" i="74"/>
  <c r="U74" i="74"/>
  <c r="T74" i="74"/>
  <c r="S74" i="74"/>
  <c r="R74" i="74"/>
  <c r="Q74" i="74"/>
  <c r="P74" i="74"/>
  <c r="D74" i="74"/>
  <c r="C74" i="74"/>
  <c r="B74" i="74"/>
  <c r="A74" i="74"/>
  <c r="U73" i="74"/>
  <c r="T73" i="74"/>
  <c r="S73" i="74"/>
  <c r="R73" i="74"/>
  <c r="Q73" i="74"/>
  <c r="P73" i="74"/>
  <c r="D73" i="74"/>
  <c r="C73" i="74"/>
  <c r="B73" i="74"/>
  <c r="A73" i="74"/>
  <c r="T72" i="74"/>
  <c r="S72" i="74"/>
  <c r="R72" i="74"/>
  <c r="Q72" i="74"/>
  <c r="P72" i="74"/>
  <c r="O72" i="74"/>
  <c r="D72" i="74"/>
  <c r="C72" i="74"/>
  <c r="B72" i="74"/>
  <c r="A72" i="74"/>
  <c r="T71" i="74"/>
  <c r="S71" i="74"/>
  <c r="R71" i="74"/>
  <c r="Q71" i="74"/>
  <c r="P71" i="74"/>
  <c r="O71" i="74"/>
  <c r="D71" i="74"/>
  <c r="C71" i="74"/>
  <c r="B71" i="74"/>
  <c r="A71" i="74"/>
  <c r="T70" i="74"/>
  <c r="S70" i="74"/>
  <c r="R70" i="74"/>
  <c r="Q70" i="74"/>
  <c r="P70" i="74"/>
  <c r="O70" i="74"/>
  <c r="D70" i="74"/>
  <c r="C70" i="74"/>
  <c r="B70" i="74"/>
  <c r="A70" i="74"/>
  <c r="T69" i="74"/>
  <c r="S69" i="74"/>
  <c r="R69" i="74"/>
  <c r="Q69" i="74"/>
  <c r="P69" i="74"/>
  <c r="O69" i="74"/>
  <c r="D69" i="74"/>
  <c r="C69" i="74"/>
  <c r="B69" i="74"/>
  <c r="A69" i="74"/>
  <c r="T68" i="74"/>
  <c r="S68" i="74"/>
  <c r="R68" i="74"/>
  <c r="Q68" i="74"/>
  <c r="P68" i="74"/>
  <c r="O68" i="74"/>
  <c r="D68" i="74"/>
  <c r="C68" i="74"/>
  <c r="B68" i="74"/>
  <c r="A68" i="74"/>
  <c r="T67" i="74"/>
  <c r="S67" i="74"/>
  <c r="R67" i="74"/>
  <c r="Q67" i="74"/>
  <c r="P67" i="74"/>
  <c r="O67" i="74"/>
  <c r="D67" i="74"/>
  <c r="C67" i="74"/>
  <c r="B67" i="74"/>
  <c r="A67" i="74"/>
  <c r="S66" i="74"/>
  <c r="R66" i="74"/>
  <c r="Q66" i="74"/>
  <c r="P66" i="74"/>
  <c r="O66" i="74"/>
  <c r="N66" i="74"/>
  <c r="D66" i="74"/>
  <c r="C66" i="74"/>
  <c r="B66" i="74"/>
  <c r="A66" i="74"/>
  <c r="S65" i="74"/>
  <c r="R65" i="74"/>
  <c r="Q65" i="74"/>
  <c r="P65" i="74"/>
  <c r="O65" i="74"/>
  <c r="N65" i="74"/>
  <c r="D65" i="74"/>
  <c r="C65" i="74"/>
  <c r="B65" i="74"/>
  <c r="A65" i="74"/>
  <c r="S64" i="74"/>
  <c r="R64" i="74"/>
  <c r="Q64" i="74"/>
  <c r="P64" i="74"/>
  <c r="O64" i="74"/>
  <c r="N64" i="74"/>
  <c r="D64" i="74"/>
  <c r="C64" i="74"/>
  <c r="B64" i="74"/>
  <c r="A64" i="74"/>
  <c r="S63" i="74"/>
  <c r="R63" i="74"/>
  <c r="Q63" i="74"/>
  <c r="P63" i="74"/>
  <c r="O63" i="74"/>
  <c r="N63" i="74"/>
  <c r="D63" i="74"/>
  <c r="C63" i="74"/>
  <c r="B63" i="74"/>
  <c r="A63" i="74"/>
  <c r="S62" i="74"/>
  <c r="R62" i="74"/>
  <c r="Q62" i="74"/>
  <c r="P62" i="74"/>
  <c r="O62" i="74"/>
  <c r="N62" i="74"/>
  <c r="D62" i="74"/>
  <c r="C62" i="74"/>
  <c r="B62" i="74"/>
  <c r="A62" i="74"/>
  <c r="S61" i="74"/>
  <c r="R61" i="74"/>
  <c r="Q61" i="74"/>
  <c r="P61" i="74"/>
  <c r="O61" i="74"/>
  <c r="N61" i="74"/>
  <c r="D61" i="74"/>
  <c r="C61" i="74"/>
  <c r="B61" i="74"/>
  <c r="A61" i="74"/>
  <c r="R60" i="74"/>
  <c r="Q60" i="74"/>
  <c r="P60" i="74"/>
  <c r="O60" i="74"/>
  <c r="N60" i="74"/>
  <c r="M60" i="74"/>
  <c r="D60" i="74"/>
  <c r="C60" i="74"/>
  <c r="B60" i="74"/>
  <c r="A60" i="74"/>
  <c r="R59" i="74"/>
  <c r="Q59" i="74"/>
  <c r="P59" i="74"/>
  <c r="O59" i="74"/>
  <c r="N59" i="74"/>
  <c r="M59" i="74"/>
  <c r="D59" i="74"/>
  <c r="C59" i="74"/>
  <c r="B59" i="74"/>
  <c r="A59" i="74"/>
  <c r="R58" i="74"/>
  <c r="Q58" i="74"/>
  <c r="P58" i="74"/>
  <c r="O58" i="74"/>
  <c r="N58" i="74"/>
  <c r="M58" i="74"/>
  <c r="D58" i="74"/>
  <c r="C58" i="74"/>
  <c r="B58" i="74"/>
  <c r="A58" i="74"/>
  <c r="R57" i="74"/>
  <c r="Q57" i="74"/>
  <c r="P57" i="74"/>
  <c r="O57" i="74"/>
  <c r="N57" i="74"/>
  <c r="M57" i="74"/>
  <c r="D57" i="74"/>
  <c r="C57" i="74"/>
  <c r="B57" i="74"/>
  <c r="A57" i="74"/>
  <c r="R56" i="74"/>
  <c r="Q56" i="74"/>
  <c r="P56" i="74"/>
  <c r="O56" i="74"/>
  <c r="N56" i="74"/>
  <c r="M56" i="74"/>
  <c r="D56" i="74"/>
  <c r="C56" i="74"/>
  <c r="B56" i="74"/>
  <c r="A56" i="74"/>
  <c r="R55" i="74"/>
  <c r="Q55" i="74"/>
  <c r="P55" i="74"/>
  <c r="O55" i="74"/>
  <c r="N55" i="74"/>
  <c r="M55" i="74"/>
  <c r="D55" i="74"/>
  <c r="C55" i="74"/>
  <c r="B55" i="74"/>
  <c r="A55" i="74"/>
  <c r="Q54" i="74"/>
  <c r="P54" i="74"/>
  <c r="O54" i="74"/>
  <c r="N54" i="74"/>
  <c r="M54" i="74"/>
  <c r="L54" i="74"/>
  <c r="D54" i="74"/>
  <c r="C54" i="74"/>
  <c r="B54" i="74"/>
  <c r="A54" i="74"/>
  <c r="Q53" i="74"/>
  <c r="P53" i="74"/>
  <c r="O53" i="74"/>
  <c r="N53" i="74"/>
  <c r="M53" i="74"/>
  <c r="L53" i="74"/>
  <c r="D53" i="74"/>
  <c r="C53" i="74"/>
  <c r="B53" i="74"/>
  <c r="A53" i="74"/>
  <c r="Q52" i="74"/>
  <c r="P52" i="74"/>
  <c r="O52" i="74"/>
  <c r="N52" i="74"/>
  <c r="M52" i="74"/>
  <c r="L52" i="74"/>
  <c r="D52" i="74"/>
  <c r="C52" i="74"/>
  <c r="B52" i="74"/>
  <c r="A52" i="74"/>
  <c r="Q51" i="74"/>
  <c r="P51" i="74"/>
  <c r="O51" i="74"/>
  <c r="N51" i="74"/>
  <c r="M51" i="74"/>
  <c r="L51" i="74"/>
  <c r="D51" i="74"/>
  <c r="C51" i="74"/>
  <c r="B51" i="74"/>
  <c r="A51" i="74"/>
  <c r="Q50" i="74"/>
  <c r="P50" i="74"/>
  <c r="O50" i="74"/>
  <c r="N50" i="74"/>
  <c r="M50" i="74"/>
  <c r="L50" i="74"/>
  <c r="D50" i="74"/>
  <c r="C50" i="74"/>
  <c r="B50" i="74"/>
  <c r="A50" i="74"/>
  <c r="Q49" i="74"/>
  <c r="P49" i="74"/>
  <c r="O49" i="74"/>
  <c r="N49" i="74"/>
  <c r="M49" i="74"/>
  <c r="L49" i="74"/>
  <c r="D49" i="74"/>
  <c r="C49" i="74"/>
  <c r="B49" i="74"/>
  <c r="A49" i="74"/>
  <c r="P48" i="74"/>
  <c r="O48" i="74"/>
  <c r="N48" i="74"/>
  <c r="M48" i="74"/>
  <c r="L48" i="74"/>
  <c r="K48" i="74"/>
  <c r="D48" i="74"/>
  <c r="C48" i="74"/>
  <c r="B48" i="74"/>
  <c r="A48" i="74"/>
  <c r="P47" i="74"/>
  <c r="O47" i="74"/>
  <c r="N47" i="74"/>
  <c r="M47" i="74"/>
  <c r="L47" i="74"/>
  <c r="K47" i="74"/>
  <c r="D47" i="74"/>
  <c r="C47" i="74"/>
  <c r="B47" i="74"/>
  <c r="A47" i="74"/>
  <c r="P46" i="74"/>
  <c r="O46" i="74"/>
  <c r="N46" i="74"/>
  <c r="M46" i="74"/>
  <c r="L46" i="74"/>
  <c r="K46" i="74"/>
  <c r="D46" i="74"/>
  <c r="C46" i="74"/>
  <c r="B46" i="74"/>
  <c r="A46" i="74"/>
  <c r="P45" i="74"/>
  <c r="O45" i="74"/>
  <c r="N45" i="74"/>
  <c r="M45" i="74"/>
  <c r="L45" i="74"/>
  <c r="K45" i="74"/>
  <c r="D45" i="74"/>
  <c r="C45" i="74"/>
  <c r="B45" i="74"/>
  <c r="A45" i="74"/>
  <c r="P44" i="74"/>
  <c r="O44" i="74"/>
  <c r="N44" i="74"/>
  <c r="M44" i="74"/>
  <c r="L44" i="74"/>
  <c r="K44" i="74"/>
  <c r="D44" i="74"/>
  <c r="C44" i="74"/>
  <c r="B44" i="74"/>
  <c r="A44" i="74"/>
  <c r="P43" i="74"/>
  <c r="O43" i="74"/>
  <c r="N43" i="74"/>
  <c r="M43" i="74"/>
  <c r="L43" i="74"/>
  <c r="K43" i="74"/>
  <c r="D43" i="74"/>
  <c r="C43" i="74"/>
  <c r="B43" i="74"/>
  <c r="A43" i="74"/>
  <c r="P42" i="74"/>
  <c r="O42" i="74"/>
  <c r="N42" i="74"/>
  <c r="M42" i="74"/>
  <c r="L42" i="74"/>
  <c r="K42" i="74"/>
  <c r="D42" i="74"/>
  <c r="C42" i="74"/>
  <c r="B42" i="74"/>
  <c r="A42" i="74"/>
  <c r="O41" i="74"/>
  <c r="N41" i="74"/>
  <c r="M41" i="74"/>
  <c r="L41" i="74"/>
  <c r="K41" i="74"/>
  <c r="J41" i="74"/>
  <c r="D41" i="74"/>
  <c r="C41" i="74"/>
  <c r="B41" i="74"/>
  <c r="A41" i="74"/>
  <c r="O40" i="74"/>
  <c r="N40" i="74"/>
  <c r="M40" i="74"/>
  <c r="L40" i="74"/>
  <c r="K40" i="74"/>
  <c r="J40" i="74"/>
  <c r="D40" i="74"/>
  <c r="C40" i="74"/>
  <c r="B40" i="74"/>
  <c r="A40" i="74"/>
  <c r="O39" i="74"/>
  <c r="N39" i="74"/>
  <c r="M39" i="74"/>
  <c r="L39" i="74"/>
  <c r="K39" i="74"/>
  <c r="J39" i="74"/>
  <c r="D39" i="74"/>
  <c r="C39" i="74"/>
  <c r="B39" i="74"/>
  <c r="A39" i="74"/>
  <c r="O38" i="74"/>
  <c r="N38" i="74"/>
  <c r="M38" i="74"/>
  <c r="L38" i="74"/>
  <c r="K38" i="74"/>
  <c r="J38" i="74"/>
  <c r="E38" i="74"/>
  <c r="D38" i="74"/>
  <c r="C38" i="74"/>
  <c r="B38" i="74"/>
  <c r="A38" i="74"/>
  <c r="O37" i="74"/>
  <c r="N37" i="74"/>
  <c r="M37" i="74"/>
  <c r="L37" i="74"/>
  <c r="K37" i="74"/>
  <c r="J37" i="74"/>
  <c r="E37" i="74"/>
  <c r="D37" i="74"/>
  <c r="C37" i="74"/>
  <c r="B37" i="74"/>
  <c r="A37" i="74"/>
  <c r="O36" i="74"/>
  <c r="N36" i="74"/>
  <c r="M36" i="74"/>
  <c r="L36" i="74"/>
  <c r="K36" i="74"/>
  <c r="J36" i="74"/>
  <c r="E36" i="74"/>
  <c r="D36" i="74"/>
  <c r="C36" i="74"/>
  <c r="B36" i="74"/>
  <c r="A36" i="74"/>
  <c r="N35" i="74"/>
  <c r="M35" i="74"/>
  <c r="L35" i="74"/>
  <c r="K35" i="74"/>
  <c r="J35" i="74"/>
  <c r="I35" i="74"/>
  <c r="E35" i="74"/>
  <c r="N34" i="74"/>
  <c r="M34" i="74"/>
  <c r="L34" i="74"/>
  <c r="K34" i="74"/>
  <c r="J34" i="74"/>
  <c r="I34" i="74"/>
  <c r="E34" i="74"/>
  <c r="N33" i="74"/>
  <c r="M33" i="74"/>
  <c r="L33" i="74"/>
  <c r="K33" i="74"/>
  <c r="J33" i="74"/>
  <c r="I33" i="74"/>
  <c r="E33" i="74"/>
  <c r="N32" i="74"/>
  <c r="M32" i="74"/>
  <c r="L32" i="74"/>
  <c r="K32" i="74"/>
  <c r="J32" i="74"/>
  <c r="I32" i="74"/>
  <c r="E32" i="74"/>
  <c r="N31" i="74"/>
  <c r="M31" i="74"/>
  <c r="L31" i="74"/>
  <c r="K31" i="74"/>
  <c r="J31" i="74"/>
  <c r="I31" i="74"/>
  <c r="E31" i="74"/>
  <c r="N30" i="74"/>
  <c r="M30" i="74"/>
  <c r="L30" i="74"/>
  <c r="K30" i="74"/>
  <c r="J30" i="74"/>
  <c r="I30" i="74"/>
  <c r="E30" i="74"/>
  <c r="N29" i="74"/>
  <c r="M29" i="74"/>
  <c r="L29" i="74"/>
  <c r="K29" i="74"/>
  <c r="J29" i="74"/>
  <c r="I29" i="74"/>
  <c r="E29" i="74"/>
  <c r="M28" i="74"/>
  <c r="L28" i="74"/>
  <c r="K28" i="74"/>
  <c r="J28" i="74"/>
  <c r="I28" i="74"/>
  <c r="H28" i="74"/>
  <c r="E28" i="74"/>
  <c r="N27" i="74"/>
  <c r="M27" i="74"/>
  <c r="L27" i="74"/>
  <c r="K27" i="74"/>
  <c r="J27" i="74"/>
  <c r="I27" i="74"/>
  <c r="H27" i="74"/>
  <c r="E27" i="74"/>
  <c r="M26" i="74"/>
  <c r="L26" i="74"/>
  <c r="K26" i="74"/>
  <c r="J26" i="74"/>
  <c r="I26" i="74"/>
  <c r="H26" i="74"/>
  <c r="E26" i="74"/>
  <c r="M25" i="74"/>
  <c r="L25" i="74"/>
  <c r="K25" i="74"/>
  <c r="J25" i="74"/>
  <c r="I25" i="74"/>
  <c r="H25" i="74"/>
  <c r="E25" i="74"/>
  <c r="M24" i="74"/>
  <c r="L24" i="74"/>
  <c r="K24" i="74"/>
  <c r="J24" i="74"/>
  <c r="I24" i="74"/>
  <c r="H24" i="74"/>
  <c r="E24" i="74"/>
  <c r="M23" i="74"/>
  <c r="L23" i="74"/>
  <c r="K23" i="74"/>
  <c r="J23" i="74"/>
  <c r="I23" i="74"/>
  <c r="H23" i="74"/>
  <c r="E23" i="74"/>
  <c r="L22" i="74"/>
  <c r="K22" i="74"/>
  <c r="J22" i="74"/>
  <c r="I22" i="74"/>
  <c r="H22" i="74"/>
  <c r="G22" i="74"/>
  <c r="E22" i="74"/>
  <c r="L21" i="74"/>
  <c r="K21" i="74"/>
  <c r="J21" i="74"/>
  <c r="I21" i="74"/>
  <c r="H21" i="74"/>
  <c r="G21" i="74"/>
  <c r="E21" i="74"/>
  <c r="L20" i="74"/>
  <c r="K20" i="74"/>
  <c r="J20" i="74"/>
  <c r="I20" i="74"/>
  <c r="H20" i="74"/>
  <c r="G20" i="74"/>
  <c r="E20" i="74"/>
  <c r="L19" i="74"/>
  <c r="K19" i="74"/>
  <c r="J19" i="74"/>
  <c r="I19" i="74"/>
  <c r="H19" i="74"/>
  <c r="G19" i="74"/>
  <c r="E19" i="74"/>
  <c r="L18" i="74"/>
  <c r="K18" i="74"/>
  <c r="J18" i="74"/>
  <c r="I18" i="74"/>
  <c r="H18" i="74"/>
  <c r="G18" i="74"/>
  <c r="E18" i="74"/>
  <c r="L17" i="74"/>
  <c r="K17" i="74"/>
  <c r="J17" i="74"/>
  <c r="I17" i="74"/>
  <c r="H17" i="74"/>
  <c r="G17" i="74"/>
  <c r="E17" i="74"/>
  <c r="L16" i="74"/>
  <c r="K16" i="74"/>
  <c r="J16" i="74"/>
  <c r="I16" i="74"/>
  <c r="H16" i="74"/>
  <c r="G16" i="74"/>
  <c r="E16" i="74"/>
  <c r="K15" i="74"/>
  <c r="J15" i="74"/>
  <c r="I15" i="74"/>
  <c r="H15" i="74"/>
  <c r="G15" i="74"/>
  <c r="F15" i="74"/>
  <c r="E15" i="74"/>
  <c r="K14" i="74"/>
  <c r="J14" i="74"/>
  <c r="I14" i="74"/>
  <c r="H14" i="74"/>
  <c r="G14" i="74"/>
  <c r="F14" i="74"/>
  <c r="E14" i="74"/>
  <c r="K13" i="74"/>
  <c r="J13" i="74"/>
  <c r="I13" i="74"/>
  <c r="H13" i="74"/>
  <c r="G13" i="74"/>
  <c r="F13" i="74"/>
  <c r="E13" i="74"/>
  <c r="K12" i="74"/>
  <c r="J12" i="74"/>
  <c r="I12" i="74"/>
  <c r="H12" i="74"/>
  <c r="G12" i="74"/>
  <c r="F12" i="74"/>
  <c r="E12" i="74"/>
  <c r="K11" i="74"/>
  <c r="J11" i="74"/>
  <c r="I11" i="74"/>
  <c r="H11" i="74"/>
  <c r="G11" i="74"/>
  <c r="F11" i="74"/>
  <c r="E11" i="74"/>
  <c r="K10" i="74"/>
  <c r="J10" i="74"/>
  <c r="I10" i="74"/>
  <c r="H10" i="74"/>
  <c r="G10" i="74"/>
  <c r="F10" i="74"/>
  <c r="E10" i="74"/>
  <c r="K9" i="74"/>
  <c r="J9" i="74"/>
  <c r="I9" i="74"/>
  <c r="H9" i="74"/>
  <c r="G9" i="74"/>
  <c r="F9" i="74"/>
  <c r="E9" i="74"/>
  <c r="L357" i="2"/>
  <c r="M357" i="2" s="1"/>
  <c r="K357" i="2"/>
  <c r="L356" i="2"/>
  <c r="M356" i="2" s="1"/>
  <c r="F356" i="2"/>
  <c r="D356" i="2"/>
  <c r="C356" i="2"/>
  <c r="B356" i="2"/>
  <c r="A356" i="2"/>
  <c r="K356" i="2" s="1"/>
  <c r="L355" i="2"/>
  <c r="M355" i="2" s="1"/>
  <c r="F355" i="2"/>
  <c r="D355" i="2"/>
  <c r="C355" i="2"/>
  <c r="B355" i="2"/>
  <c r="A355" i="2"/>
  <c r="K355" i="2" s="1"/>
  <c r="L354" i="2"/>
  <c r="M354" i="2" s="1"/>
  <c r="F354" i="2"/>
  <c r="D354" i="2"/>
  <c r="C354" i="2"/>
  <c r="B354" i="2"/>
  <c r="A354" i="2"/>
  <c r="K354" i="2" s="1"/>
  <c r="L353" i="2"/>
  <c r="M353" i="2" s="1"/>
  <c r="F353" i="2"/>
  <c r="D353" i="2"/>
  <c r="C353" i="2"/>
  <c r="B353" i="2"/>
  <c r="A353" i="2"/>
  <c r="K353" i="2" s="1"/>
  <c r="L352" i="2"/>
  <c r="M352" i="2" s="1"/>
  <c r="F352" i="2"/>
  <c r="D352" i="2"/>
  <c r="C352" i="2"/>
  <c r="B352" i="2"/>
  <c r="A352" i="2"/>
  <c r="K352" i="2" s="1"/>
  <c r="L351" i="2"/>
  <c r="M351" i="2" s="1"/>
  <c r="F351" i="2"/>
  <c r="D351" i="2"/>
  <c r="C351" i="2"/>
  <c r="B351" i="2"/>
  <c r="A351" i="2"/>
  <c r="K351" i="2" s="1"/>
  <c r="L350" i="2"/>
  <c r="M350" i="2" s="1"/>
  <c r="F350" i="2"/>
  <c r="D350" i="2"/>
  <c r="C350" i="2"/>
  <c r="B350" i="2"/>
  <c r="A350" i="2"/>
  <c r="K350" i="2" s="1"/>
  <c r="L349" i="2"/>
  <c r="M349" i="2" s="1"/>
  <c r="F349" i="2"/>
  <c r="D349" i="2"/>
  <c r="C349" i="2"/>
  <c r="B349" i="2"/>
  <c r="A349" i="2"/>
  <c r="K349" i="2" s="1"/>
  <c r="L348" i="2"/>
  <c r="M348" i="2" s="1"/>
  <c r="F348" i="2"/>
  <c r="D348" i="2"/>
  <c r="C348" i="2"/>
  <c r="B348" i="2"/>
  <c r="A348" i="2"/>
  <c r="K348" i="2" s="1"/>
  <c r="L347" i="2"/>
  <c r="M347" i="2" s="1"/>
  <c r="F347" i="2"/>
  <c r="D347" i="2"/>
  <c r="C347" i="2"/>
  <c r="B347" i="2"/>
  <c r="A347" i="2"/>
  <c r="K347" i="2" s="1"/>
  <c r="L346" i="2"/>
  <c r="M346" i="2" s="1"/>
  <c r="F346" i="2"/>
  <c r="D346" i="2"/>
  <c r="C346" i="2"/>
  <c r="B346" i="2"/>
  <c r="A346" i="2"/>
  <c r="K346" i="2" s="1"/>
  <c r="L345" i="2"/>
  <c r="M345" i="2" s="1"/>
  <c r="F345" i="2"/>
  <c r="D345" i="2"/>
  <c r="C345" i="2"/>
  <c r="B345" i="2"/>
  <c r="A345" i="2"/>
  <c r="K345" i="2" s="1"/>
  <c r="L344" i="2"/>
  <c r="M344" i="2" s="1"/>
  <c r="F344" i="2"/>
  <c r="D344" i="2"/>
  <c r="C344" i="2"/>
  <c r="B344" i="2"/>
  <c r="A344" i="2"/>
  <c r="K344" i="2" s="1"/>
  <c r="L343" i="2"/>
  <c r="M343" i="2" s="1"/>
  <c r="F343" i="2"/>
  <c r="D343" i="2"/>
  <c r="C343" i="2"/>
  <c r="B343" i="2"/>
  <c r="A343" i="2"/>
  <c r="K343" i="2" s="1"/>
  <c r="L342" i="2"/>
  <c r="M342" i="2" s="1"/>
  <c r="F342" i="2"/>
  <c r="D342" i="2"/>
  <c r="C342" i="2"/>
  <c r="B342" i="2"/>
  <c r="A342" i="2"/>
  <c r="K342" i="2" s="1"/>
  <c r="L341" i="2"/>
  <c r="M341" i="2" s="1"/>
  <c r="F341" i="2"/>
  <c r="D341" i="2"/>
  <c r="C341" i="2"/>
  <c r="B341" i="2"/>
  <c r="A341" i="2"/>
  <c r="K341" i="2" s="1"/>
  <c r="L340" i="2"/>
  <c r="M340" i="2" s="1"/>
  <c r="F340" i="2"/>
  <c r="D340" i="2"/>
  <c r="C340" i="2"/>
  <c r="B340" i="2"/>
  <c r="A340" i="2"/>
  <c r="K340" i="2" s="1"/>
  <c r="L339" i="2"/>
  <c r="M339" i="2" s="1"/>
  <c r="F339" i="2"/>
  <c r="D339" i="2"/>
  <c r="C339" i="2"/>
  <c r="B339" i="2"/>
  <c r="A339" i="2"/>
  <c r="K339" i="2" s="1"/>
  <c r="L338" i="2"/>
  <c r="M338" i="2" s="1"/>
  <c r="F338" i="2"/>
  <c r="D338" i="2"/>
  <c r="C338" i="2"/>
  <c r="B338" i="2"/>
  <c r="A338" i="2"/>
  <c r="K338" i="2" s="1"/>
  <c r="L337" i="2"/>
  <c r="M337" i="2" s="1"/>
  <c r="F337" i="2"/>
  <c r="D337" i="2"/>
  <c r="C337" i="2"/>
  <c r="B337" i="2"/>
  <c r="A337" i="2"/>
  <c r="K337" i="2" s="1"/>
  <c r="L336" i="2"/>
  <c r="M336" i="2" s="1"/>
  <c r="F336" i="2"/>
  <c r="D336" i="2"/>
  <c r="C336" i="2"/>
  <c r="B336" i="2"/>
  <c r="A336" i="2"/>
  <c r="K336" i="2" s="1"/>
  <c r="L335" i="2"/>
  <c r="M335" i="2" s="1"/>
  <c r="F335" i="2"/>
  <c r="D335" i="2"/>
  <c r="C335" i="2"/>
  <c r="B335" i="2"/>
  <c r="A335" i="2"/>
  <c r="K335" i="2" s="1"/>
  <c r="L334" i="2"/>
  <c r="M334" i="2" s="1"/>
  <c r="F334" i="2"/>
  <c r="D334" i="2"/>
  <c r="C334" i="2"/>
  <c r="B334" i="2"/>
  <c r="A334" i="2"/>
  <c r="K334" i="2" s="1"/>
  <c r="L333" i="2"/>
  <c r="M333" i="2" s="1"/>
  <c r="F333" i="2"/>
  <c r="D333" i="2"/>
  <c r="C333" i="2"/>
  <c r="B333" i="2"/>
  <c r="A333" i="2"/>
  <c r="K333" i="2" s="1"/>
  <c r="L332" i="2"/>
  <c r="M332" i="2" s="1"/>
  <c r="F332" i="2"/>
  <c r="D332" i="2"/>
  <c r="C332" i="2"/>
  <c r="B332" i="2"/>
  <c r="A332" i="2"/>
  <c r="K332" i="2" s="1"/>
  <c r="L331" i="2"/>
  <c r="M331" i="2" s="1"/>
  <c r="F331" i="2"/>
  <c r="D331" i="2"/>
  <c r="C331" i="2"/>
  <c r="B331" i="2"/>
  <c r="A331" i="2"/>
  <c r="K331" i="2" s="1"/>
  <c r="L330" i="2"/>
  <c r="M330" i="2" s="1"/>
  <c r="F330" i="2"/>
  <c r="D330" i="2"/>
  <c r="C330" i="2"/>
  <c r="B330" i="2"/>
  <c r="A330" i="2"/>
  <c r="K330" i="2" s="1"/>
  <c r="L329" i="2"/>
  <c r="M329" i="2" s="1"/>
  <c r="F329" i="2"/>
  <c r="D329" i="2"/>
  <c r="C329" i="2"/>
  <c r="B329" i="2"/>
  <c r="A329" i="2"/>
  <c r="K329" i="2" s="1"/>
  <c r="L328" i="2"/>
  <c r="M328" i="2" s="1"/>
  <c r="F328" i="2"/>
  <c r="D328" i="2"/>
  <c r="C328" i="2"/>
  <c r="B328" i="2"/>
  <c r="A328" i="2"/>
  <c r="K328" i="2" s="1"/>
  <c r="D327" i="2"/>
  <c r="C327" i="2"/>
  <c r="B327" i="2"/>
  <c r="A327" i="2"/>
  <c r="G327" i="2" s="1"/>
  <c r="D326" i="2"/>
  <c r="C326" i="2"/>
  <c r="B326" i="2"/>
  <c r="A326" i="2"/>
  <c r="G326" i="2" s="1"/>
  <c r="D325" i="2"/>
  <c r="C325" i="2"/>
  <c r="B325" i="2"/>
  <c r="A325" i="2"/>
  <c r="G325" i="2" s="1"/>
  <c r="D324" i="2"/>
  <c r="C324" i="2"/>
  <c r="B324" i="2"/>
  <c r="A324" i="2"/>
  <c r="G324" i="2" s="1"/>
  <c r="D323" i="2"/>
  <c r="C323" i="2"/>
  <c r="B323" i="2"/>
  <c r="A323" i="2"/>
  <c r="G323" i="2" s="1"/>
  <c r="D322" i="2"/>
  <c r="C322" i="2"/>
  <c r="B322" i="2"/>
  <c r="A322" i="2"/>
  <c r="G322" i="2" s="1"/>
  <c r="D321" i="2"/>
  <c r="C321" i="2"/>
  <c r="B321" i="2"/>
  <c r="A321" i="2"/>
  <c r="G321" i="2" s="1"/>
  <c r="D320" i="2"/>
  <c r="C320" i="2"/>
  <c r="B320" i="2"/>
  <c r="A320" i="2"/>
  <c r="G320" i="2" s="1"/>
  <c r="D319" i="2"/>
  <c r="C319" i="2"/>
  <c r="B319" i="2"/>
  <c r="A319" i="2"/>
  <c r="G319" i="2" s="1"/>
  <c r="D318" i="2"/>
  <c r="C318" i="2"/>
  <c r="B318" i="2"/>
  <c r="A318" i="2"/>
  <c r="G318" i="2" s="1"/>
  <c r="D317" i="2"/>
  <c r="C317" i="2"/>
  <c r="B317" i="2"/>
  <c r="A317" i="2"/>
  <c r="D316" i="2"/>
  <c r="C316" i="2"/>
  <c r="B316" i="2"/>
  <c r="A316" i="2"/>
  <c r="J316" i="2" s="1"/>
  <c r="D315" i="2"/>
  <c r="C315" i="2"/>
  <c r="B315" i="2"/>
  <c r="A315" i="2"/>
  <c r="J315" i="2" s="1"/>
  <c r="D314" i="2"/>
  <c r="C314" i="2"/>
  <c r="B314" i="2"/>
  <c r="A314" i="2"/>
  <c r="J314" i="2" s="1"/>
  <c r="D313" i="2"/>
  <c r="C313" i="2"/>
  <c r="B313" i="2"/>
  <c r="A313" i="2"/>
  <c r="D312" i="2"/>
  <c r="C312" i="2"/>
  <c r="B312" i="2"/>
  <c r="A312" i="2"/>
  <c r="J312" i="2" s="1"/>
  <c r="D311" i="2"/>
  <c r="C311" i="2"/>
  <c r="B311" i="2"/>
  <c r="A311" i="2"/>
  <c r="J311" i="2" s="1"/>
  <c r="D310" i="2"/>
  <c r="C310" i="2"/>
  <c r="B310" i="2"/>
  <c r="A310" i="2"/>
  <c r="J310" i="2" s="1"/>
  <c r="D309" i="2"/>
  <c r="C309" i="2"/>
  <c r="B309" i="2"/>
  <c r="A309" i="2"/>
  <c r="D308" i="2"/>
  <c r="C308" i="2"/>
  <c r="B308" i="2"/>
  <c r="A308" i="2"/>
  <c r="J308" i="2" s="1"/>
  <c r="D307" i="2"/>
  <c r="C307" i="2"/>
  <c r="B307" i="2"/>
  <c r="A307" i="2"/>
  <c r="J307" i="2" s="1"/>
  <c r="D306" i="2"/>
  <c r="C306" i="2"/>
  <c r="B306" i="2"/>
  <c r="A306" i="2"/>
  <c r="J306" i="2" s="1"/>
  <c r="D305" i="2"/>
  <c r="C305" i="2"/>
  <c r="B305" i="2"/>
  <c r="A305" i="2"/>
  <c r="D304" i="2"/>
  <c r="C304" i="2"/>
  <c r="B304" i="2"/>
  <c r="A304" i="2"/>
  <c r="J304" i="2" s="1"/>
  <c r="D303" i="2"/>
  <c r="C303" i="2"/>
  <c r="B303" i="2"/>
  <c r="A303" i="2"/>
  <c r="J303" i="2" s="1"/>
  <c r="D302" i="2"/>
  <c r="C302" i="2"/>
  <c r="B302" i="2"/>
  <c r="A302" i="2"/>
  <c r="J302" i="2" s="1"/>
  <c r="D301" i="2"/>
  <c r="C301" i="2"/>
  <c r="B301" i="2"/>
  <c r="A301" i="2"/>
  <c r="D297" i="2"/>
  <c r="C297" i="2"/>
  <c r="B297" i="2"/>
  <c r="A297" i="2"/>
  <c r="D296" i="2"/>
  <c r="C296" i="2"/>
  <c r="B296" i="2"/>
  <c r="A296" i="2"/>
  <c r="J296" i="2" s="1"/>
  <c r="D295" i="2"/>
  <c r="C295" i="2"/>
  <c r="B295" i="2"/>
  <c r="A295" i="2"/>
  <c r="J295" i="2" s="1"/>
  <c r="D293" i="2"/>
  <c r="C293" i="2"/>
  <c r="B293" i="2"/>
  <c r="A293" i="2"/>
  <c r="D292" i="2"/>
  <c r="C292" i="2"/>
  <c r="B292" i="2"/>
  <c r="A292" i="2"/>
  <c r="J292" i="2" s="1"/>
  <c r="D291" i="2"/>
  <c r="C291" i="2"/>
  <c r="B291" i="2"/>
  <c r="A291" i="2"/>
  <c r="J291" i="2" s="1"/>
  <c r="D290" i="2"/>
  <c r="C290" i="2"/>
  <c r="B290" i="2"/>
  <c r="A290" i="2"/>
  <c r="J290" i="2" s="1"/>
  <c r="D289" i="2"/>
  <c r="C289" i="2"/>
  <c r="B289" i="2"/>
  <c r="A289" i="2"/>
  <c r="D288" i="2"/>
  <c r="C288" i="2"/>
  <c r="B288" i="2"/>
  <c r="A288" i="2"/>
  <c r="J288" i="2" s="1"/>
  <c r="D287" i="2"/>
  <c r="C287" i="2"/>
  <c r="B287" i="2"/>
  <c r="A287" i="2"/>
  <c r="J287" i="2" s="1"/>
  <c r="D286" i="2"/>
  <c r="C286" i="2"/>
  <c r="B286" i="2"/>
  <c r="A286" i="2"/>
  <c r="J286" i="2" s="1"/>
  <c r="D285" i="2"/>
  <c r="C285" i="2"/>
  <c r="B285" i="2"/>
  <c r="A285" i="2"/>
  <c r="D284" i="2"/>
  <c r="C284" i="2"/>
  <c r="B284" i="2"/>
  <c r="A284" i="2"/>
  <c r="J284" i="2" s="1"/>
  <c r="D283" i="2"/>
  <c r="C283" i="2"/>
  <c r="B283" i="2"/>
  <c r="A283" i="2"/>
  <c r="J283" i="2" s="1"/>
  <c r="D282" i="2"/>
  <c r="C282" i="2"/>
  <c r="B282" i="2"/>
  <c r="A282" i="2"/>
  <c r="J282" i="2" s="1"/>
  <c r="D281" i="2"/>
  <c r="C281" i="2"/>
  <c r="B281" i="2"/>
  <c r="A281" i="2"/>
  <c r="D280" i="2"/>
  <c r="C280" i="2"/>
  <c r="B280" i="2"/>
  <c r="A280" i="2"/>
  <c r="J280" i="2" s="1"/>
  <c r="D279" i="2"/>
  <c r="C279" i="2"/>
  <c r="B279" i="2"/>
  <c r="A279" i="2"/>
  <c r="J279" i="2" s="1"/>
  <c r="D278" i="2"/>
  <c r="C278" i="2"/>
  <c r="B278" i="2"/>
  <c r="A278" i="2"/>
  <c r="J278" i="2" s="1"/>
  <c r="D277" i="2"/>
  <c r="C277" i="2"/>
  <c r="B277" i="2"/>
  <c r="A277" i="2"/>
  <c r="D276" i="2"/>
  <c r="C276" i="2"/>
  <c r="B276" i="2"/>
  <c r="A276" i="2"/>
  <c r="J276" i="2" s="1"/>
  <c r="D275" i="2"/>
  <c r="C275" i="2"/>
  <c r="B275" i="2"/>
  <c r="A275" i="2"/>
  <c r="J275" i="2" s="1"/>
  <c r="D274" i="2"/>
  <c r="C274" i="2"/>
  <c r="B274" i="2"/>
  <c r="A274" i="2"/>
  <c r="J274" i="2" s="1"/>
  <c r="D273" i="2"/>
  <c r="C273" i="2"/>
  <c r="B273" i="2"/>
  <c r="A273" i="2"/>
  <c r="D272" i="2"/>
  <c r="C272" i="2"/>
  <c r="B272" i="2"/>
  <c r="A272" i="2"/>
  <c r="J272" i="2" s="1"/>
  <c r="D271" i="2"/>
  <c r="C271" i="2"/>
  <c r="B271" i="2"/>
  <c r="A271" i="2"/>
  <c r="J271" i="2" s="1"/>
  <c r="D270" i="2"/>
  <c r="C270" i="2"/>
  <c r="B270" i="2"/>
  <c r="A270" i="2"/>
  <c r="J270" i="2" s="1"/>
  <c r="D269" i="2"/>
  <c r="C269" i="2"/>
  <c r="B269" i="2"/>
  <c r="A269" i="2"/>
  <c r="D268" i="2"/>
  <c r="C268" i="2"/>
  <c r="B268" i="2"/>
  <c r="A268" i="2"/>
  <c r="J268" i="2" s="1"/>
  <c r="D267" i="2"/>
  <c r="C267" i="2"/>
  <c r="B267" i="2"/>
  <c r="A267" i="2"/>
  <c r="J267" i="2" s="1"/>
  <c r="D266" i="2"/>
  <c r="C266" i="2"/>
  <c r="B266" i="2"/>
  <c r="A266" i="2"/>
  <c r="J266" i="2" s="1"/>
  <c r="D265" i="2"/>
  <c r="C265" i="2"/>
  <c r="B265" i="2"/>
  <c r="A265" i="2"/>
  <c r="D264" i="2"/>
  <c r="C264" i="2"/>
  <c r="B264" i="2"/>
  <c r="A264" i="2"/>
  <c r="J264" i="2" s="1"/>
  <c r="D263" i="2"/>
  <c r="C263" i="2"/>
  <c r="B263" i="2"/>
  <c r="A263" i="2"/>
  <c r="J263" i="2" s="1"/>
  <c r="D262" i="2"/>
  <c r="C262" i="2"/>
  <c r="B262" i="2"/>
  <c r="A262" i="2"/>
  <c r="J262" i="2" s="1"/>
  <c r="D261" i="2"/>
  <c r="C261" i="2"/>
  <c r="B261" i="2"/>
  <c r="A261" i="2"/>
  <c r="D260" i="2"/>
  <c r="C260" i="2"/>
  <c r="B260" i="2"/>
  <c r="A260" i="2"/>
  <c r="J260" i="2" s="1"/>
  <c r="D259" i="2"/>
  <c r="C259" i="2"/>
  <c r="B259" i="2"/>
  <c r="A259" i="2"/>
  <c r="J259" i="2" s="1"/>
  <c r="D258" i="2"/>
  <c r="C258" i="2"/>
  <c r="B258" i="2"/>
  <c r="A258" i="2"/>
  <c r="D257" i="2"/>
  <c r="C257" i="2"/>
  <c r="B257" i="2"/>
  <c r="A257" i="2"/>
  <c r="D256" i="2"/>
  <c r="C256" i="2"/>
  <c r="B256" i="2"/>
  <c r="A256" i="2"/>
  <c r="J256" i="2" s="1"/>
  <c r="D255" i="2"/>
  <c r="C255" i="2"/>
  <c r="B255" i="2"/>
  <c r="A255" i="2"/>
  <c r="J255" i="2" s="1"/>
  <c r="D254" i="2"/>
  <c r="C254" i="2"/>
  <c r="B254" i="2"/>
  <c r="A254" i="2"/>
  <c r="D253" i="2"/>
  <c r="C253" i="2"/>
  <c r="B253" i="2"/>
  <c r="A253" i="2"/>
  <c r="D252" i="2"/>
  <c r="C252" i="2"/>
  <c r="B252" i="2"/>
  <c r="A252" i="2"/>
  <c r="J252" i="2" s="1"/>
  <c r="D251" i="2"/>
  <c r="C251" i="2"/>
  <c r="B251" i="2"/>
  <c r="A251" i="2"/>
  <c r="J251" i="2" s="1"/>
  <c r="D250" i="2"/>
  <c r="C250" i="2"/>
  <c r="B250" i="2"/>
  <c r="A250" i="2"/>
  <c r="D249" i="2"/>
  <c r="C249" i="2"/>
  <c r="B249" i="2"/>
  <c r="A249" i="2"/>
  <c r="D248" i="2"/>
  <c r="C248" i="2"/>
  <c r="B248" i="2"/>
  <c r="A248" i="2"/>
  <c r="J248" i="2" s="1"/>
  <c r="D247" i="2"/>
  <c r="C247" i="2"/>
  <c r="B247" i="2"/>
  <c r="A247" i="2"/>
  <c r="J247" i="2" s="1"/>
  <c r="D246" i="2"/>
  <c r="C246" i="2"/>
  <c r="B246" i="2"/>
  <c r="A246" i="2"/>
  <c r="D245" i="2"/>
  <c r="C245" i="2"/>
  <c r="B245" i="2"/>
  <c r="A245" i="2"/>
  <c r="J245" i="2" s="1"/>
  <c r="D244" i="2"/>
  <c r="C244" i="2"/>
  <c r="B244" i="2"/>
  <c r="A244" i="2"/>
  <c r="J244" i="2" s="1"/>
  <c r="D243" i="2"/>
  <c r="C243" i="2"/>
  <c r="B243" i="2"/>
  <c r="A243" i="2"/>
  <c r="J243" i="2" s="1"/>
  <c r="D242" i="2"/>
  <c r="C242" i="2"/>
  <c r="B242" i="2"/>
  <c r="A242" i="2"/>
  <c r="D241" i="2"/>
  <c r="C241" i="2"/>
  <c r="B241" i="2"/>
  <c r="A241" i="2"/>
  <c r="J241" i="2" s="1"/>
  <c r="D240" i="2"/>
  <c r="C240" i="2"/>
  <c r="B240" i="2"/>
  <c r="A240" i="2"/>
  <c r="J240" i="2" s="1"/>
  <c r="D239" i="2"/>
  <c r="C239" i="2"/>
  <c r="B239" i="2"/>
  <c r="A239" i="2"/>
  <c r="J239" i="2" s="1"/>
  <c r="D238" i="2"/>
  <c r="C238" i="2"/>
  <c r="B238" i="2"/>
  <c r="A238" i="2"/>
  <c r="D237" i="2"/>
  <c r="C237" i="2"/>
  <c r="B237" i="2"/>
  <c r="A237" i="2"/>
  <c r="J237" i="2" s="1"/>
  <c r="D236" i="2"/>
  <c r="C236" i="2"/>
  <c r="B236" i="2"/>
  <c r="A236" i="2"/>
  <c r="J236" i="2" s="1"/>
  <c r="D235" i="2"/>
  <c r="C235" i="2"/>
  <c r="B235" i="2"/>
  <c r="A235" i="2"/>
  <c r="J235" i="2" s="1"/>
  <c r="D234" i="2"/>
  <c r="C234" i="2"/>
  <c r="B234" i="2"/>
  <c r="A234" i="2"/>
  <c r="D233" i="2"/>
  <c r="C233" i="2"/>
  <c r="B233" i="2"/>
  <c r="A233" i="2"/>
  <c r="J233" i="2" s="1"/>
  <c r="D232" i="2"/>
  <c r="C232" i="2"/>
  <c r="B232" i="2"/>
  <c r="A232" i="2"/>
  <c r="J232" i="2" s="1"/>
  <c r="D231" i="2"/>
  <c r="C231" i="2"/>
  <c r="B231" i="2"/>
  <c r="A231" i="2"/>
  <c r="J231" i="2" s="1"/>
  <c r="D230" i="2"/>
  <c r="C230" i="2"/>
  <c r="B230" i="2"/>
  <c r="A230" i="2"/>
  <c r="D229" i="2"/>
  <c r="C229" i="2"/>
  <c r="B229" i="2"/>
  <c r="A229" i="2"/>
  <c r="J229" i="2" s="1"/>
  <c r="D228" i="2"/>
  <c r="C228" i="2"/>
  <c r="B228" i="2"/>
  <c r="A228" i="2"/>
  <c r="J228" i="2" s="1"/>
  <c r="D227" i="2"/>
  <c r="C227" i="2"/>
  <c r="B227" i="2"/>
  <c r="A227" i="2"/>
  <c r="J227" i="2" s="1"/>
  <c r="D226" i="2"/>
  <c r="C226" i="2"/>
  <c r="B226" i="2"/>
  <c r="A226" i="2"/>
  <c r="D225" i="2"/>
  <c r="C225" i="2"/>
  <c r="B225" i="2"/>
  <c r="A225" i="2"/>
  <c r="J225" i="2" s="1"/>
  <c r="D224" i="2"/>
  <c r="C224" i="2"/>
  <c r="B224" i="2"/>
  <c r="A224" i="2"/>
  <c r="J224" i="2" s="1"/>
  <c r="D223" i="2"/>
  <c r="C223" i="2"/>
  <c r="B223" i="2"/>
  <c r="A223" i="2"/>
  <c r="J223" i="2" s="1"/>
  <c r="D222" i="2"/>
  <c r="C222" i="2"/>
  <c r="B222" i="2"/>
  <c r="A222" i="2"/>
  <c r="D221" i="2"/>
  <c r="C221" i="2"/>
  <c r="B221" i="2"/>
  <c r="A221" i="2"/>
  <c r="J221" i="2" s="1"/>
  <c r="D220" i="2"/>
  <c r="C220" i="2"/>
  <c r="B220" i="2"/>
  <c r="A220" i="2"/>
  <c r="J220" i="2" s="1"/>
  <c r="D219" i="2"/>
  <c r="C219" i="2"/>
  <c r="B219" i="2"/>
  <c r="A219" i="2"/>
  <c r="G219" i="2" s="1"/>
  <c r="D218" i="2"/>
  <c r="C218" i="2"/>
  <c r="B218" i="2"/>
  <c r="A218" i="2"/>
  <c r="J218" i="2" s="1"/>
  <c r="D217" i="2"/>
  <c r="C217" i="2"/>
  <c r="B217" i="2"/>
  <c r="D216" i="2"/>
  <c r="C216" i="2"/>
  <c r="B216" i="2"/>
  <c r="D215" i="2"/>
  <c r="C215" i="2"/>
  <c r="B215" i="2"/>
  <c r="D213" i="2"/>
  <c r="C213" i="2"/>
  <c r="B213" i="2"/>
  <c r="A213" i="2"/>
  <c r="G213" i="2" s="1"/>
  <c r="D212" i="2"/>
  <c r="C212" i="2"/>
  <c r="B212" i="2"/>
  <c r="A212" i="2"/>
  <c r="J212" i="2" s="1"/>
  <c r="D211" i="2"/>
  <c r="C211" i="2"/>
  <c r="B211" i="2"/>
  <c r="A211" i="2"/>
  <c r="J211" i="2" s="1"/>
  <c r="F210" i="2"/>
  <c r="D210" i="2"/>
  <c r="C210" i="2"/>
  <c r="B210" i="2"/>
  <c r="A210" i="2"/>
  <c r="J210" i="2" s="1"/>
  <c r="F209" i="2"/>
  <c r="D209" i="2"/>
  <c r="C209" i="2"/>
  <c r="B209" i="2"/>
  <c r="A209" i="2"/>
  <c r="F208" i="2"/>
  <c r="D208" i="2"/>
  <c r="C208" i="2"/>
  <c r="B208" i="2"/>
  <c r="A208" i="2"/>
  <c r="J208" i="2" s="1"/>
  <c r="F207" i="2"/>
  <c r="D207" i="2"/>
  <c r="C207" i="2"/>
  <c r="B207" i="2"/>
  <c r="A207" i="2"/>
  <c r="G207" i="2" s="1"/>
  <c r="F206" i="2"/>
  <c r="D206" i="2"/>
  <c r="C206" i="2"/>
  <c r="B206" i="2"/>
  <c r="A206" i="2"/>
  <c r="J206" i="2" s="1"/>
  <c r="F205" i="2"/>
  <c r="D205" i="2"/>
  <c r="C205" i="2"/>
  <c r="B205" i="2"/>
  <c r="A205" i="2"/>
  <c r="F204" i="2"/>
  <c r="D204" i="2"/>
  <c r="C204" i="2"/>
  <c r="B204" i="2"/>
  <c r="A204" i="2"/>
  <c r="F203" i="2"/>
  <c r="D203" i="2"/>
  <c r="C203" i="2"/>
  <c r="B203" i="2"/>
  <c r="A203" i="2"/>
  <c r="G203" i="2" s="1"/>
  <c r="F202" i="2"/>
  <c r="D202" i="2"/>
  <c r="C202" i="2"/>
  <c r="B202" i="2"/>
  <c r="A202" i="2"/>
  <c r="F201" i="2"/>
  <c r="D201" i="2"/>
  <c r="C201" i="2"/>
  <c r="B201" i="2"/>
  <c r="A201" i="2"/>
  <c r="G201" i="2" s="1"/>
  <c r="F200" i="2"/>
  <c r="D200" i="2"/>
  <c r="C200" i="2"/>
  <c r="B200" i="2"/>
  <c r="A200" i="2"/>
  <c r="J200" i="2" s="1"/>
  <c r="F199" i="2"/>
  <c r="D199" i="2"/>
  <c r="C199" i="2"/>
  <c r="B199" i="2"/>
  <c r="A199" i="2"/>
  <c r="F198" i="2"/>
  <c r="D198" i="2"/>
  <c r="C198" i="2"/>
  <c r="B198" i="2"/>
  <c r="A198" i="2"/>
  <c r="J198" i="2" s="1"/>
  <c r="F197" i="2"/>
  <c r="D197" i="2"/>
  <c r="C197" i="2"/>
  <c r="B197" i="2"/>
  <c r="A197" i="2"/>
  <c r="G197" i="2" s="1"/>
  <c r="F196" i="2"/>
  <c r="D196" i="2"/>
  <c r="C196" i="2"/>
  <c r="B196" i="2"/>
  <c r="A196" i="2"/>
  <c r="J196" i="2" s="1"/>
  <c r="F195" i="2"/>
  <c r="D195" i="2"/>
  <c r="C195" i="2"/>
  <c r="B195" i="2"/>
  <c r="A195" i="2"/>
  <c r="G195" i="2" s="1"/>
  <c r="F194" i="2"/>
  <c r="D194" i="2"/>
  <c r="C194" i="2"/>
  <c r="B194" i="2"/>
  <c r="A194" i="2"/>
  <c r="G194" i="2" s="1"/>
  <c r="F193" i="2"/>
  <c r="D193" i="2"/>
  <c r="C193" i="2"/>
  <c r="B193" i="2"/>
  <c r="A193" i="2"/>
  <c r="G193" i="2" s="1"/>
  <c r="F192" i="2"/>
  <c r="D192" i="2"/>
  <c r="C192" i="2"/>
  <c r="B192" i="2"/>
  <c r="A192" i="2"/>
  <c r="J192" i="2" s="1"/>
  <c r="F191" i="2"/>
  <c r="D191" i="2"/>
  <c r="C191" i="2"/>
  <c r="B191" i="2"/>
  <c r="A191" i="2"/>
  <c r="G191" i="2" s="1"/>
  <c r="F190" i="2"/>
  <c r="D190" i="2"/>
  <c r="C190" i="2"/>
  <c r="B190" i="2"/>
  <c r="A190" i="2"/>
  <c r="J190" i="2" s="1"/>
  <c r="F189" i="2"/>
  <c r="D189" i="2"/>
  <c r="C189" i="2"/>
  <c r="B189" i="2"/>
  <c r="A189" i="2"/>
  <c r="G189" i="2" s="1"/>
  <c r="F188" i="2"/>
  <c r="D188" i="2"/>
  <c r="C188" i="2"/>
  <c r="B188" i="2"/>
  <c r="A188" i="2"/>
  <c r="J188" i="2" s="1"/>
  <c r="F187" i="2"/>
  <c r="D187" i="2"/>
  <c r="C187" i="2"/>
  <c r="B187" i="2"/>
  <c r="A187" i="2"/>
  <c r="J187" i="2" s="1"/>
  <c r="F186" i="2"/>
  <c r="D186" i="2"/>
  <c r="C186" i="2"/>
  <c r="B186" i="2"/>
  <c r="A186" i="2"/>
  <c r="J186" i="2" s="1"/>
  <c r="F185" i="2"/>
  <c r="D185" i="2"/>
  <c r="C185" i="2"/>
  <c r="B185" i="2"/>
  <c r="A185" i="2"/>
  <c r="F184" i="2"/>
  <c r="D184" i="2"/>
  <c r="C184" i="2"/>
  <c r="B184" i="2"/>
  <c r="A184" i="2"/>
  <c r="J184" i="2" s="1"/>
  <c r="F183" i="2"/>
  <c r="D183" i="2"/>
  <c r="C183" i="2"/>
  <c r="B183" i="2"/>
  <c r="A183" i="2"/>
  <c r="G183" i="2" s="1"/>
  <c r="F182" i="2"/>
  <c r="D182" i="2"/>
  <c r="C182" i="2"/>
  <c r="B182" i="2"/>
  <c r="A182" i="2"/>
  <c r="J182" i="2" s="1"/>
  <c r="F181" i="2"/>
  <c r="D181" i="2"/>
  <c r="C181" i="2"/>
  <c r="B181" i="2"/>
  <c r="A181" i="2"/>
  <c r="F180" i="2"/>
  <c r="D180" i="2"/>
  <c r="C180" i="2"/>
  <c r="B180" i="2"/>
  <c r="A180" i="2"/>
  <c r="F179" i="2"/>
  <c r="D179" i="2"/>
  <c r="C179" i="2"/>
  <c r="B179" i="2"/>
  <c r="A179" i="2"/>
  <c r="G179" i="2" s="1"/>
  <c r="F178" i="2"/>
  <c r="D178" i="2"/>
  <c r="C178" i="2"/>
  <c r="B178" i="2"/>
  <c r="A178" i="2"/>
  <c r="J178" i="2" s="1"/>
  <c r="F177" i="2"/>
  <c r="D177" i="2"/>
  <c r="C177" i="2"/>
  <c r="B177" i="2"/>
  <c r="A177" i="2"/>
  <c r="E177" i="2" s="1"/>
  <c r="F176" i="2"/>
  <c r="D176" i="2"/>
  <c r="C176" i="2"/>
  <c r="B176" i="2"/>
  <c r="A176" i="2"/>
  <c r="J176" i="2" s="1"/>
  <c r="F175" i="2"/>
  <c r="D175" i="2"/>
  <c r="C175" i="2"/>
  <c r="B175" i="2"/>
  <c r="A175" i="2"/>
  <c r="J175" i="2" s="1"/>
  <c r="F174" i="2"/>
  <c r="D174" i="2"/>
  <c r="C174" i="2"/>
  <c r="B174" i="2"/>
  <c r="A174" i="2"/>
  <c r="G174" i="2" s="1"/>
  <c r="F173" i="2"/>
  <c r="D173" i="2"/>
  <c r="C173" i="2"/>
  <c r="B173" i="2"/>
  <c r="A173" i="2"/>
  <c r="E173" i="2" s="1"/>
  <c r="F172" i="2"/>
  <c r="D172" i="2"/>
  <c r="C172" i="2"/>
  <c r="B172" i="2"/>
  <c r="A172" i="2"/>
  <c r="J172" i="2" s="1"/>
  <c r="F171" i="2"/>
  <c r="D171" i="2"/>
  <c r="C171" i="2"/>
  <c r="B171" i="2"/>
  <c r="A171" i="2"/>
  <c r="J171" i="2" s="1"/>
  <c r="F170" i="2"/>
  <c r="D170" i="2"/>
  <c r="C170" i="2"/>
  <c r="B170" i="2"/>
  <c r="A170" i="2"/>
  <c r="G170" i="2" s="1"/>
  <c r="F169" i="2"/>
  <c r="D169" i="2"/>
  <c r="C169" i="2"/>
  <c r="B169" i="2"/>
  <c r="A169" i="2"/>
  <c r="J169" i="2" s="1"/>
  <c r="F168" i="2"/>
  <c r="D168" i="2"/>
  <c r="C168" i="2"/>
  <c r="B168" i="2"/>
  <c r="A168" i="2"/>
  <c r="F167" i="2"/>
  <c r="D167" i="2"/>
  <c r="C167" i="2"/>
  <c r="B167" i="2"/>
  <c r="A167" i="2"/>
  <c r="J167" i="2" s="1"/>
  <c r="F166" i="2"/>
  <c r="D166" i="2"/>
  <c r="C166" i="2"/>
  <c r="B166" i="2"/>
  <c r="A166" i="2"/>
  <c r="J166" i="2" s="1"/>
  <c r="F165" i="2"/>
  <c r="D165" i="2"/>
  <c r="C165" i="2"/>
  <c r="B165" i="2"/>
  <c r="A165" i="2"/>
  <c r="E165" i="2" s="1"/>
  <c r="F164" i="2"/>
  <c r="D164" i="2"/>
  <c r="C164" i="2"/>
  <c r="B164" i="2"/>
  <c r="A164" i="2"/>
  <c r="J164" i="2" s="1"/>
  <c r="F163" i="2"/>
  <c r="D163" i="2"/>
  <c r="C163" i="2"/>
  <c r="B163" i="2"/>
  <c r="A163" i="2"/>
  <c r="J163" i="2" s="1"/>
  <c r="F162" i="2"/>
  <c r="D162" i="2"/>
  <c r="C162" i="2"/>
  <c r="B162" i="2"/>
  <c r="A162" i="2"/>
  <c r="J162" i="2" s="1"/>
  <c r="F161" i="2"/>
  <c r="D161" i="2"/>
  <c r="C161" i="2"/>
  <c r="B161" i="2"/>
  <c r="A161" i="2"/>
  <c r="E161" i="2" s="1"/>
  <c r="F160" i="2"/>
  <c r="D160" i="2"/>
  <c r="C160" i="2"/>
  <c r="B160" i="2"/>
  <c r="A160" i="2"/>
  <c r="J160" i="2" s="1"/>
  <c r="F159" i="2"/>
  <c r="D159" i="2"/>
  <c r="C159" i="2"/>
  <c r="B159" i="2"/>
  <c r="A159" i="2"/>
  <c r="J159" i="2" s="1"/>
  <c r="F158" i="2"/>
  <c r="D158" i="2"/>
  <c r="C158" i="2"/>
  <c r="B158" i="2"/>
  <c r="A158" i="2"/>
  <c r="E158" i="2" s="1"/>
  <c r="F157" i="2"/>
  <c r="D157" i="2"/>
  <c r="C157" i="2"/>
  <c r="B157" i="2"/>
  <c r="A157" i="2"/>
  <c r="G157" i="2" s="1"/>
  <c r="F156" i="2"/>
  <c r="D156" i="2"/>
  <c r="C156" i="2"/>
  <c r="B156" i="2"/>
  <c r="A156" i="2"/>
  <c r="J156" i="2" s="1"/>
  <c r="F155" i="2"/>
  <c r="D155" i="2"/>
  <c r="C155" i="2"/>
  <c r="B155" i="2"/>
  <c r="A155" i="2"/>
  <c r="F154" i="2"/>
  <c r="D154" i="2"/>
  <c r="C154" i="2"/>
  <c r="B154" i="2"/>
  <c r="A154" i="2"/>
  <c r="E154" i="2" s="1"/>
  <c r="H153" i="2"/>
  <c r="F153" i="2"/>
  <c r="D153" i="2"/>
  <c r="C153" i="2"/>
  <c r="B153" i="2"/>
  <c r="A153" i="2"/>
  <c r="G153" i="2" s="1"/>
  <c r="F152" i="2"/>
  <c r="D152" i="2"/>
  <c r="C152" i="2"/>
  <c r="B152" i="2"/>
  <c r="A152" i="2"/>
  <c r="J152" i="2" s="1"/>
  <c r="F151" i="2"/>
  <c r="D151" i="2"/>
  <c r="C151" i="2"/>
  <c r="B151" i="2"/>
  <c r="A151" i="2"/>
  <c r="F150" i="2"/>
  <c r="D150" i="2"/>
  <c r="C150" i="2"/>
  <c r="B150" i="2"/>
  <c r="A150" i="2"/>
  <c r="E150" i="2" s="1"/>
  <c r="F149" i="2"/>
  <c r="D149" i="2"/>
  <c r="C149" i="2"/>
  <c r="B149" i="2"/>
  <c r="A149" i="2"/>
  <c r="G149" i="2" s="1"/>
  <c r="F148" i="2"/>
  <c r="D148" i="2"/>
  <c r="C148" i="2"/>
  <c r="B148" i="2"/>
  <c r="A148" i="2"/>
  <c r="J148" i="2" s="1"/>
  <c r="H147" i="2"/>
  <c r="F147" i="2"/>
  <c r="D147" i="2"/>
  <c r="C147" i="2"/>
  <c r="B147" i="2"/>
  <c r="A147" i="2"/>
  <c r="F146" i="2"/>
  <c r="D146" i="2"/>
  <c r="C146" i="2"/>
  <c r="B146" i="2"/>
  <c r="A146" i="2"/>
  <c r="E146" i="2" s="1"/>
  <c r="F145" i="2"/>
  <c r="D145" i="2"/>
  <c r="C145" i="2"/>
  <c r="B145" i="2"/>
  <c r="A145" i="2"/>
  <c r="G145" i="2" s="1"/>
  <c r="H144" i="2"/>
  <c r="F144" i="2"/>
  <c r="D144" i="2"/>
  <c r="C144" i="2"/>
  <c r="B144" i="2"/>
  <c r="A144" i="2"/>
  <c r="J144" i="2" s="1"/>
  <c r="F143" i="2"/>
  <c r="D143" i="2"/>
  <c r="C143" i="2"/>
  <c r="B143" i="2"/>
  <c r="A143" i="2"/>
  <c r="F142" i="2"/>
  <c r="D142" i="2"/>
  <c r="C142" i="2"/>
  <c r="B142" i="2"/>
  <c r="A142" i="2"/>
  <c r="E142" i="2" s="1"/>
  <c r="F141" i="2"/>
  <c r="D141" i="2"/>
  <c r="C141" i="2"/>
  <c r="B141" i="2"/>
  <c r="A141" i="2"/>
  <c r="G141" i="2" s="1"/>
  <c r="H140" i="2"/>
  <c r="F140" i="2"/>
  <c r="D140" i="2"/>
  <c r="C140" i="2"/>
  <c r="B140" i="2"/>
  <c r="A140" i="2"/>
  <c r="J140" i="2" s="1"/>
  <c r="F139" i="2"/>
  <c r="D139" i="2"/>
  <c r="C139" i="2"/>
  <c r="B139" i="2"/>
  <c r="A139" i="2"/>
  <c r="H138" i="2"/>
  <c r="F138" i="2"/>
  <c r="D138" i="2"/>
  <c r="C138" i="2"/>
  <c r="B138" i="2"/>
  <c r="A138" i="2"/>
  <c r="F137" i="2"/>
  <c r="D137" i="2"/>
  <c r="C137" i="2"/>
  <c r="B137" i="2"/>
  <c r="A137" i="2"/>
  <c r="F136" i="2"/>
  <c r="D136" i="2"/>
  <c r="C136" i="2"/>
  <c r="B136" i="2"/>
  <c r="A136" i="2"/>
  <c r="J136" i="2" s="1"/>
  <c r="F135" i="2"/>
  <c r="D135" i="2"/>
  <c r="C135" i="2"/>
  <c r="B135" i="2"/>
  <c r="A135" i="2"/>
  <c r="F134" i="2"/>
  <c r="D134" i="2"/>
  <c r="C134" i="2"/>
  <c r="B134" i="2"/>
  <c r="A134" i="2"/>
  <c r="E134" i="2" s="1"/>
  <c r="F133" i="2"/>
  <c r="D133" i="2"/>
  <c r="C133" i="2"/>
  <c r="B133" i="2"/>
  <c r="A133" i="2"/>
  <c r="G133" i="2" s="1"/>
  <c r="F132" i="2"/>
  <c r="D132" i="2"/>
  <c r="C132" i="2"/>
  <c r="B132" i="2"/>
  <c r="A132" i="2"/>
  <c r="J132" i="2" s="1"/>
  <c r="F131" i="2"/>
  <c r="D131" i="2"/>
  <c r="C131" i="2"/>
  <c r="B131" i="2"/>
  <c r="A131" i="2"/>
  <c r="F130" i="2"/>
  <c r="D130" i="2"/>
  <c r="C130" i="2"/>
  <c r="B130" i="2"/>
  <c r="A130" i="2"/>
  <c r="E130" i="2" s="1"/>
  <c r="F129" i="2"/>
  <c r="D129" i="2"/>
  <c r="C129" i="2"/>
  <c r="B129" i="2"/>
  <c r="A129" i="2"/>
  <c r="G129" i="2" s="1"/>
  <c r="F128" i="2"/>
  <c r="D128" i="2"/>
  <c r="C128" i="2"/>
  <c r="B128" i="2"/>
  <c r="A128" i="2"/>
  <c r="E128" i="2" s="1"/>
  <c r="F127" i="2"/>
  <c r="D127" i="2"/>
  <c r="C127" i="2"/>
  <c r="B127" i="2"/>
  <c r="A127" i="2"/>
  <c r="F126" i="2"/>
  <c r="D126" i="2"/>
  <c r="C126" i="2"/>
  <c r="B126" i="2"/>
  <c r="A126" i="2"/>
  <c r="E126" i="2" s="1"/>
  <c r="F125" i="2"/>
  <c r="D125" i="2"/>
  <c r="C125" i="2"/>
  <c r="B125" i="2"/>
  <c r="A125" i="2"/>
  <c r="J125" i="2" s="1"/>
  <c r="F124" i="2"/>
  <c r="D124" i="2"/>
  <c r="C124" i="2"/>
  <c r="B124" i="2"/>
  <c r="A124" i="2"/>
  <c r="E124" i="2" s="1"/>
  <c r="F123" i="2"/>
  <c r="D123" i="2"/>
  <c r="C123" i="2"/>
  <c r="B123" i="2"/>
  <c r="A123" i="2"/>
  <c r="B122" i="2"/>
  <c r="A122" i="2"/>
  <c r="E122" i="2" s="1"/>
  <c r="F119" i="2"/>
  <c r="D119" i="2"/>
  <c r="C119" i="2"/>
  <c r="A119" i="2"/>
  <c r="E119" i="2" s="1"/>
  <c r="F118" i="2"/>
  <c r="D118" i="2"/>
  <c r="C118" i="2"/>
  <c r="A118" i="2"/>
  <c r="E118" i="2" s="1"/>
  <c r="F117" i="2"/>
  <c r="D117" i="2"/>
  <c r="C117" i="2"/>
  <c r="A117" i="2"/>
  <c r="F116" i="2"/>
  <c r="D116" i="2"/>
  <c r="C116" i="2"/>
  <c r="A116" i="2"/>
  <c r="F115" i="2"/>
  <c r="D115" i="2"/>
  <c r="C115" i="2"/>
  <c r="A115" i="2"/>
  <c r="J115" i="2" s="1"/>
  <c r="F114" i="2"/>
  <c r="D114" i="2"/>
  <c r="C114" i="2"/>
  <c r="A114" i="2"/>
  <c r="E114" i="2" s="1"/>
  <c r="F113" i="2"/>
  <c r="D113" i="2"/>
  <c r="C113" i="2"/>
  <c r="A113" i="2"/>
  <c r="J113" i="2" s="1"/>
  <c r="F112" i="2"/>
  <c r="D112" i="2"/>
  <c r="C112" i="2"/>
  <c r="A112" i="2"/>
  <c r="G112" i="2" s="1"/>
  <c r="F111" i="2"/>
  <c r="D111" i="2"/>
  <c r="C111" i="2"/>
  <c r="A111" i="2"/>
  <c r="J111" i="2" s="1"/>
  <c r="F110" i="2"/>
  <c r="D110" i="2"/>
  <c r="C110" i="2"/>
  <c r="A110" i="2"/>
  <c r="E110" i="2" s="1"/>
  <c r="F109" i="2"/>
  <c r="D109" i="2"/>
  <c r="C109" i="2"/>
  <c r="A109" i="2"/>
  <c r="J109" i="2" s="1"/>
  <c r="F108" i="2"/>
  <c r="D108" i="2"/>
  <c r="C108" i="2"/>
  <c r="A108" i="2"/>
  <c r="G108" i="2" s="1"/>
  <c r="F107" i="2"/>
  <c r="D107" i="2"/>
  <c r="C107" i="2"/>
  <c r="A107" i="2"/>
  <c r="J107" i="2" s="1"/>
  <c r="F106" i="2"/>
  <c r="D106" i="2"/>
  <c r="C106" i="2"/>
  <c r="A106" i="2"/>
  <c r="E106" i="2" s="1"/>
  <c r="F105" i="2"/>
  <c r="D105" i="2"/>
  <c r="C105" i="2"/>
  <c r="A105" i="2"/>
  <c r="J105" i="2" s="1"/>
  <c r="F104" i="2"/>
  <c r="D104" i="2"/>
  <c r="C104" i="2"/>
  <c r="A104" i="2"/>
  <c r="G104" i="2" s="1"/>
  <c r="F103" i="2"/>
  <c r="D103" i="2"/>
  <c r="C103" i="2"/>
  <c r="A103" i="2"/>
  <c r="J103" i="2" s="1"/>
  <c r="H102" i="2"/>
  <c r="F102" i="2"/>
  <c r="D102" i="2"/>
  <c r="C102" i="2"/>
  <c r="A102" i="2"/>
  <c r="E102" i="2" s="1"/>
  <c r="H101" i="2"/>
  <c r="F101" i="2"/>
  <c r="D101" i="2"/>
  <c r="C101" i="2"/>
  <c r="A101" i="2"/>
  <c r="J101" i="2" s="1"/>
  <c r="F100" i="2"/>
  <c r="D100" i="2"/>
  <c r="C100" i="2"/>
  <c r="A100" i="2"/>
  <c r="G100" i="2" s="1"/>
  <c r="H99" i="2"/>
  <c r="F99" i="2"/>
  <c r="C99" i="2"/>
  <c r="A99" i="2"/>
  <c r="J99" i="2" s="1"/>
  <c r="F98" i="2"/>
  <c r="C98" i="2"/>
  <c r="A98" i="2"/>
  <c r="E98" i="2" s="1"/>
  <c r="H97" i="2"/>
  <c r="F97" i="2"/>
  <c r="C97" i="2"/>
  <c r="A97" i="2"/>
  <c r="J97" i="2" s="1"/>
  <c r="F95" i="2"/>
  <c r="C95" i="2"/>
  <c r="A95" i="2"/>
  <c r="G95" i="2" s="1"/>
  <c r="F94" i="2"/>
  <c r="C94" i="2"/>
  <c r="A94" i="2"/>
  <c r="J94" i="2" s="1"/>
  <c r="H93" i="2"/>
  <c r="F93" i="2"/>
  <c r="C93" i="2"/>
  <c r="A93" i="2"/>
  <c r="E93" i="2" s="1"/>
  <c r="F92" i="2"/>
  <c r="C92" i="2"/>
  <c r="A92" i="2"/>
  <c r="J92" i="2" s="1"/>
  <c r="F91" i="2"/>
  <c r="C91" i="2"/>
  <c r="A91" i="2"/>
  <c r="G91" i="2" s="1"/>
  <c r="F90" i="2"/>
  <c r="C90" i="2"/>
  <c r="A90" i="2"/>
  <c r="J90" i="2" s="1"/>
  <c r="F89" i="2"/>
  <c r="C89" i="2"/>
  <c r="A89" i="2"/>
  <c r="E89" i="2" s="1"/>
  <c r="F88" i="2"/>
  <c r="C88" i="2"/>
  <c r="A88" i="2"/>
  <c r="J88" i="2" s="1"/>
  <c r="F87" i="2"/>
  <c r="C87" i="2"/>
  <c r="A87" i="2"/>
  <c r="G87" i="2" s="1"/>
  <c r="F86" i="2"/>
  <c r="C86" i="2"/>
  <c r="A86" i="2"/>
  <c r="F85" i="2"/>
  <c r="C85" i="2"/>
  <c r="A85" i="2"/>
  <c r="E85" i="2" s="1"/>
  <c r="F84" i="2"/>
  <c r="C84" i="2"/>
  <c r="A84" i="2"/>
  <c r="F83" i="2"/>
  <c r="C83" i="2"/>
  <c r="A83" i="2"/>
  <c r="F82" i="2"/>
  <c r="C82" i="2"/>
  <c r="A82" i="2"/>
  <c r="J82" i="2" s="1"/>
  <c r="F81" i="2"/>
  <c r="C81" i="2"/>
  <c r="A81" i="2"/>
  <c r="E81" i="2" s="1"/>
  <c r="F80" i="2"/>
  <c r="C80" i="2"/>
  <c r="A80" i="2"/>
  <c r="J80" i="2" s="1"/>
  <c r="F79" i="2"/>
  <c r="C79" i="2"/>
  <c r="A79" i="2"/>
  <c r="G79" i="2" s="1"/>
  <c r="F78" i="2"/>
  <c r="C78" i="2"/>
  <c r="A78" i="2"/>
  <c r="J78" i="2" s="1"/>
  <c r="H77" i="2"/>
  <c r="F77" i="2"/>
  <c r="C77" i="2"/>
  <c r="A77" i="2"/>
  <c r="E77" i="2" s="1"/>
  <c r="H76" i="2"/>
  <c r="F76" i="2"/>
  <c r="C76" i="2"/>
  <c r="A76" i="2"/>
  <c r="J76" i="2" s="1"/>
  <c r="F75" i="2"/>
  <c r="C75" i="2"/>
  <c r="A75" i="2"/>
  <c r="G75" i="2" s="1"/>
  <c r="F74" i="2"/>
  <c r="C74" i="2"/>
  <c r="A74" i="2"/>
  <c r="G74" i="2" s="1"/>
  <c r="F73" i="2"/>
  <c r="C73" i="2"/>
  <c r="A73" i="2"/>
  <c r="G73" i="2" s="1"/>
  <c r="F72" i="2"/>
  <c r="C72" i="2"/>
  <c r="A72" i="2"/>
  <c r="J72" i="2" s="1"/>
  <c r="F71" i="2"/>
  <c r="C71" i="2"/>
  <c r="A71" i="2"/>
  <c r="J71" i="2" s="1"/>
  <c r="F70" i="2"/>
  <c r="C70" i="2"/>
  <c r="A70" i="2"/>
  <c r="G70" i="2" s="1"/>
  <c r="F69" i="2"/>
  <c r="C69" i="2"/>
  <c r="A69" i="2"/>
  <c r="G69" i="2" s="1"/>
  <c r="H68" i="2"/>
  <c r="F68" i="2"/>
  <c r="C68" i="2"/>
  <c r="A68" i="2"/>
  <c r="J68" i="2" s="1"/>
  <c r="F67" i="2"/>
  <c r="C67" i="2"/>
  <c r="A67" i="2"/>
  <c r="E67" i="2" s="1"/>
  <c r="F66" i="2"/>
  <c r="C66" i="2"/>
  <c r="A66" i="2"/>
  <c r="G66" i="2" s="1"/>
  <c r="F65" i="2"/>
  <c r="D65" i="2"/>
  <c r="C65" i="2"/>
  <c r="A65" i="2"/>
  <c r="G65" i="2" s="1"/>
  <c r="F64" i="2"/>
  <c r="C64" i="2"/>
  <c r="A64" i="2"/>
  <c r="J64" i="2" s="1"/>
  <c r="F63" i="2"/>
  <c r="C63" i="2"/>
  <c r="A63" i="2"/>
  <c r="J63" i="2" s="1"/>
  <c r="F62" i="2"/>
  <c r="C62" i="2"/>
  <c r="A62" i="2"/>
  <c r="G62" i="2" s="1"/>
  <c r="F61" i="2"/>
  <c r="C61" i="2"/>
  <c r="A61" i="2"/>
  <c r="G61" i="2" s="1"/>
  <c r="F60" i="2"/>
  <c r="C60" i="2"/>
  <c r="A60" i="2"/>
  <c r="J60" i="2" s="1"/>
  <c r="H59" i="2"/>
  <c r="F59" i="2"/>
  <c r="D59" i="2"/>
  <c r="C59" i="2"/>
  <c r="A59" i="2"/>
  <c r="G59" i="2" s="1"/>
  <c r="F58" i="2"/>
  <c r="D58" i="2"/>
  <c r="C58" i="2"/>
  <c r="A58" i="2"/>
  <c r="H57" i="2"/>
  <c r="F57" i="2"/>
  <c r="C57" i="2"/>
  <c r="A57" i="2"/>
  <c r="G57" i="2" s="1"/>
  <c r="F56" i="2"/>
  <c r="C56" i="2"/>
  <c r="A56" i="2"/>
  <c r="J56" i="2" s="1"/>
  <c r="F55" i="2"/>
  <c r="C55" i="2"/>
  <c r="A55" i="2"/>
  <c r="E55" i="2" s="1"/>
  <c r="F54" i="2"/>
  <c r="C54" i="2"/>
  <c r="A54" i="2"/>
  <c r="G54" i="2" s="1"/>
  <c r="H53" i="2"/>
  <c r="F53" i="2"/>
  <c r="C53" i="2"/>
  <c r="A53" i="2"/>
  <c r="G53" i="2" s="1"/>
  <c r="H52" i="2"/>
  <c r="F52" i="2"/>
  <c r="C52" i="2"/>
  <c r="A52" i="2"/>
  <c r="J52" i="2" s="1"/>
  <c r="F51" i="2"/>
  <c r="C51" i="2"/>
  <c r="A51" i="2"/>
  <c r="J51" i="2" s="1"/>
  <c r="F50" i="2"/>
  <c r="C50" i="2"/>
  <c r="A50" i="2"/>
  <c r="G50" i="2" s="1"/>
  <c r="F49" i="2"/>
  <c r="C49" i="2"/>
  <c r="A49" i="2"/>
  <c r="F48" i="2"/>
  <c r="C48" i="2"/>
  <c r="A48" i="2"/>
  <c r="F47" i="2"/>
  <c r="D47" i="2"/>
  <c r="C47" i="2"/>
  <c r="A47" i="2"/>
  <c r="G47" i="2" s="1"/>
  <c r="F46" i="2"/>
  <c r="D46" i="2"/>
  <c r="C46" i="2"/>
  <c r="A46" i="2"/>
  <c r="H45" i="2"/>
  <c r="F45" i="2"/>
  <c r="C45" i="2"/>
  <c r="A45" i="2"/>
  <c r="G45" i="2" s="1"/>
  <c r="F44" i="2"/>
  <c r="C44" i="2"/>
  <c r="A44" i="2"/>
  <c r="J44" i="2" s="1"/>
  <c r="F43" i="2"/>
  <c r="C43" i="2"/>
  <c r="A43" i="2"/>
  <c r="J43" i="2" s="1"/>
  <c r="F42" i="2"/>
  <c r="C42" i="2"/>
  <c r="A42" i="2"/>
  <c r="G42" i="2" s="1"/>
  <c r="H41" i="2"/>
  <c r="F41" i="2"/>
  <c r="D41" i="2"/>
  <c r="C41" i="2"/>
  <c r="A41" i="2"/>
  <c r="G41" i="2" s="1"/>
  <c r="H40" i="2"/>
  <c r="F40" i="2"/>
  <c r="D40" i="2"/>
  <c r="C40" i="2"/>
  <c r="A40" i="2"/>
  <c r="J40" i="2" s="1"/>
  <c r="F39" i="2"/>
  <c r="D39" i="2"/>
  <c r="C39" i="2"/>
  <c r="A39" i="2"/>
  <c r="J39" i="2" s="1"/>
  <c r="F38" i="2"/>
  <c r="D38" i="2"/>
  <c r="C38" i="2"/>
  <c r="A38" i="2"/>
  <c r="G38" i="2" s="1"/>
  <c r="H37" i="2"/>
  <c r="F37" i="2"/>
  <c r="D37" i="2"/>
  <c r="C37" i="2"/>
  <c r="A37" i="2"/>
  <c r="G37" i="2" s="1"/>
  <c r="F36" i="2"/>
  <c r="D36" i="2"/>
  <c r="C36" i="2"/>
  <c r="A36" i="2"/>
  <c r="J36" i="2" s="1"/>
  <c r="H34" i="2"/>
  <c r="G34" i="2"/>
  <c r="G33" i="2"/>
  <c r="H32" i="2"/>
  <c r="J32" i="2"/>
  <c r="G30" i="2"/>
  <c r="G29" i="2"/>
  <c r="J28" i="2"/>
  <c r="J27" i="2"/>
  <c r="G25" i="2"/>
  <c r="J24" i="2"/>
  <c r="E23" i="2"/>
  <c r="H22" i="2"/>
  <c r="D22" i="2"/>
  <c r="G22" i="2"/>
  <c r="H21" i="2"/>
  <c r="D21" i="2"/>
  <c r="G21" i="2"/>
  <c r="D20" i="2"/>
  <c r="J20" i="2"/>
  <c r="D19" i="2"/>
  <c r="J19" i="2"/>
  <c r="D18" i="2"/>
  <c r="G18" i="2"/>
  <c r="D17" i="2"/>
  <c r="G17" i="2"/>
  <c r="J16" i="2"/>
  <c r="A15" i="2"/>
  <c r="G15" i="2" s="1"/>
  <c r="A14" i="2"/>
  <c r="E14" i="2" s="1"/>
  <c r="G13" i="2"/>
  <c r="J12" i="2"/>
  <c r="J11" i="2"/>
  <c r="G10" i="2"/>
  <c r="G9" i="2"/>
  <c r="E4" i="2"/>
  <c r="F83" i="1"/>
  <c r="F82" i="1"/>
  <c r="F81" i="1"/>
  <c r="F80" i="1"/>
  <c r="F79" i="1"/>
  <c r="F78" i="1"/>
  <c r="F77" i="1"/>
  <c r="F76" i="1"/>
  <c r="F75" i="1"/>
  <c r="F74" i="1"/>
  <c r="F73" i="1"/>
  <c r="C59" i="1"/>
  <c r="R14" i="61" l="1"/>
  <c r="R20" i="61" s="1"/>
  <c r="I7" i="1" s="1"/>
  <c r="E15" i="2"/>
  <c r="N26" i="74"/>
  <c r="X10" i="60"/>
  <c r="X13" i="60"/>
  <c r="H13" i="2"/>
  <c r="I13" i="2" s="1"/>
  <c r="AB11" i="59"/>
  <c r="AB9" i="59"/>
  <c r="X12" i="60"/>
  <c r="X11" i="60"/>
  <c r="H12" i="2"/>
  <c r="I12" i="2" s="1"/>
  <c r="H9" i="2"/>
  <c r="I9" i="2" s="1"/>
  <c r="J31" i="2"/>
  <c r="H19" i="2"/>
  <c r="H20" i="2"/>
  <c r="I20" i="2" s="1"/>
  <c r="I28" i="2"/>
  <c r="N28" i="74"/>
  <c r="G12" i="2"/>
  <c r="H337" i="2"/>
  <c r="I337" i="2" s="1"/>
  <c r="H360" i="2"/>
  <c r="U40" i="71"/>
  <c r="U39" i="71"/>
  <c r="I359" i="2"/>
  <c r="E357" i="2"/>
  <c r="I360" i="2"/>
  <c r="U15" i="49"/>
  <c r="H63" i="2"/>
  <c r="R13" i="56"/>
  <c r="H33" i="2"/>
  <c r="AA20" i="59"/>
  <c r="J23" i="59" s="1"/>
  <c r="H246" i="2"/>
  <c r="I246" i="2" s="1"/>
  <c r="H248" i="2"/>
  <c r="I248" i="2" s="1"/>
  <c r="R13" i="12"/>
  <c r="Q19" i="19"/>
  <c r="J22" i="19" s="1"/>
  <c r="R9" i="19"/>
  <c r="R10" i="19"/>
  <c r="H244" i="2"/>
  <c r="I244" i="2" s="1"/>
  <c r="R11" i="12"/>
  <c r="R10" i="12"/>
  <c r="I240" i="2"/>
  <c r="R10" i="33"/>
  <c r="Y9" i="17"/>
  <c r="Y10" i="17"/>
  <c r="H155" i="2"/>
  <c r="I155" i="2" s="1"/>
  <c r="AB11" i="50"/>
  <c r="T10" i="45"/>
  <c r="H100" i="2"/>
  <c r="I100" i="2" s="1"/>
  <c r="G96" i="2"/>
  <c r="I96" i="2"/>
  <c r="U13" i="49"/>
  <c r="H89" i="2"/>
  <c r="I89" i="2" s="1"/>
  <c r="H87" i="2"/>
  <c r="I87" i="2" s="1"/>
  <c r="AB13" i="50"/>
  <c r="H83" i="2"/>
  <c r="I83" i="2" s="1"/>
  <c r="W13" i="51"/>
  <c r="H98" i="2"/>
  <c r="I98" i="2" s="1"/>
  <c r="H62" i="2"/>
  <c r="I62" i="2" s="1"/>
  <c r="Q20" i="48"/>
  <c r="J23" i="48" s="1"/>
  <c r="R9" i="48"/>
  <c r="R20" i="48" s="1"/>
  <c r="J24" i="48" s="1"/>
  <c r="I21" i="1" s="1"/>
  <c r="H60" i="2"/>
  <c r="I60" i="2" s="1"/>
  <c r="H55" i="2"/>
  <c r="I55" i="2" s="1"/>
  <c r="I290" i="2"/>
  <c r="J327" i="2"/>
  <c r="I247" i="2"/>
  <c r="I289" i="2"/>
  <c r="I326" i="2"/>
  <c r="I59" i="2"/>
  <c r="I311" i="2"/>
  <c r="I312" i="2"/>
  <c r="H43" i="2"/>
  <c r="I43" i="2" s="1"/>
  <c r="H61" i="2"/>
  <c r="I61" i="2" s="1"/>
  <c r="R9" i="56"/>
  <c r="H49" i="2"/>
  <c r="I49" i="2" s="1"/>
  <c r="N24" i="74"/>
  <c r="H340" i="2"/>
  <c r="I340" i="2" s="1"/>
  <c r="H329" i="2"/>
  <c r="I329" i="2" s="1"/>
  <c r="R9" i="58"/>
  <c r="N25" i="74"/>
  <c r="W21" i="60"/>
  <c r="J24" i="60" s="1"/>
  <c r="H17" i="2"/>
  <c r="I17" i="2" s="1"/>
  <c r="R20" i="62"/>
  <c r="J24" i="62" s="1"/>
  <c r="I8" i="1" s="1"/>
  <c r="U36" i="71"/>
  <c r="U15" i="71"/>
  <c r="G359" i="2"/>
  <c r="E359" i="2"/>
  <c r="J360" i="2"/>
  <c r="E360" i="2"/>
  <c r="J359" i="2"/>
  <c r="G360" i="2"/>
  <c r="G358" i="2"/>
  <c r="E358" i="2"/>
  <c r="J358" i="2"/>
  <c r="J357" i="2"/>
  <c r="G357" i="2"/>
  <c r="I15" i="2"/>
  <c r="I41" i="2"/>
  <c r="I31" i="2"/>
  <c r="I33" i="2"/>
  <c r="I325" i="2"/>
  <c r="I47" i="2"/>
  <c r="E60" i="2"/>
  <c r="E100" i="2"/>
  <c r="J320" i="2"/>
  <c r="I242" i="2"/>
  <c r="I245" i="2"/>
  <c r="I301" i="2"/>
  <c r="I315" i="2"/>
  <c r="I324" i="2"/>
  <c r="I14" i="2"/>
  <c r="I307" i="2"/>
  <c r="I40" i="2"/>
  <c r="I102" i="2"/>
  <c r="J323" i="2"/>
  <c r="I296" i="2"/>
  <c r="I313" i="2"/>
  <c r="I322" i="2"/>
  <c r="I300" i="2"/>
  <c r="I327" i="2"/>
  <c r="I42" i="2"/>
  <c r="G60" i="2"/>
  <c r="I10" i="2"/>
  <c r="I37" i="2"/>
  <c r="I82" i="2"/>
  <c r="I52" i="2"/>
  <c r="I36" i="2"/>
  <c r="I302" i="2"/>
  <c r="I273" i="2"/>
  <c r="I88" i="2"/>
  <c r="E9" i="2"/>
  <c r="I11" i="2"/>
  <c r="I19" i="2"/>
  <c r="I21" i="2"/>
  <c r="J324" i="2"/>
  <c r="I38" i="2"/>
  <c r="I288" i="2"/>
  <c r="I303" i="2"/>
  <c r="I318" i="2"/>
  <c r="I64" i="2"/>
  <c r="I283" i="2"/>
  <c r="I309" i="2"/>
  <c r="I292" i="2"/>
  <c r="E300" i="2"/>
  <c r="E29" i="2"/>
  <c r="I46" i="2"/>
  <c r="I95" i="2"/>
  <c r="E101" i="2"/>
  <c r="I268" i="2"/>
  <c r="E59" i="2"/>
  <c r="I249" i="2"/>
  <c r="J298" i="2"/>
  <c r="I277" i="2"/>
  <c r="I284" i="2"/>
  <c r="I63" i="2"/>
  <c r="I48" i="2"/>
  <c r="I279" i="2"/>
  <c r="I320" i="2"/>
  <c r="I239" i="2"/>
  <c r="I316" i="2"/>
  <c r="I262" i="2"/>
  <c r="H349" i="2"/>
  <c r="I349" i="2" s="1"/>
  <c r="H328" i="2"/>
  <c r="I328" i="2" s="1"/>
  <c r="U37" i="71"/>
  <c r="U27" i="71"/>
  <c r="H330" i="2"/>
  <c r="I330" i="2" s="1"/>
  <c r="I336" i="2"/>
  <c r="H347" i="2"/>
  <c r="I347" i="2" s="1"/>
  <c r="U19" i="71"/>
  <c r="H353" i="2"/>
  <c r="I353" i="2" s="1"/>
  <c r="H352" i="2"/>
  <c r="I352" i="2" s="1"/>
  <c r="U31" i="71"/>
  <c r="U13" i="71"/>
  <c r="I332" i="2"/>
  <c r="H335" i="2"/>
  <c r="I335" i="2" s="1"/>
  <c r="H354" i="2"/>
  <c r="I354" i="2" s="1"/>
  <c r="H345" i="2"/>
  <c r="I345" i="2" s="1"/>
  <c r="H351" i="2"/>
  <c r="I351" i="2" s="1"/>
  <c r="U24" i="71"/>
  <c r="H342" i="2"/>
  <c r="I342" i="2" s="1"/>
  <c r="T42" i="71"/>
  <c r="J45" i="71" s="1"/>
  <c r="H339" i="2"/>
  <c r="I339" i="2" s="1"/>
  <c r="H348" i="2"/>
  <c r="I348" i="2" s="1"/>
  <c r="H341" i="2"/>
  <c r="I341" i="2" s="1"/>
  <c r="U25" i="71"/>
  <c r="U14" i="71"/>
  <c r="U17" i="71"/>
  <c r="U12" i="71"/>
  <c r="I344" i="2"/>
  <c r="H331" i="2"/>
  <c r="I331" i="2" s="1"/>
  <c r="I333" i="2"/>
  <c r="I343" i="2"/>
  <c r="I355" i="2"/>
  <c r="I350" i="2"/>
  <c r="I338" i="2"/>
  <c r="E20" i="2"/>
  <c r="E19" i="2"/>
  <c r="M12" i="28"/>
  <c r="M10" i="28"/>
  <c r="M20" i="28" s="1"/>
  <c r="J24" i="28" s="1"/>
  <c r="I57" i="1" s="1"/>
  <c r="M11" i="28"/>
  <c r="J319" i="2"/>
  <c r="M13" i="28"/>
  <c r="L20" i="28"/>
  <c r="J23" i="28" s="1"/>
  <c r="M13" i="27"/>
  <c r="M11" i="27"/>
  <c r="M12" i="27"/>
  <c r="L14" i="25"/>
  <c r="J300" i="2"/>
  <c r="L9" i="24"/>
  <c r="I287" i="2"/>
  <c r="M12" i="22"/>
  <c r="M13" i="22"/>
  <c r="H285" i="2"/>
  <c r="I285" i="2" s="1"/>
  <c r="I281" i="2"/>
  <c r="I276" i="2"/>
  <c r="I272" i="2"/>
  <c r="I271" i="2"/>
  <c r="I269" i="2"/>
  <c r="I265" i="2"/>
  <c r="Q13" i="9"/>
  <c r="H257" i="2"/>
  <c r="I257" i="2" s="1"/>
  <c r="H241" i="2"/>
  <c r="I241" i="2" s="1"/>
  <c r="H211" i="2"/>
  <c r="H194" i="2"/>
  <c r="I194" i="2" s="1"/>
  <c r="I118" i="2"/>
  <c r="H113" i="2"/>
  <c r="I113" i="2" s="1"/>
  <c r="H91" i="2"/>
  <c r="I91" i="2" s="1"/>
  <c r="U14" i="49"/>
  <c r="AB10" i="50"/>
  <c r="W10" i="51"/>
  <c r="I77" i="2"/>
  <c r="E76" i="2"/>
  <c r="G76" i="2"/>
  <c r="I74" i="2"/>
  <c r="H69" i="2"/>
  <c r="I69" i="2" s="1"/>
  <c r="I65" i="2"/>
  <c r="I58" i="2"/>
  <c r="J55" i="2"/>
  <c r="I57" i="2"/>
  <c r="T13" i="55"/>
  <c r="T20" i="55" s="1"/>
  <c r="J24" i="55" s="1"/>
  <c r="I14" i="1" s="1"/>
  <c r="H54" i="2"/>
  <c r="I54" i="2" s="1"/>
  <c r="E56" i="2"/>
  <c r="S20" i="55"/>
  <c r="J23" i="55" s="1"/>
  <c r="I56" i="2"/>
  <c r="X12" i="57"/>
  <c r="W20" i="57"/>
  <c r="J23" i="57" s="1"/>
  <c r="R14" i="56"/>
  <c r="I45" i="2"/>
  <c r="Q20" i="56"/>
  <c r="J23" i="56" s="1"/>
  <c r="E44" i="2"/>
  <c r="H30" i="2"/>
  <c r="I30" i="2" s="1"/>
  <c r="I29" i="2"/>
  <c r="I32" i="2"/>
  <c r="I34" i="2"/>
  <c r="R11" i="58"/>
  <c r="Q20" i="58"/>
  <c r="J23" i="58" s="1"/>
  <c r="R12" i="58"/>
  <c r="I24" i="2"/>
  <c r="I26" i="2"/>
  <c r="I27" i="2"/>
  <c r="H16" i="2"/>
  <c r="I16" i="2" s="1"/>
  <c r="H18" i="2"/>
  <c r="I18" i="2" s="1"/>
  <c r="Q20" i="62"/>
  <c r="J23" i="62" s="1"/>
  <c r="I278" i="2"/>
  <c r="N11" i="21"/>
  <c r="N14" i="21"/>
  <c r="I275" i="2"/>
  <c r="I317" i="2"/>
  <c r="M10" i="27"/>
  <c r="M20" i="27" s="1"/>
  <c r="J24" i="27" s="1"/>
  <c r="I56" i="1" s="1"/>
  <c r="L20" i="27"/>
  <c r="J23" i="27" s="1"/>
  <c r="H310" i="2"/>
  <c r="I310" i="2" s="1"/>
  <c r="M10" i="26"/>
  <c r="M9" i="26"/>
  <c r="H299" i="2"/>
  <c r="I299" i="2" s="1"/>
  <c r="H298" i="2"/>
  <c r="I298" i="2" s="1"/>
  <c r="M12" i="26"/>
  <c r="L20" i="26"/>
  <c r="J23" i="26" s="1"/>
  <c r="M11" i="26"/>
  <c r="I306" i="2"/>
  <c r="I305" i="2"/>
  <c r="I304" i="2"/>
  <c r="K20" i="25"/>
  <c r="J23" i="25" s="1"/>
  <c r="H294" i="2"/>
  <c r="I294" i="2" s="1"/>
  <c r="K21" i="24"/>
  <c r="J24" i="24" s="1"/>
  <c r="L11" i="24"/>
  <c r="L11" i="23"/>
  <c r="L10" i="23"/>
  <c r="H286" i="2"/>
  <c r="I286" i="2" s="1"/>
  <c r="H280" i="2"/>
  <c r="I280" i="2" s="1"/>
  <c r="P20" i="9"/>
  <c r="J23" i="9" s="1"/>
  <c r="Q11" i="9"/>
  <c r="I260" i="2"/>
  <c r="I261" i="2"/>
  <c r="H259" i="2"/>
  <c r="I259" i="2" s="1"/>
  <c r="I258" i="2"/>
  <c r="L21" i="24"/>
  <c r="K20" i="23"/>
  <c r="J23" i="23" s="1"/>
  <c r="N12" i="21"/>
  <c r="L20" i="25"/>
  <c r="J24" i="25" s="1"/>
  <c r="I54" i="1" s="1"/>
  <c r="J299" i="2"/>
  <c r="G298" i="2"/>
  <c r="G299" i="2"/>
  <c r="I297" i="2"/>
  <c r="I293" i="2"/>
  <c r="M11" i="22"/>
  <c r="I282" i="2"/>
  <c r="M10" i="22"/>
  <c r="L20" i="22"/>
  <c r="J23" i="22" s="1"/>
  <c r="U20" i="5"/>
  <c r="J23" i="5" s="1"/>
  <c r="I266" i="2"/>
  <c r="Q13" i="14"/>
  <c r="Q12" i="14"/>
  <c r="H267" i="2"/>
  <c r="I267" i="2" s="1"/>
  <c r="I264" i="2"/>
  <c r="H255" i="2"/>
  <c r="I255" i="2" s="1"/>
  <c r="N10" i="21"/>
  <c r="P11" i="16"/>
  <c r="P13" i="16"/>
  <c r="P12" i="16"/>
  <c r="I270" i="2"/>
  <c r="P10" i="16"/>
  <c r="Q9" i="14"/>
  <c r="P9" i="16"/>
  <c r="O20" i="16"/>
  <c r="J23" i="16" s="1"/>
  <c r="P14" i="16"/>
  <c r="Q11" i="14"/>
  <c r="Q10" i="14"/>
  <c r="P20" i="14"/>
  <c r="J23" i="14" s="1"/>
  <c r="I263" i="2"/>
  <c r="H236" i="2"/>
  <c r="I236" i="2" s="1"/>
  <c r="I232" i="2"/>
  <c r="H237" i="2"/>
  <c r="I237" i="2" s="1"/>
  <c r="H235" i="2"/>
  <c r="I235" i="2" s="1"/>
  <c r="I234" i="2"/>
  <c r="H231" i="2"/>
  <c r="I231" i="2"/>
  <c r="I229" i="2"/>
  <c r="H230" i="2"/>
  <c r="I230" i="2" s="1"/>
  <c r="I228" i="2"/>
  <c r="Q12" i="18"/>
  <c r="U20" i="31"/>
  <c r="J23" i="31" s="1"/>
  <c r="H256" i="2"/>
  <c r="I256" i="2" s="1"/>
  <c r="Q12" i="13"/>
  <c r="P20" i="13"/>
  <c r="J23" i="13" s="1"/>
  <c r="Q11" i="13"/>
  <c r="I253" i="2"/>
  <c r="H254" i="2"/>
  <c r="I254" i="2" s="1"/>
  <c r="I252" i="2"/>
  <c r="Q10" i="13"/>
  <c r="I251" i="2"/>
  <c r="H250" i="2"/>
  <c r="I250" i="2" s="1"/>
  <c r="Q9" i="13"/>
  <c r="R10" i="72"/>
  <c r="R9" i="72"/>
  <c r="Q20" i="72"/>
  <c r="J23" i="72" s="1"/>
  <c r="I225" i="2"/>
  <c r="T13" i="10"/>
  <c r="T14" i="10"/>
  <c r="T12" i="10"/>
  <c r="I222" i="2"/>
  <c r="T11" i="10"/>
  <c r="I224" i="2"/>
  <c r="I223" i="2"/>
  <c r="G218" i="2"/>
  <c r="E219" i="2"/>
  <c r="H219" i="2"/>
  <c r="I219" i="2" s="1"/>
  <c r="I216" i="2"/>
  <c r="H218" i="2"/>
  <c r="I218" i="2" s="1"/>
  <c r="H217" i="2"/>
  <c r="I217" i="2" s="1"/>
  <c r="E218" i="2"/>
  <c r="J214" i="2"/>
  <c r="I212" i="2"/>
  <c r="H210" i="2"/>
  <c r="I210" i="2" s="1"/>
  <c r="E211" i="2"/>
  <c r="H213" i="2"/>
  <c r="I213" i="2" s="1"/>
  <c r="E206" i="2"/>
  <c r="H206" i="2"/>
  <c r="I206" i="2" s="1"/>
  <c r="H205" i="2"/>
  <c r="I205" i="2" s="1"/>
  <c r="V14" i="31"/>
  <c r="H198" i="2"/>
  <c r="I198" i="2" s="1"/>
  <c r="H200" i="2"/>
  <c r="I200" i="2" s="1"/>
  <c r="R14" i="32"/>
  <c r="R20" i="32" s="1"/>
  <c r="J24" i="32" s="1"/>
  <c r="I37" i="1" s="1"/>
  <c r="I201" i="2"/>
  <c r="R11" i="72"/>
  <c r="I233" i="2"/>
  <c r="R9" i="12"/>
  <c r="I238" i="2"/>
  <c r="Q19" i="12"/>
  <c r="J22" i="12" s="1"/>
  <c r="Q10" i="18"/>
  <c r="I227" i="2"/>
  <c r="H197" i="2"/>
  <c r="I197" i="2" s="1"/>
  <c r="Q11" i="18"/>
  <c r="H220" i="2"/>
  <c r="I220" i="2" s="1"/>
  <c r="V10" i="5"/>
  <c r="I208" i="2"/>
  <c r="H203" i="2"/>
  <c r="I203" i="2" s="1"/>
  <c r="I221" i="2"/>
  <c r="S20" i="10"/>
  <c r="J23" i="10" s="1"/>
  <c r="T10" i="10"/>
  <c r="H226" i="2"/>
  <c r="I226" i="2" s="1"/>
  <c r="P20" i="18"/>
  <c r="J23" i="18" s="1"/>
  <c r="V11" i="5"/>
  <c r="H214" i="2"/>
  <c r="I214" i="2" s="1"/>
  <c r="X20" i="17"/>
  <c r="J23" i="17" s="1"/>
  <c r="H195" i="2"/>
  <c r="I195" i="2" s="1"/>
  <c r="E195" i="2"/>
  <c r="H193" i="2"/>
  <c r="I193" i="2" s="1"/>
  <c r="J195" i="2"/>
  <c r="H187" i="2"/>
  <c r="I187" i="2" s="1"/>
  <c r="H186" i="2"/>
  <c r="I186" i="2" s="1"/>
  <c r="H188" i="2"/>
  <c r="I188" i="2" s="1"/>
  <c r="E187" i="2"/>
  <c r="H184" i="2"/>
  <c r="I184" i="2" s="1"/>
  <c r="V14" i="36"/>
  <c r="E182" i="2"/>
  <c r="H180" i="2"/>
  <c r="I180" i="2" s="1"/>
  <c r="H181" i="2"/>
  <c r="I181" i="2" s="1"/>
  <c r="R13" i="33"/>
  <c r="R14" i="33"/>
  <c r="I176" i="2"/>
  <c r="X13" i="34"/>
  <c r="X14" i="34"/>
  <c r="T14" i="37"/>
  <c r="T20" i="37" s="1"/>
  <c r="J24" i="37" s="1"/>
  <c r="I32" i="1" s="1"/>
  <c r="E171" i="2"/>
  <c r="H169" i="2"/>
  <c r="I169" i="2" s="1"/>
  <c r="G171" i="2"/>
  <c r="H164" i="2"/>
  <c r="I164" i="2" s="1"/>
  <c r="I209" i="2"/>
  <c r="V9" i="31"/>
  <c r="H192" i="2"/>
  <c r="I192" i="2" s="1"/>
  <c r="H166" i="2"/>
  <c r="I166" i="2" s="1"/>
  <c r="V11" i="31"/>
  <c r="H204" i="2"/>
  <c r="I204" i="2" s="1"/>
  <c r="I319" i="2"/>
  <c r="J331" i="2"/>
  <c r="E210" i="2"/>
  <c r="Q20" i="32"/>
  <c r="J23" i="32" s="1"/>
  <c r="H196" i="2"/>
  <c r="I196" i="2" s="1"/>
  <c r="H178" i="2"/>
  <c r="I178" i="2" s="1"/>
  <c r="J203" i="2"/>
  <c r="H191" i="2"/>
  <c r="I191" i="2" s="1"/>
  <c r="R20" i="35"/>
  <c r="J23" i="35" s="1"/>
  <c r="H190" i="2"/>
  <c r="I190" i="2" s="1"/>
  <c r="S9" i="35"/>
  <c r="S20" i="35" s="1"/>
  <c r="J24" i="35" s="1"/>
  <c r="I36" i="1" s="1"/>
  <c r="H167" i="2"/>
  <c r="I167" i="2" s="1"/>
  <c r="G175" i="2"/>
  <c r="H175" i="2"/>
  <c r="I175" i="2" s="1"/>
  <c r="E175" i="2"/>
  <c r="H174" i="2"/>
  <c r="I174" i="2" s="1"/>
  <c r="G166" i="2"/>
  <c r="H170" i="2"/>
  <c r="I170" i="2" s="1"/>
  <c r="J170" i="2"/>
  <c r="H168" i="2"/>
  <c r="I168" i="2" s="1"/>
  <c r="U12" i="38"/>
  <c r="I163" i="2"/>
  <c r="E163" i="2"/>
  <c r="E162" i="2"/>
  <c r="H162" i="2"/>
  <c r="I162" i="2" s="1"/>
  <c r="U14" i="38"/>
  <c r="G162" i="2"/>
  <c r="I165" i="2"/>
  <c r="V14" i="39"/>
  <c r="H142" i="2"/>
  <c r="I142" i="2" s="1"/>
  <c r="J142" i="2"/>
  <c r="H137" i="2"/>
  <c r="I137" i="2" s="1"/>
  <c r="H172" i="2"/>
  <c r="I172" i="2" s="1"/>
  <c r="V10" i="36"/>
  <c r="I185" i="2"/>
  <c r="U20" i="36"/>
  <c r="J23" i="36" s="1"/>
  <c r="G186" i="2"/>
  <c r="E186" i="2"/>
  <c r="H173" i="2"/>
  <c r="I173" i="2" s="1"/>
  <c r="E191" i="2"/>
  <c r="G190" i="2"/>
  <c r="E190" i="2"/>
  <c r="Q20" i="33"/>
  <c r="J23" i="33" s="1"/>
  <c r="W20" i="34"/>
  <c r="J23" i="34" s="1"/>
  <c r="U9" i="38"/>
  <c r="H154" i="2"/>
  <c r="I154" i="2" s="1"/>
  <c r="V13" i="39"/>
  <c r="E157" i="2"/>
  <c r="H157" i="2"/>
  <c r="I157" i="2" s="1"/>
  <c r="G156" i="2"/>
  <c r="E159" i="2"/>
  <c r="G158" i="2"/>
  <c r="G159" i="2"/>
  <c r="E153" i="2"/>
  <c r="H149" i="2"/>
  <c r="I149" i="2" s="1"/>
  <c r="J149" i="2"/>
  <c r="H151" i="2"/>
  <c r="I151" i="2" s="1"/>
  <c r="E152" i="2"/>
  <c r="G152" i="2"/>
  <c r="H150" i="2"/>
  <c r="I150" i="2" s="1"/>
  <c r="J150" i="2"/>
  <c r="H141" i="2"/>
  <c r="I141" i="2" s="1"/>
  <c r="J141" i="2"/>
  <c r="H136" i="2"/>
  <c r="I136" i="2" s="1"/>
  <c r="G140" i="2"/>
  <c r="I138" i="2"/>
  <c r="U13" i="42"/>
  <c r="U20" i="42" s="1"/>
  <c r="J24" i="42" s="1"/>
  <c r="I27" i="1" s="1"/>
  <c r="J134" i="2"/>
  <c r="J133" i="2"/>
  <c r="J129" i="2"/>
  <c r="T12" i="45"/>
  <c r="I116" i="2"/>
  <c r="U14" i="46"/>
  <c r="U20" i="46" s="1"/>
  <c r="J24" i="46" s="1"/>
  <c r="I23" i="1" s="1"/>
  <c r="H108" i="2"/>
  <c r="I108" i="2" s="1"/>
  <c r="H103" i="2"/>
  <c r="I103" i="2" s="1"/>
  <c r="E108" i="2"/>
  <c r="S20" i="37"/>
  <c r="J23" i="37" s="1"/>
  <c r="H135" i="2"/>
  <c r="I135" i="2" s="1"/>
  <c r="J179" i="2"/>
  <c r="G173" i="2"/>
  <c r="I161" i="2"/>
  <c r="T20" i="38"/>
  <c r="J23" i="38" s="1"/>
  <c r="U10" i="38"/>
  <c r="I160" i="2"/>
  <c r="H148" i="2"/>
  <c r="I148" i="2" s="1"/>
  <c r="V11" i="39"/>
  <c r="U20" i="39"/>
  <c r="J23" i="39" s="1"/>
  <c r="E167" i="2"/>
  <c r="G167" i="2"/>
  <c r="E166" i="2"/>
  <c r="R20" i="40"/>
  <c r="J23" i="40" s="1"/>
  <c r="S13" i="40"/>
  <c r="S20" i="40" s="1"/>
  <c r="J24" i="40" s="1"/>
  <c r="I29" i="1" s="1"/>
  <c r="I152" i="2"/>
  <c r="H145" i="2"/>
  <c r="I145" i="2" s="1"/>
  <c r="U10" i="41"/>
  <c r="U13" i="41"/>
  <c r="T20" i="41"/>
  <c r="J23" i="41" s="1"/>
  <c r="E156" i="2"/>
  <c r="G154" i="2"/>
  <c r="H128" i="2"/>
  <c r="I128" i="2" s="1"/>
  <c r="H125" i="2"/>
  <c r="I125" i="2" s="1"/>
  <c r="H127" i="2"/>
  <c r="I127" i="2" s="1"/>
  <c r="G126" i="2"/>
  <c r="E125" i="2"/>
  <c r="J126" i="2"/>
  <c r="H126" i="2"/>
  <c r="I126" i="2" s="1"/>
  <c r="G124" i="2"/>
  <c r="G128" i="2"/>
  <c r="J128" i="2"/>
  <c r="G121" i="2"/>
  <c r="G120" i="2"/>
  <c r="E120" i="2"/>
  <c r="J121" i="2"/>
  <c r="H115" i="2"/>
  <c r="I115" i="2" s="1"/>
  <c r="G111" i="2"/>
  <c r="I114" i="2"/>
  <c r="H109" i="2"/>
  <c r="I109" i="2" s="1"/>
  <c r="E109" i="2"/>
  <c r="G105" i="2"/>
  <c r="G109" i="2"/>
  <c r="G107" i="2"/>
  <c r="H105" i="2"/>
  <c r="I105" i="2" s="1"/>
  <c r="E105" i="2"/>
  <c r="H107" i="2"/>
  <c r="I107" i="2" s="1"/>
  <c r="H106" i="2"/>
  <c r="I106" i="2" s="1"/>
  <c r="E104" i="2"/>
  <c r="G103" i="2"/>
  <c r="I97" i="2"/>
  <c r="I94" i="2"/>
  <c r="I92" i="2"/>
  <c r="I90" i="2"/>
  <c r="I93" i="2"/>
  <c r="H112" i="2"/>
  <c r="I112" i="2" s="1"/>
  <c r="E149" i="2"/>
  <c r="E148" i="2"/>
  <c r="I143" i="2"/>
  <c r="E144" i="2"/>
  <c r="G142" i="2"/>
  <c r="T20" i="42"/>
  <c r="J23" i="42" s="1"/>
  <c r="H124" i="2"/>
  <c r="I124" i="2" s="1"/>
  <c r="H123" i="2"/>
  <c r="I123" i="2" s="1"/>
  <c r="H110" i="2"/>
  <c r="I110" i="2" s="1"/>
  <c r="H84" i="2"/>
  <c r="I84" i="2" s="1"/>
  <c r="H50" i="2"/>
  <c r="I50" i="2" s="1"/>
  <c r="U14" i="53"/>
  <c r="I68" i="2"/>
  <c r="I70" i="2"/>
  <c r="I66" i="2"/>
  <c r="U13" i="53"/>
  <c r="P20" i="44"/>
  <c r="J23" i="44" s="1"/>
  <c r="H122" i="2"/>
  <c r="I122" i="2" s="1"/>
  <c r="H121" i="2"/>
  <c r="I121" i="2" s="1"/>
  <c r="H111" i="2"/>
  <c r="I111" i="2" s="1"/>
  <c r="H67" i="2"/>
  <c r="I67" i="2" s="1"/>
  <c r="T15" i="45"/>
  <c r="H120" i="2"/>
  <c r="I120" i="2" s="1"/>
  <c r="T13" i="45"/>
  <c r="S20" i="45"/>
  <c r="J23" i="45" s="1"/>
  <c r="H117" i="2"/>
  <c r="I117" i="2" s="1"/>
  <c r="T11" i="45"/>
  <c r="U9" i="53"/>
  <c r="G130" i="2"/>
  <c r="J130" i="2"/>
  <c r="E129" i="2"/>
  <c r="H75" i="2"/>
  <c r="I75" i="2" s="1"/>
  <c r="R11" i="52"/>
  <c r="Q20" i="52"/>
  <c r="J23" i="52" s="1"/>
  <c r="E95" i="2"/>
  <c r="U11" i="49"/>
  <c r="E97" i="2"/>
  <c r="I86" i="2"/>
  <c r="G90" i="2"/>
  <c r="I85" i="2"/>
  <c r="I79" i="2"/>
  <c r="I78" i="2"/>
  <c r="H80" i="2"/>
  <c r="I80" i="2" s="1"/>
  <c r="I81" i="2"/>
  <c r="H72" i="2"/>
  <c r="I72" i="2" s="1"/>
  <c r="R9" i="52"/>
  <c r="G78" i="2"/>
  <c r="I73" i="2"/>
  <c r="E75" i="2"/>
  <c r="U14" i="54"/>
  <c r="U20" i="54" s="1"/>
  <c r="J24" i="54" s="1"/>
  <c r="I15" i="1" s="1"/>
  <c r="E61" i="2"/>
  <c r="I53" i="2"/>
  <c r="X9" i="57"/>
  <c r="G23" i="2"/>
  <c r="I25" i="2"/>
  <c r="G27" i="2"/>
  <c r="G24" i="2"/>
  <c r="G28" i="2"/>
  <c r="T20" i="46"/>
  <c r="J23" i="46" s="1"/>
  <c r="H104" i="2"/>
  <c r="I104" i="2" s="1"/>
  <c r="U20" i="47"/>
  <c r="J24" i="47" s="1"/>
  <c r="I22" i="1" s="1"/>
  <c r="T20" i="47"/>
  <c r="J23" i="47" s="1"/>
  <c r="T20" i="49"/>
  <c r="J23" i="49" s="1"/>
  <c r="AA20" i="50"/>
  <c r="J23" i="50" s="1"/>
  <c r="W12" i="51"/>
  <c r="V20" i="51"/>
  <c r="J23" i="51" s="1"/>
  <c r="W9" i="51"/>
  <c r="H44" i="2"/>
  <c r="I44" i="2" s="1"/>
  <c r="T20" i="53"/>
  <c r="J23" i="53" s="1"/>
  <c r="T20" i="54"/>
  <c r="J23" i="54" s="1"/>
  <c r="X11" i="57"/>
  <c r="R11" i="56"/>
  <c r="Q20" i="44"/>
  <c r="J24" i="44" s="1"/>
  <c r="I25" i="1" s="1"/>
  <c r="N23" i="74"/>
  <c r="H23" i="2"/>
  <c r="I23" i="2" s="1"/>
  <c r="G199" i="2"/>
  <c r="E199" i="2"/>
  <c r="J199" i="2"/>
  <c r="J84" i="2"/>
  <c r="G84" i="2"/>
  <c r="E84" i="2"/>
  <c r="J117" i="2"/>
  <c r="G117" i="2"/>
  <c r="E117" i="2"/>
  <c r="G137" i="2"/>
  <c r="J137" i="2"/>
  <c r="E137" i="2"/>
  <c r="G178" i="2"/>
  <c r="E178" i="2"/>
  <c r="G83" i="2"/>
  <c r="E83" i="2"/>
  <c r="G116" i="2"/>
  <c r="E116" i="2"/>
  <c r="G49" i="2"/>
  <c r="E49" i="2"/>
  <c r="E138" i="2"/>
  <c r="J138" i="2"/>
  <c r="G138" i="2"/>
  <c r="G202" i="2"/>
  <c r="E202" i="2"/>
  <c r="J202" i="2"/>
  <c r="J48" i="2"/>
  <c r="G48" i="2"/>
  <c r="E48" i="2"/>
  <c r="G132" i="2"/>
  <c r="E132" i="2"/>
  <c r="J86" i="2"/>
  <c r="G86" i="2"/>
  <c r="J194" i="2"/>
  <c r="I346" i="2"/>
  <c r="E16" i="2"/>
  <c r="E17" i="2"/>
  <c r="G19" i="2"/>
  <c r="J23" i="2"/>
  <c r="J25" i="2"/>
  <c r="E39" i="2"/>
  <c r="G44" i="2"/>
  <c r="E51" i="2"/>
  <c r="G55" i="2"/>
  <c r="E71" i="2"/>
  <c r="I76" i="2"/>
  <c r="E91" i="2"/>
  <c r="E92" i="2"/>
  <c r="G99" i="2"/>
  <c r="G101" i="2"/>
  <c r="E140" i="2"/>
  <c r="I144" i="2"/>
  <c r="E145" i="2"/>
  <c r="I146" i="2"/>
  <c r="G148" i="2"/>
  <c r="G150" i="2"/>
  <c r="I153" i="2"/>
  <c r="J157" i="2"/>
  <c r="J158" i="2"/>
  <c r="G163" i="2"/>
  <c r="I182" i="2"/>
  <c r="E183" i="2"/>
  <c r="G187" i="2"/>
  <c r="I189" i="2"/>
  <c r="E207" i="2"/>
  <c r="G210" i="2"/>
  <c r="E215" i="2"/>
  <c r="I356" i="2"/>
  <c r="J174" i="2"/>
  <c r="G20" i="2"/>
  <c r="I35" i="2"/>
  <c r="E36" i="2"/>
  <c r="E37" i="2"/>
  <c r="I39" i="2"/>
  <c r="E40" i="2"/>
  <c r="E41" i="2"/>
  <c r="I51" i="2"/>
  <c r="E52" i="2"/>
  <c r="G56" i="2"/>
  <c r="J57" i="2"/>
  <c r="E68" i="2"/>
  <c r="E69" i="2"/>
  <c r="I71" i="2"/>
  <c r="E72" i="2"/>
  <c r="E73" i="2"/>
  <c r="E87" i="2"/>
  <c r="E88" i="2"/>
  <c r="G94" i="2"/>
  <c r="G97" i="2"/>
  <c r="I99" i="2"/>
  <c r="I101" i="2"/>
  <c r="G122" i="2"/>
  <c r="J124" i="2"/>
  <c r="E136" i="2"/>
  <c r="I140" i="2"/>
  <c r="E141" i="2"/>
  <c r="G144" i="2"/>
  <c r="G146" i="2"/>
  <c r="I147" i="2"/>
  <c r="J153" i="2"/>
  <c r="J154" i="2"/>
  <c r="G182" i="2"/>
  <c r="I183" i="2"/>
  <c r="J191" i="2"/>
  <c r="E198" i="2"/>
  <c r="G206" i="2"/>
  <c r="I207" i="2"/>
  <c r="G211" i="2"/>
  <c r="G214" i="2"/>
  <c r="I215" i="2"/>
  <c r="J219" i="2"/>
  <c r="J318" i="2"/>
  <c r="J322" i="2"/>
  <c r="J326" i="2"/>
  <c r="I22" i="2"/>
  <c r="G16" i="2"/>
  <c r="G35" i="2"/>
  <c r="G39" i="2"/>
  <c r="G51" i="2"/>
  <c r="G67" i="2"/>
  <c r="G71" i="2"/>
  <c r="G92" i="2"/>
  <c r="G36" i="2"/>
  <c r="G40" i="2"/>
  <c r="G52" i="2"/>
  <c r="E63" i="2"/>
  <c r="E64" i="2"/>
  <c r="G68" i="2"/>
  <c r="G72" i="2"/>
  <c r="E79" i="2"/>
  <c r="E80" i="2"/>
  <c r="G88" i="2"/>
  <c r="E112" i="2"/>
  <c r="E113" i="2"/>
  <c r="I119" i="2"/>
  <c r="J122" i="2"/>
  <c r="E133" i="2"/>
  <c r="G136" i="2"/>
  <c r="I139" i="2"/>
  <c r="J145" i="2"/>
  <c r="J146" i="2"/>
  <c r="E170" i="2"/>
  <c r="E174" i="2"/>
  <c r="E179" i="2"/>
  <c r="J183" i="2"/>
  <c r="E194" i="2"/>
  <c r="G198" i="2"/>
  <c r="I202" i="2"/>
  <c r="E203" i="2"/>
  <c r="J207" i="2"/>
  <c r="J215" i="2"/>
  <c r="J321" i="2"/>
  <c r="J325" i="2"/>
  <c r="J35" i="2"/>
  <c r="J67" i="2"/>
  <c r="G82" i="2"/>
  <c r="G115" i="2"/>
  <c r="G134" i="2"/>
  <c r="G32" i="2"/>
  <c r="G64" i="2"/>
  <c r="G80" i="2"/>
  <c r="G113" i="2"/>
  <c r="I156" i="2"/>
  <c r="I158" i="2"/>
  <c r="I177" i="2"/>
  <c r="G143" i="2"/>
  <c r="E143" i="2"/>
  <c r="J143" i="2"/>
  <c r="G147" i="2"/>
  <c r="E147" i="2"/>
  <c r="J147" i="2"/>
  <c r="G155" i="2"/>
  <c r="E155" i="2"/>
  <c r="J155" i="2"/>
  <c r="E6" i="2"/>
  <c r="J15" i="2"/>
  <c r="E21" i="2"/>
  <c r="J37" i="2"/>
  <c r="E43" i="2"/>
  <c r="J47" i="2"/>
  <c r="E53" i="2"/>
  <c r="J69" i="2"/>
  <c r="G168" i="2"/>
  <c r="E168" i="2"/>
  <c r="J168" i="2"/>
  <c r="G253" i="2"/>
  <c r="E253" i="2"/>
  <c r="J253" i="2"/>
  <c r="G301" i="2"/>
  <c r="E301" i="2"/>
  <c r="J301" i="2"/>
  <c r="J17" i="2"/>
  <c r="G31" i="2"/>
  <c r="J38" i="2"/>
  <c r="E38" i="2"/>
  <c r="J49" i="2"/>
  <c r="J59" i="2"/>
  <c r="G63" i="2"/>
  <c r="E65" i="2"/>
  <c r="J70" i="2"/>
  <c r="E70" i="2"/>
  <c r="G131" i="2"/>
  <c r="E131" i="2"/>
  <c r="J131" i="2"/>
  <c r="G135" i="2"/>
  <c r="E135" i="2"/>
  <c r="J135" i="2"/>
  <c r="G250" i="2"/>
  <c r="E250" i="2"/>
  <c r="J250" i="2"/>
  <c r="J26" i="2"/>
  <c r="J58" i="2"/>
  <c r="E58" i="2"/>
  <c r="G127" i="2"/>
  <c r="E127" i="2"/>
  <c r="J127" i="2"/>
  <c r="G204" i="2"/>
  <c r="E204" i="2"/>
  <c r="J204" i="2"/>
  <c r="G234" i="2"/>
  <c r="E234" i="2"/>
  <c r="J234" i="2"/>
  <c r="G269" i="2"/>
  <c r="E269" i="2"/>
  <c r="J269" i="2"/>
  <c r="G285" i="2"/>
  <c r="E285" i="2"/>
  <c r="J285" i="2"/>
  <c r="G317" i="2"/>
  <c r="E317" i="2"/>
  <c r="J317" i="2"/>
  <c r="G11" i="2"/>
  <c r="J18" i="2"/>
  <c r="E18" i="2"/>
  <c r="J29" i="2"/>
  <c r="G43" i="2"/>
  <c r="E45" i="2"/>
  <c r="J50" i="2"/>
  <c r="E50" i="2"/>
  <c r="J61" i="2"/>
  <c r="G123" i="2"/>
  <c r="E123" i="2"/>
  <c r="J123" i="2"/>
  <c r="E185" i="2"/>
  <c r="J185" i="2"/>
  <c r="G185" i="2"/>
  <c r="G230" i="2"/>
  <c r="E230" i="2"/>
  <c r="J230" i="2"/>
  <c r="G246" i="2"/>
  <c r="E246" i="2"/>
  <c r="J246" i="2"/>
  <c r="J73" i="2"/>
  <c r="J75" i="2"/>
  <c r="J79" i="2"/>
  <c r="J83" i="2"/>
  <c r="J87" i="2"/>
  <c r="J91" i="2"/>
  <c r="J95" i="2"/>
  <c r="J100" i="2"/>
  <c r="J104" i="2"/>
  <c r="J108" i="2"/>
  <c r="J112" i="2"/>
  <c r="J116" i="2"/>
  <c r="G184" i="2"/>
  <c r="E184" i="2"/>
  <c r="J14" i="2"/>
  <c r="G151" i="2"/>
  <c r="E151" i="2"/>
  <c r="J151" i="2"/>
  <c r="J41" i="2"/>
  <c r="J62" i="2"/>
  <c r="E62" i="2"/>
  <c r="J74" i="2"/>
  <c r="E74" i="2"/>
  <c r="J81" i="2"/>
  <c r="G81" i="2"/>
  <c r="J85" i="2"/>
  <c r="G85" i="2"/>
  <c r="E181" i="2"/>
  <c r="J181" i="2"/>
  <c r="G181" i="2"/>
  <c r="E209" i="2"/>
  <c r="J209" i="2"/>
  <c r="G209" i="2"/>
  <c r="G226" i="2"/>
  <c r="E226" i="2"/>
  <c r="J226" i="2"/>
  <c r="G242" i="2"/>
  <c r="E242" i="2"/>
  <c r="J242" i="2"/>
  <c r="J46" i="2"/>
  <c r="E46" i="2"/>
  <c r="G139" i="2"/>
  <c r="E139" i="2"/>
  <c r="J139" i="2"/>
  <c r="J9" i="2"/>
  <c r="J30" i="2"/>
  <c r="E47" i="2"/>
  <c r="E57" i="2"/>
  <c r="J10" i="2"/>
  <c r="G14" i="2"/>
  <c r="J21" i="2"/>
  <c r="J42" i="2"/>
  <c r="E42" i="2"/>
  <c r="G46" i="2"/>
  <c r="J53" i="2"/>
  <c r="J77" i="2"/>
  <c r="G77" i="2"/>
  <c r="J89" i="2"/>
  <c r="G89" i="2"/>
  <c r="J93" i="2"/>
  <c r="G93" i="2"/>
  <c r="J98" i="2"/>
  <c r="G98" i="2"/>
  <c r="J102" i="2"/>
  <c r="G102" i="2"/>
  <c r="J106" i="2"/>
  <c r="G106" i="2"/>
  <c r="J110" i="2"/>
  <c r="G110" i="2"/>
  <c r="J114" i="2"/>
  <c r="G114" i="2"/>
  <c r="J118" i="2"/>
  <c r="G118" i="2"/>
  <c r="J22" i="2"/>
  <c r="E22" i="2"/>
  <c r="G26" i="2"/>
  <c r="J33" i="2"/>
  <c r="J54" i="2"/>
  <c r="E54" i="2"/>
  <c r="G58" i="2"/>
  <c r="J65" i="2"/>
  <c r="G208" i="2"/>
  <c r="E208" i="2"/>
  <c r="J13" i="2"/>
  <c r="J34" i="2"/>
  <c r="J45" i="2"/>
  <c r="J66" i="2"/>
  <c r="E66" i="2"/>
  <c r="E169" i="2"/>
  <c r="G169" i="2"/>
  <c r="G180" i="2"/>
  <c r="E180" i="2"/>
  <c r="J180" i="2"/>
  <c r="E205" i="2"/>
  <c r="J205" i="2"/>
  <c r="G205" i="2"/>
  <c r="G222" i="2"/>
  <c r="E222" i="2"/>
  <c r="J222" i="2"/>
  <c r="G238" i="2"/>
  <c r="E238" i="2"/>
  <c r="J238" i="2"/>
  <c r="E78" i="2"/>
  <c r="E82" i="2"/>
  <c r="E86" i="2"/>
  <c r="E90" i="2"/>
  <c r="E94" i="2"/>
  <c r="E99" i="2"/>
  <c r="E103" i="2"/>
  <c r="E107" i="2"/>
  <c r="E111" i="2"/>
  <c r="E115" i="2"/>
  <c r="G160" i="2"/>
  <c r="E160" i="2"/>
  <c r="J161" i="2"/>
  <c r="G165" i="2"/>
  <c r="G119" i="2"/>
  <c r="G125" i="2"/>
  <c r="G172" i="2"/>
  <c r="E172" i="2"/>
  <c r="J173" i="2"/>
  <c r="G177" i="2"/>
  <c r="G188" i="2"/>
  <c r="E188" i="2"/>
  <c r="E189" i="2"/>
  <c r="J189" i="2"/>
  <c r="I199" i="2"/>
  <c r="G212" i="2"/>
  <c r="E212" i="2"/>
  <c r="E213" i="2"/>
  <c r="J213" i="2"/>
  <c r="G221" i="2"/>
  <c r="E221" i="2"/>
  <c r="G225" i="2"/>
  <c r="E225" i="2"/>
  <c r="G229" i="2"/>
  <c r="E229" i="2"/>
  <c r="G233" i="2"/>
  <c r="E233" i="2"/>
  <c r="G237" i="2"/>
  <c r="E237" i="2"/>
  <c r="G241" i="2"/>
  <c r="E241" i="2"/>
  <c r="G245" i="2"/>
  <c r="E245" i="2"/>
  <c r="G249" i="2"/>
  <c r="J249" i="2"/>
  <c r="E249" i="2"/>
  <c r="G265" i="2"/>
  <c r="E265" i="2"/>
  <c r="J265" i="2"/>
  <c r="G281" i="2"/>
  <c r="E281" i="2"/>
  <c r="J281" i="2"/>
  <c r="G297" i="2"/>
  <c r="E297" i="2"/>
  <c r="J297" i="2"/>
  <c r="G313" i="2"/>
  <c r="E313" i="2"/>
  <c r="J313" i="2"/>
  <c r="G192" i="2"/>
  <c r="E192" i="2"/>
  <c r="E193" i="2"/>
  <c r="J193" i="2"/>
  <c r="G216" i="2"/>
  <c r="E216" i="2"/>
  <c r="E217" i="2"/>
  <c r="J217" i="2"/>
  <c r="G258" i="2"/>
  <c r="E258" i="2"/>
  <c r="J258" i="2"/>
  <c r="G164" i="2"/>
  <c r="E164" i="2"/>
  <c r="J165" i="2"/>
  <c r="I179" i="2"/>
  <c r="G196" i="2"/>
  <c r="E196" i="2"/>
  <c r="E197" i="2"/>
  <c r="J197" i="2"/>
  <c r="G220" i="2"/>
  <c r="E220" i="2"/>
  <c r="G224" i="2"/>
  <c r="E224" i="2"/>
  <c r="G228" i="2"/>
  <c r="E228" i="2"/>
  <c r="G232" i="2"/>
  <c r="E232" i="2"/>
  <c r="G236" i="2"/>
  <c r="E236" i="2"/>
  <c r="G240" i="2"/>
  <c r="E240" i="2"/>
  <c r="G244" i="2"/>
  <c r="E244" i="2"/>
  <c r="G248" i="2"/>
  <c r="E248" i="2"/>
  <c r="G261" i="2"/>
  <c r="E261" i="2"/>
  <c r="J261" i="2"/>
  <c r="G277" i="2"/>
  <c r="E277" i="2"/>
  <c r="J277" i="2"/>
  <c r="G293" i="2"/>
  <c r="E293" i="2"/>
  <c r="J293" i="2"/>
  <c r="G309" i="2"/>
  <c r="E309" i="2"/>
  <c r="J309" i="2"/>
  <c r="I159" i="2"/>
  <c r="G176" i="2"/>
  <c r="E176" i="2"/>
  <c r="J177" i="2"/>
  <c r="G254" i="2"/>
  <c r="E254" i="2"/>
  <c r="J254" i="2"/>
  <c r="J119" i="2"/>
  <c r="G161" i="2"/>
  <c r="I171" i="2"/>
  <c r="G200" i="2"/>
  <c r="E200" i="2"/>
  <c r="E201" i="2"/>
  <c r="J201" i="2"/>
  <c r="I211" i="2"/>
  <c r="G223" i="2"/>
  <c r="E223" i="2"/>
  <c r="G227" i="2"/>
  <c r="E227" i="2"/>
  <c r="G231" i="2"/>
  <c r="E231" i="2"/>
  <c r="G235" i="2"/>
  <c r="E235" i="2"/>
  <c r="G239" i="2"/>
  <c r="E239" i="2"/>
  <c r="G243" i="2"/>
  <c r="E243" i="2"/>
  <c r="G247" i="2"/>
  <c r="E247" i="2"/>
  <c r="G257" i="2"/>
  <c r="E257" i="2"/>
  <c r="J257" i="2"/>
  <c r="G273" i="2"/>
  <c r="E273" i="2"/>
  <c r="J273" i="2"/>
  <c r="G289" i="2"/>
  <c r="E289" i="2"/>
  <c r="J289" i="2"/>
  <c r="G305" i="2"/>
  <c r="E305" i="2"/>
  <c r="J305" i="2"/>
  <c r="G252" i="2"/>
  <c r="E252" i="2"/>
  <c r="G256" i="2"/>
  <c r="E256" i="2"/>
  <c r="G260" i="2"/>
  <c r="E260" i="2"/>
  <c r="G264" i="2"/>
  <c r="E264" i="2"/>
  <c r="G268" i="2"/>
  <c r="E268" i="2"/>
  <c r="G272" i="2"/>
  <c r="E272" i="2"/>
  <c r="G276" i="2"/>
  <c r="E276" i="2"/>
  <c r="G280" i="2"/>
  <c r="E280" i="2"/>
  <c r="G284" i="2"/>
  <c r="E284" i="2"/>
  <c r="G288" i="2"/>
  <c r="E288" i="2"/>
  <c r="G292" i="2"/>
  <c r="E292" i="2"/>
  <c r="G296" i="2"/>
  <c r="E296" i="2"/>
  <c r="G304" i="2"/>
  <c r="E304" i="2"/>
  <c r="G308" i="2"/>
  <c r="E308" i="2"/>
  <c r="G312" i="2"/>
  <c r="E312" i="2"/>
  <c r="G316" i="2"/>
  <c r="E316" i="2"/>
  <c r="G251" i="2"/>
  <c r="E251" i="2"/>
  <c r="G255" i="2"/>
  <c r="E255" i="2"/>
  <c r="G259" i="2"/>
  <c r="E259" i="2"/>
  <c r="G263" i="2"/>
  <c r="E263" i="2"/>
  <c r="G267" i="2"/>
  <c r="E267" i="2"/>
  <c r="G271" i="2"/>
  <c r="E271" i="2"/>
  <c r="G275" i="2"/>
  <c r="E275" i="2"/>
  <c r="G279" i="2"/>
  <c r="E279" i="2"/>
  <c r="G283" i="2"/>
  <c r="E283" i="2"/>
  <c r="G287" i="2"/>
  <c r="E287" i="2"/>
  <c r="G291" i="2"/>
  <c r="E291" i="2"/>
  <c r="G295" i="2"/>
  <c r="E295" i="2"/>
  <c r="G303" i="2"/>
  <c r="E303" i="2"/>
  <c r="G307" i="2"/>
  <c r="E307" i="2"/>
  <c r="G311" i="2"/>
  <c r="E311" i="2"/>
  <c r="G315" i="2"/>
  <c r="E315" i="2"/>
  <c r="G355" i="2"/>
  <c r="I334" i="2"/>
  <c r="J339" i="2"/>
  <c r="G262" i="2"/>
  <c r="E262" i="2"/>
  <c r="G266" i="2"/>
  <c r="E266" i="2"/>
  <c r="G270" i="2"/>
  <c r="E270" i="2"/>
  <c r="G274" i="2"/>
  <c r="E274" i="2"/>
  <c r="G278" i="2"/>
  <c r="E278" i="2"/>
  <c r="G282" i="2"/>
  <c r="E282" i="2"/>
  <c r="G286" i="2"/>
  <c r="E286" i="2"/>
  <c r="G290" i="2"/>
  <c r="E290" i="2"/>
  <c r="G294" i="2"/>
  <c r="E294" i="2"/>
  <c r="G302" i="2"/>
  <c r="E302" i="2"/>
  <c r="G306" i="2"/>
  <c r="E306" i="2"/>
  <c r="G310" i="2"/>
  <c r="E310" i="2"/>
  <c r="G314" i="2"/>
  <c r="E314" i="2"/>
  <c r="E318" i="2"/>
  <c r="E319" i="2"/>
  <c r="E320" i="2"/>
  <c r="E321" i="2"/>
  <c r="E322" i="2"/>
  <c r="E323" i="2"/>
  <c r="E324" i="2"/>
  <c r="E325" i="2"/>
  <c r="E326" i="2"/>
  <c r="E327" i="2"/>
  <c r="G334" i="2"/>
  <c r="G342" i="2"/>
  <c r="G350" i="2"/>
  <c r="J335" i="2"/>
  <c r="G330" i="2"/>
  <c r="G346" i="2"/>
  <c r="G354" i="2"/>
  <c r="F84" i="1"/>
  <c r="E5" i="2" s="1"/>
  <c r="E346" i="2"/>
  <c r="J346" i="2"/>
  <c r="J347" i="2"/>
  <c r="E347" i="2"/>
  <c r="E330" i="2"/>
  <c r="J330" i="2"/>
  <c r="E331" i="2"/>
  <c r="E342" i="2"/>
  <c r="J342" i="2"/>
  <c r="E354" i="2"/>
  <c r="G338" i="2"/>
  <c r="J338" i="2"/>
  <c r="E338" i="2"/>
  <c r="J343" i="2"/>
  <c r="E343" i="2"/>
  <c r="J351" i="2"/>
  <c r="E351" i="2"/>
  <c r="G356" i="2"/>
  <c r="E356" i="2"/>
  <c r="E339" i="2"/>
  <c r="J354" i="2"/>
  <c r="E355" i="2"/>
  <c r="J355" i="2"/>
  <c r="E334" i="2"/>
  <c r="J334" i="2"/>
  <c r="E335" i="2"/>
  <c r="E350" i="2"/>
  <c r="J350" i="2"/>
  <c r="E328" i="2"/>
  <c r="G328" i="2"/>
  <c r="J328" i="2"/>
  <c r="G341" i="2"/>
  <c r="J341" i="2"/>
  <c r="E341" i="2"/>
  <c r="E344" i="2"/>
  <c r="G344" i="2"/>
  <c r="J344" i="2"/>
  <c r="G329" i="2"/>
  <c r="J329" i="2"/>
  <c r="E329" i="2"/>
  <c r="E332" i="2"/>
  <c r="G332" i="2"/>
  <c r="J332" i="2"/>
  <c r="G345" i="2"/>
  <c r="J345" i="2"/>
  <c r="E345" i="2"/>
  <c r="E348" i="2"/>
  <c r="G348" i="2"/>
  <c r="J348" i="2"/>
  <c r="G333" i="2"/>
  <c r="J333" i="2"/>
  <c r="E333" i="2"/>
  <c r="E336" i="2"/>
  <c r="G336" i="2"/>
  <c r="J336" i="2"/>
  <c r="G349" i="2"/>
  <c r="J349" i="2"/>
  <c r="E349" i="2"/>
  <c r="E352" i="2"/>
  <c r="G352" i="2"/>
  <c r="J352" i="2"/>
  <c r="G337" i="2"/>
  <c r="J337" i="2"/>
  <c r="E337" i="2"/>
  <c r="E340" i="2"/>
  <c r="G340" i="2"/>
  <c r="J340" i="2"/>
  <c r="G353" i="2"/>
  <c r="J353" i="2"/>
  <c r="E353" i="2"/>
  <c r="G331" i="2"/>
  <c r="G335" i="2"/>
  <c r="G339" i="2"/>
  <c r="G343" i="2"/>
  <c r="G347" i="2"/>
  <c r="G351" i="2"/>
  <c r="J356" i="2"/>
  <c r="R19" i="19" l="1"/>
  <c r="J23" i="19" s="1"/>
  <c r="I45" i="1" s="1"/>
  <c r="R19" i="12"/>
  <c r="J23" i="12" s="1"/>
  <c r="I44" i="1" s="1"/>
  <c r="V20" i="36"/>
  <c r="J24" i="36" s="1"/>
  <c r="I35" i="1" s="1"/>
  <c r="R20" i="33"/>
  <c r="J24" i="33" s="1"/>
  <c r="I34" i="1" s="1"/>
  <c r="AB20" i="50"/>
  <c r="J24" i="50" s="1"/>
  <c r="I19" i="1" s="1"/>
  <c r="AB20" i="59"/>
  <c r="J24" i="59" s="1"/>
  <c r="I10" i="1" s="1"/>
  <c r="X21" i="60"/>
  <c r="J25" i="60" s="1"/>
  <c r="I9" i="1" s="1"/>
  <c r="U42" i="71"/>
  <c r="J46" i="71" s="1"/>
  <c r="I6" i="1" s="1"/>
  <c r="Q20" i="9"/>
  <c r="J24" i="9" s="1"/>
  <c r="I47" i="1" s="1"/>
  <c r="R20" i="56"/>
  <c r="J24" i="56" s="1"/>
  <c r="I12" i="1" s="1"/>
  <c r="R20" i="58"/>
  <c r="J24" i="58" s="1"/>
  <c r="I11" i="1" s="1"/>
  <c r="M20" i="26"/>
  <c r="J24" i="26" s="1"/>
  <c r="I55" i="1" s="1"/>
  <c r="L20" i="23"/>
  <c r="J24" i="23" s="1"/>
  <c r="I52" i="1" s="1"/>
  <c r="M20" i="22"/>
  <c r="J24" i="22" s="1"/>
  <c r="I51" i="1" s="1"/>
  <c r="J25" i="24"/>
  <c r="I53" i="1" s="1"/>
  <c r="P20" i="16"/>
  <c r="J24" i="16" s="1"/>
  <c r="I49" i="1" s="1"/>
  <c r="Q20" i="14"/>
  <c r="J24" i="14" s="1"/>
  <c r="I48" i="1" s="1"/>
  <c r="Q20" i="18"/>
  <c r="J24" i="18" s="1"/>
  <c r="I42" i="1" s="1"/>
  <c r="Q20" i="13"/>
  <c r="J24" i="13" s="1"/>
  <c r="I46" i="1" s="1"/>
  <c r="X20" i="34"/>
  <c r="J24" i="34" s="1"/>
  <c r="I33" i="1" s="1"/>
  <c r="R20" i="72"/>
  <c r="J24" i="72" s="1"/>
  <c r="I43" i="1" s="1"/>
  <c r="T20" i="10"/>
  <c r="J24" i="10" s="1"/>
  <c r="I41" i="1" s="1"/>
  <c r="Y20" i="17"/>
  <c r="J24" i="17" s="1"/>
  <c r="I39" i="1" s="1"/>
  <c r="V20" i="31"/>
  <c r="J24" i="31" s="1"/>
  <c r="I38" i="1" s="1"/>
  <c r="V20" i="5"/>
  <c r="J24" i="5" s="1"/>
  <c r="I40" i="1" s="1"/>
  <c r="U20" i="38"/>
  <c r="J24" i="38" s="1"/>
  <c r="I31" i="1" s="1"/>
  <c r="V20" i="39"/>
  <c r="J24" i="39" s="1"/>
  <c r="I30" i="1" s="1"/>
  <c r="U20" i="41"/>
  <c r="J24" i="41" s="1"/>
  <c r="I28" i="1" s="1"/>
  <c r="U20" i="49"/>
  <c r="J24" i="49" s="1"/>
  <c r="I20" i="1" s="1"/>
  <c r="U20" i="53"/>
  <c r="J24" i="53" s="1"/>
  <c r="I16" i="1" s="1"/>
  <c r="R20" i="52"/>
  <c r="J24" i="52" s="1"/>
  <c r="I17" i="1" s="1"/>
  <c r="O25" i="2"/>
  <c r="E24" i="1" s="1"/>
  <c r="T20" i="45"/>
  <c r="J24" i="45" s="1"/>
  <c r="I24" i="1" s="1"/>
  <c r="X20" i="57"/>
  <c r="J24" i="57" s="1"/>
  <c r="I13" i="1" s="1"/>
  <c r="W20" i="51"/>
  <c r="J24" i="51" s="1"/>
  <c r="I18" i="1" s="1"/>
  <c r="F64" i="1"/>
  <c r="M25" i="2"/>
  <c r="D24" i="1" s="1"/>
  <c r="Q57" i="2"/>
  <c r="G56" i="1" s="1"/>
  <c r="H56" i="1" s="1"/>
  <c r="Q53" i="2"/>
  <c r="G52" i="1" s="1"/>
  <c r="H52" i="1" s="1"/>
  <c r="Q49" i="2"/>
  <c r="G48" i="1" s="1"/>
  <c r="Q45" i="2"/>
  <c r="G44" i="1" s="1"/>
  <c r="Q41" i="2"/>
  <c r="G40" i="1" s="1"/>
  <c r="Q37" i="2"/>
  <c r="G36" i="1" s="1"/>
  <c r="H36" i="1" s="1"/>
  <c r="Q56" i="2"/>
  <c r="G55" i="1" s="1"/>
  <c r="H55" i="1" s="1"/>
  <c r="Q52" i="2"/>
  <c r="G51" i="1" s="1"/>
  <c r="Q48" i="2"/>
  <c r="G47" i="1" s="1"/>
  <c r="Q44" i="2"/>
  <c r="G43" i="1" s="1"/>
  <c r="Q40" i="2"/>
  <c r="G39" i="1" s="1"/>
  <c r="Q36" i="2"/>
  <c r="G35" i="1" s="1"/>
  <c r="H35" i="1" s="1"/>
  <c r="Q55" i="2"/>
  <c r="G54" i="1" s="1"/>
  <c r="H54" i="1" s="1"/>
  <c r="Q58" i="2"/>
  <c r="G57" i="1" s="1"/>
  <c r="H57" i="1" s="1"/>
  <c r="Q54" i="2"/>
  <c r="G53" i="1" s="1"/>
  <c r="Q50" i="2"/>
  <c r="G49" i="1" s="1"/>
  <c r="Q46" i="2"/>
  <c r="G45" i="1" s="1"/>
  <c r="H45" i="1" s="1"/>
  <c r="Q42" i="2"/>
  <c r="G41" i="1" s="1"/>
  <c r="Q38" i="2"/>
  <c r="G37" i="1" s="1"/>
  <c r="H37" i="1" s="1"/>
  <c r="Q34" i="2"/>
  <c r="G33" i="1" s="1"/>
  <c r="Q30" i="2"/>
  <c r="G29" i="1" s="1"/>
  <c r="H29" i="1" s="1"/>
  <c r="Q26" i="2"/>
  <c r="G25" i="1" s="1"/>
  <c r="H25" i="1" s="1"/>
  <c r="Q22" i="2"/>
  <c r="G21" i="1" s="1"/>
  <c r="H21" i="1" s="1"/>
  <c r="Q18" i="2"/>
  <c r="G17" i="1" s="1"/>
  <c r="Q14" i="2"/>
  <c r="G13" i="1" s="1"/>
  <c r="H13" i="1" s="1"/>
  <c r="Q10" i="2"/>
  <c r="G9" i="1" s="1"/>
  <c r="Q47" i="2"/>
  <c r="G46" i="1" s="1"/>
  <c r="Q32" i="2"/>
  <c r="G31" i="1" s="1"/>
  <c r="Q31" i="2"/>
  <c r="G30" i="1" s="1"/>
  <c r="Q29" i="2"/>
  <c r="G28" i="1" s="1"/>
  <c r="Q16" i="2"/>
  <c r="G15" i="1" s="1"/>
  <c r="H15" i="1" s="1"/>
  <c r="Q15" i="2"/>
  <c r="G14" i="1" s="1"/>
  <c r="H14" i="1" s="1"/>
  <c r="Q13" i="2"/>
  <c r="G12" i="1" s="1"/>
  <c r="Q7" i="2"/>
  <c r="Q35" i="2"/>
  <c r="G34" i="1" s="1"/>
  <c r="H34" i="1" s="1"/>
  <c r="Q28" i="2"/>
  <c r="G27" i="1" s="1"/>
  <c r="H27" i="1" s="1"/>
  <c r="Q25" i="2"/>
  <c r="G24" i="1" s="1"/>
  <c r="Q12" i="2"/>
  <c r="G11" i="1" s="1"/>
  <c r="Q11" i="2"/>
  <c r="G10" i="1" s="1"/>
  <c r="H10" i="1" s="1"/>
  <c r="Q9" i="2"/>
  <c r="G8" i="1" s="1"/>
  <c r="H8" i="1" s="1"/>
  <c r="Q39" i="2"/>
  <c r="G38" i="1" s="1"/>
  <c r="Q24" i="2"/>
  <c r="G23" i="1" s="1"/>
  <c r="H23" i="1" s="1"/>
  <c r="Q23" i="2"/>
  <c r="G22" i="1" s="1"/>
  <c r="H22" i="1" s="1"/>
  <c r="Q21" i="2"/>
  <c r="G20" i="1" s="1"/>
  <c r="H20" i="1" s="1"/>
  <c r="Q8" i="2"/>
  <c r="G7" i="1" s="1"/>
  <c r="H7" i="1" s="1"/>
  <c r="Q43" i="2"/>
  <c r="G42" i="1" s="1"/>
  <c r="Q33" i="2"/>
  <c r="G32" i="1" s="1"/>
  <c r="H32" i="1" s="1"/>
  <c r="Q20" i="2"/>
  <c r="G19" i="1" s="1"/>
  <c r="Q19" i="2"/>
  <c r="G18" i="1" s="1"/>
  <c r="Q17" i="2"/>
  <c r="G16" i="1" s="1"/>
  <c r="O58" i="2"/>
  <c r="E57" i="1" s="1"/>
  <c r="O54" i="2"/>
  <c r="E53" i="1" s="1"/>
  <c r="O50" i="2"/>
  <c r="E49" i="1" s="1"/>
  <c r="O46" i="2"/>
  <c r="E45" i="1" s="1"/>
  <c r="O42" i="2"/>
  <c r="E41" i="1" s="1"/>
  <c r="O38" i="2"/>
  <c r="E37" i="1" s="1"/>
  <c r="O57" i="2"/>
  <c r="E56" i="1" s="1"/>
  <c r="O53" i="2"/>
  <c r="E52" i="1" s="1"/>
  <c r="O49" i="2"/>
  <c r="E48" i="1" s="1"/>
  <c r="O45" i="2"/>
  <c r="E44" i="1" s="1"/>
  <c r="O41" i="2"/>
  <c r="E40" i="1" s="1"/>
  <c r="O37" i="2"/>
  <c r="E36" i="1" s="1"/>
  <c r="O56" i="2"/>
  <c r="E55" i="1" s="1"/>
  <c r="O52" i="2"/>
  <c r="E51" i="1" s="1"/>
  <c r="O55" i="2"/>
  <c r="E54" i="1" s="1"/>
  <c r="O47" i="2"/>
  <c r="E46" i="1" s="1"/>
  <c r="O43" i="2"/>
  <c r="E42" i="1" s="1"/>
  <c r="O39" i="2"/>
  <c r="E38" i="1" s="1"/>
  <c r="O35" i="2"/>
  <c r="E34" i="1" s="1"/>
  <c r="O31" i="2"/>
  <c r="E30" i="1" s="1"/>
  <c r="O23" i="2"/>
  <c r="E22" i="1" s="1"/>
  <c r="O19" i="2"/>
  <c r="E18" i="1" s="1"/>
  <c r="O15" i="2"/>
  <c r="E14" i="1" s="1"/>
  <c r="O11" i="2"/>
  <c r="O44" i="2"/>
  <c r="E43" i="1" s="1"/>
  <c r="O34" i="2"/>
  <c r="E33" i="1" s="1"/>
  <c r="O33" i="2"/>
  <c r="E32" i="1" s="1"/>
  <c r="O30" i="2"/>
  <c r="E29" i="1" s="1"/>
  <c r="O20" i="2"/>
  <c r="E19" i="1" s="1"/>
  <c r="O17" i="2"/>
  <c r="E16" i="1" s="1"/>
  <c r="O14" i="2"/>
  <c r="E13" i="1" s="1"/>
  <c r="O48" i="2"/>
  <c r="E47" i="1" s="1"/>
  <c r="O32" i="2"/>
  <c r="E31" i="1" s="1"/>
  <c r="O29" i="2"/>
  <c r="E28" i="1" s="1"/>
  <c r="O26" i="2"/>
  <c r="E25" i="1" s="1"/>
  <c r="O16" i="2"/>
  <c r="E15" i="1" s="1"/>
  <c r="O13" i="2"/>
  <c r="E12" i="1" s="1"/>
  <c r="O10" i="2"/>
  <c r="O36" i="2"/>
  <c r="E35" i="1" s="1"/>
  <c r="O28" i="2"/>
  <c r="E27" i="1" s="1"/>
  <c r="O22" i="2"/>
  <c r="E21" i="1" s="1"/>
  <c r="O12" i="2"/>
  <c r="E11" i="1" s="1"/>
  <c r="O9" i="2"/>
  <c r="O40" i="2"/>
  <c r="E39" i="1" s="1"/>
  <c r="O24" i="2"/>
  <c r="E23" i="1" s="1"/>
  <c r="O21" i="2"/>
  <c r="E20" i="1" s="1"/>
  <c r="O18" i="2"/>
  <c r="E17" i="1" s="1"/>
  <c r="O8" i="2"/>
  <c r="O7" i="2"/>
  <c r="M59" i="2"/>
  <c r="D58" i="1" s="1"/>
  <c r="M55" i="2"/>
  <c r="D54" i="1" s="1"/>
  <c r="M51" i="2"/>
  <c r="D50" i="1" s="1"/>
  <c r="M47" i="2"/>
  <c r="D46" i="1" s="1"/>
  <c r="M43" i="2"/>
  <c r="D42" i="1" s="1"/>
  <c r="M39" i="2"/>
  <c r="D38" i="1" s="1"/>
  <c r="M35" i="2"/>
  <c r="D34" i="1" s="1"/>
  <c r="M58" i="2"/>
  <c r="D57" i="1" s="1"/>
  <c r="M54" i="2"/>
  <c r="D53" i="1" s="1"/>
  <c r="M50" i="2"/>
  <c r="D49" i="1" s="1"/>
  <c r="M46" i="2"/>
  <c r="D45" i="1" s="1"/>
  <c r="M42" i="2"/>
  <c r="D41" i="1" s="1"/>
  <c r="M38" i="2"/>
  <c r="D37" i="1" s="1"/>
  <c r="M34" i="2"/>
  <c r="D33" i="1" s="1"/>
  <c r="M57" i="2"/>
  <c r="D56" i="1" s="1"/>
  <c r="M53" i="2"/>
  <c r="D52" i="1" s="1"/>
  <c r="M56" i="2"/>
  <c r="D55" i="1" s="1"/>
  <c r="M52" i="2"/>
  <c r="D51" i="1" s="1"/>
  <c r="M48" i="2"/>
  <c r="D47" i="1" s="1"/>
  <c r="M44" i="2"/>
  <c r="D43" i="1" s="1"/>
  <c r="M40" i="2"/>
  <c r="D39" i="1" s="1"/>
  <c r="M36" i="2"/>
  <c r="D35" i="1" s="1"/>
  <c r="M32" i="2"/>
  <c r="D31" i="1" s="1"/>
  <c r="M28" i="2"/>
  <c r="D27" i="1" s="1"/>
  <c r="M24" i="2"/>
  <c r="D23" i="1" s="1"/>
  <c r="M20" i="2"/>
  <c r="D19" i="1" s="1"/>
  <c r="M16" i="2"/>
  <c r="D15" i="1" s="1"/>
  <c r="M12" i="2"/>
  <c r="M8" i="2"/>
  <c r="M41" i="2"/>
  <c r="D40" i="1" s="1"/>
  <c r="M21" i="2"/>
  <c r="D20" i="1" s="1"/>
  <c r="M19" i="2"/>
  <c r="D18" i="1" s="1"/>
  <c r="M18" i="2"/>
  <c r="D17" i="1" s="1"/>
  <c r="M45" i="2"/>
  <c r="D44" i="1" s="1"/>
  <c r="M33" i="2"/>
  <c r="D32" i="1" s="1"/>
  <c r="M31" i="2"/>
  <c r="D30" i="1" s="1"/>
  <c r="M30" i="2"/>
  <c r="D29" i="1" s="1"/>
  <c r="M17" i="2"/>
  <c r="D16" i="1" s="1"/>
  <c r="M15" i="2"/>
  <c r="D14" i="1" s="1"/>
  <c r="M14" i="2"/>
  <c r="D13" i="1" s="1"/>
  <c r="M49" i="2"/>
  <c r="D48" i="1" s="1"/>
  <c r="M29" i="2"/>
  <c r="D28" i="1" s="1"/>
  <c r="M27" i="2"/>
  <c r="D26" i="1" s="1"/>
  <c r="M26" i="2"/>
  <c r="D25" i="1" s="1"/>
  <c r="M13" i="2"/>
  <c r="D12" i="1" s="1"/>
  <c r="M11" i="2"/>
  <c r="M10" i="2"/>
  <c r="M7" i="2"/>
  <c r="M37" i="2"/>
  <c r="D36" i="1" s="1"/>
  <c r="M23" i="2"/>
  <c r="D22" i="1" s="1"/>
  <c r="M22" i="2"/>
  <c r="D21" i="1" s="1"/>
  <c r="M9" i="2"/>
  <c r="H9" i="1" l="1"/>
  <c r="H19" i="1"/>
  <c r="H17" i="1"/>
  <c r="H44" i="1"/>
  <c r="H31" i="1"/>
  <c r="H18" i="1"/>
  <c r="H30" i="1"/>
  <c r="H11" i="1"/>
  <c r="H51" i="1"/>
  <c r="H47" i="1"/>
  <c r="H42" i="1"/>
  <c r="H33" i="1"/>
  <c r="H16" i="1"/>
  <c r="H12" i="1"/>
  <c r="H53" i="1"/>
  <c r="H49" i="1"/>
  <c r="H48" i="1"/>
  <c r="H46" i="1"/>
  <c r="H43" i="1"/>
  <c r="H41" i="1"/>
  <c r="H38" i="1"/>
  <c r="H40" i="1"/>
  <c r="H39" i="1"/>
  <c r="H28" i="1"/>
  <c r="H24" i="1"/>
  <c r="D10" i="1"/>
  <c r="D7" i="1"/>
  <c r="D11" i="1"/>
  <c r="F11" i="1" s="1"/>
  <c r="E8" i="1"/>
  <c r="E9" i="1"/>
  <c r="D8" i="1"/>
  <c r="D9" i="1"/>
  <c r="E7" i="1"/>
  <c r="E10" i="1"/>
  <c r="F37" i="1"/>
  <c r="F40" i="1"/>
  <c r="F31" i="1"/>
  <c r="F22" i="1"/>
  <c r="F28" i="1"/>
  <c r="F52" i="1"/>
  <c r="F16" i="1"/>
  <c r="F48" i="1"/>
  <c r="F18" i="1"/>
  <c r="F57" i="1"/>
  <c r="F23" i="1"/>
  <c r="F53" i="1"/>
  <c r="F44" i="1"/>
  <c r="F54" i="1"/>
  <c r="F49" i="1"/>
  <c r="F33" i="1"/>
  <c r="F38" i="1"/>
  <c r="F34" i="1"/>
  <c r="F21" i="1"/>
  <c r="F41" i="1"/>
  <c r="F45" i="1"/>
  <c r="F36" i="1"/>
  <c r="F55" i="1"/>
  <c r="F19" i="1"/>
  <c r="F12" i="1"/>
  <c r="F39" i="1"/>
  <c r="F24" i="1"/>
  <c r="F43" i="1"/>
  <c r="F29" i="1"/>
  <c r="F17" i="1"/>
  <c r="F42" i="1"/>
  <c r="F27" i="1"/>
  <c r="F15" i="1"/>
  <c r="F47" i="1"/>
  <c r="F56" i="1"/>
  <c r="F13" i="1"/>
  <c r="F35" i="1"/>
  <c r="F51" i="1"/>
  <c r="F25" i="1"/>
  <c r="F30" i="1"/>
  <c r="F46" i="1"/>
  <c r="F14" i="1"/>
  <c r="F32" i="1"/>
  <c r="F20" i="1"/>
  <c r="G6" i="1"/>
  <c r="M60" i="2"/>
  <c r="D6" i="1"/>
  <c r="E6" i="1"/>
  <c r="H6" i="1" l="1"/>
  <c r="F7" i="1"/>
  <c r="F8" i="1"/>
  <c r="F9" i="1"/>
  <c r="F10" i="1"/>
  <c r="F6" i="1"/>
  <c r="D59" i="1"/>
  <c r="F61" i="1" s="1"/>
  <c r="H133" i="2"/>
  <c r="I133" i="2" s="1"/>
  <c r="H132" i="2"/>
  <c r="I132" i="2" s="1"/>
  <c r="AC19" i="43"/>
  <c r="AC18" i="43"/>
  <c r="AC17" i="43"/>
  <c r="AC16" i="43"/>
  <c r="AC15" i="43"/>
  <c r="H134" i="2"/>
  <c r="I134" i="2" s="1"/>
  <c r="AC14" i="43"/>
  <c r="AC13" i="43"/>
  <c r="AC12" i="43"/>
  <c r="H131" i="2"/>
  <c r="I131" i="2" s="1"/>
  <c r="AC11" i="43"/>
  <c r="H130" i="2"/>
  <c r="I130" i="2" s="1"/>
  <c r="AC10" i="43"/>
  <c r="AB20" i="43"/>
  <c r="J23" i="43" s="1"/>
  <c r="AC9" i="43"/>
  <c r="H129" i="2"/>
  <c r="I129" i="2" s="1"/>
  <c r="Q27" i="2" l="1"/>
  <c r="G26" i="1" s="1"/>
  <c r="AC20" i="43"/>
  <c r="J24" i="43" s="1"/>
  <c r="I26" i="1" s="1"/>
  <c r="O27" i="2"/>
  <c r="E26" i="1" s="1"/>
  <c r="H26" i="1" l="1"/>
  <c r="F26" i="1"/>
  <c r="N9" i="21"/>
  <c r="N20" i="21" s="1"/>
  <c r="J24" i="21" s="1"/>
  <c r="I50" i="1" s="1"/>
  <c r="I59" i="1" s="1"/>
  <c r="H274" i="2"/>
  <c r="O51" i="2"/>
  <c r="M20" i="21"/>
  <c r="J23" i="21" s="1"/>
  <c r="I274" i="2" l="1"/>
  <c r="O59" i="2"/>
  <c r="E58" i="1" s="1"/>
  <c r="F58" i="1" s="1"/>
  <c r="E50" i="1"/>
  <c r="Q51" i="2" l="1"/>
  <c r="Q59" i="2"/>
  <c r="G58" i="1" s="1"/>
  <c r="H58" i="1" s="1"/>
  <c r="O60" i="2"/>
  <c r="E59" i="1"/>
  <c r="F62" i="1" s="1"/>
  <c r="F50" i="1"/>
  <c r="F59" i="1" s="1"/>
  <c r="F63" i="1" s="1"/>
  <c r="F65" i="1" s="1"/>
  <c r="F68" i="1" s="1"/>
  <c r="Q60" i="2" l="1"/>
  <c r="G50" i="1"/>
  <c r="G59" i="1" l="1"/>
  <c r="H50" i="1"/>
  <c r="H59" i="1" s="1"/>
</calcChain>
</file>

<file path=xl/sharedStrings.xml><?xml version="1.0" encoding="utf-8"?>
<sst xmlns="http://schemas.openxmlformats.org/spreadsheetml/2006/main" count="2860" uniqueCount="582">
  <si>
    <t xml:space="preserve">ACUMULADO DE PRESTAMO </t>
  </si>
  <si>
    <t xml:space="preserve">SEMANA </t>
  </si>
  <si>
    <t>MONTO</t>
  </si>
  <si>
    <t>APORTACON</t>
  </si>
  <si>
    <t>TOTAL</t>
  </si>
  <si>
    <t xml:space="preserve">PRESTAMO </t>
  </si>
  <si>
    <t xml:space="preserve">APORTACIONES </t>
  </si>
  <si>
    <t xml:space="preserve">ADEUDO </t>
  </si>
  <si>
    <t xml:space="preserve"> PRESTAMO AL PRESONAL </t>
  </si>
  <si>
    <t>FONDO</t>
  </si>
  <si>
    <t>SEMANA</t>
  </si>
  <si>
    <t>SUMA</t>
  </si>
  <si>
    <t>EFECTIVO</t>
  </si>
  <si>
    <t>PRESTAMOS</t>
  </si>
  <si>
    <t xml:space="preserve">FECHA </t>
  </si>
  <si>
    <t>N.NOM</t>
  </si>
  <si>
    <t xml:space="preserve">NOMBRE </t>
  </si>
  <si>
    <t xml:space="preserve">MONTO </t>
  </si>
  <si>
    <t>RESTA</t>
  </si>
  <si>
    <t>SEMANA 36</t>
  </si>
  <si>
    <t xml:space="preserve">TOTAL DE PRESTAMO </t>
  </si>
  <si>
    <t>SEMANA 37</t>
  </si>
  <si>
    <t>DIFERENCIA</t>
  </si>
  <si>
    <t>ADEUDOS</t>
  </si>
  <si>
    <t>DENOMINACION</t>
  </si>
  <si>
    <t>CANTIDAD</t>
  </si>
  <si>
    <t>EFECTIVO EN FONDO</t>
  </si>
  <si>
    <t>SEMANA 35</t>
  </si>
  <si>
    <t>SEMANA 38</t>
  </si>
  <si>
    <t>SEMANA 39</t>
  </si>
  <si>
    <t>SEMANA 40</t>
  </si>
  <si>
    <t>SE</t>
  </si>
  <si>
    <t>SEMANA 41</t>
  </si>
  <si>
    <t>SEMANA 42</t>
  </si>
  <si>
    <t>SEMANA 43</t>
  </si>
  <si>
    <t>SEMANA 44</t>
  </si>
  <si>
    <t>SEMANA 45</t>
  </si>
  <si>
    <t>SEMANA 46</t>
  </si>
  <si>
    <t>SEMANA 47</t>
  </si>
  <si>
    <t>SEMANA 48</t>
  </si>
  <si>
    <t>APORTACION</t>
  </si>
  <si>
    <t>M</t>
  </si>
  <si>
    <t>X</t>
  </si>
  <si>
    <t>J</t>
  </si>
  <si>
    <t>V</t>
  </si>
  <si>
    <t>S</t>
  </si>
  <si>
    <t>D</t>
  </si>
  <si>
    <t>L</t>
  </si>
  <si>
    <t>SEMANA PARA MONTO</t>
  </si>
  <si>
    <t>SEMANA APORTACION</t>
  </si>
  <si>
    <t>SEMANA PARA RESTA</t>
  </si>
  <si>
    <t>1.-</t>
  </si>
  <si>
    <t>2.-</t>
  </si>
  <si>
    <t>3.-</t>
  </si>
  <si>
    <t>4.-</t>
  </si>
  <si>
    <t>NUMERO</t>
  </si>
  <si>
    <t>INSTRUCCIÓN</t>
  </si>
  <si>
    <t>INSTRUCTIVO DEL USO DEL ARCHIVO                       "PRESTAMO PERSONAL"</t>
  </si>
  <si>
    <t>SEMANA 02</t>
  </si>
  <si>
    <t>SEMANA 04</t>
  </si>
  <si>
    <t>SEMANA 03</t>
  </si>
  <si>
    <t>SEMANA 05</t>
  </si>
  <si>
    <t>SEMANA 06</t>
  </si>
  <si>
    <t>SEMANA 07</t>
  </si>
  <si>
    <t>SEMANA 08</t>
  </si>
  <si>
    <t>SEMANA 09</t>
  </si>
  <si>
    <t>SEMANA 10</t>
  </si>
  <si>
    <t>SEMANA 11</t>
  </si>
  <si>
    <t>SEMANA 12</t>
  </si>
  <si>
    <t>SEMANA 13</t>
  </si>
  <si>
    <t>SEMANA 14</t>
  </si>
  <si>
    <t>SEMANA 15</t>
  </si>
  <si>
    <t>SEMANA 16</t>
  </si>
  <si>
    <t>SEMANA 17</t>
  </si>
  <si>
    <t>SEMANA 18</t>
  </si>
  <si>
    <t>SEMANA 19</t>
  </si>
  <si>
    <t>SEMANA 20</t>
  </si>
  <si>
    <t>SEMANA 21</t>
  </si>
  <si>
    <t>SEMANA 22</t>
  </si>
  <si>
    <t>SEMANA 23</t>
  </si>
  <si>
    <t>SEMANA 24</t>
  </si>
  <si>
    <t>SEMANA 25</t>
  </si>
  <si>
    <t>SEMANA 26</t>
  </si>
  <si>
    <t>SEMANA 27</t>
  </si>
  <si>
    <t>SEMANA 28</t>
  </si>
  <si>
    <t>SEMANA 29</t>
  </si>
  <si>
    <t>SEMANA 30</t>
  </si>
  <si>
    <t>SEMANA 31</t>
  </si>
  <si>
    <t>SEMANA 32</t>
  </si>
  <si>
    <t>SEMANA 33</t>
  </si>
  <si>
    <t>SEMANA 34</t>
  </si>
  <si>
    <t>SEMANA 49</t>
  </si>
  <si>
    <t>SEMANA 50</t>
  </si>
  <si>
    <t>SEMANA 51</t>
  </si>
  <si>
    <t>SEMANA 52</t>
  </si>
  <si>
    <t>SEMANA 01</t>
  </si>
  <si>
    <t>SEMANA  52</t>
  </si>
  <si>
    <t>AÑO ANTERIOR</t>
  </si>
  <si>
    <t>5.-</t>
  </si>
  <si>
    <t>EN LA HOJA "SALDOS INICIALES" EN LA CELDAS "SEMANA *"  COLOCAREMOS LAS APORTACIONES QUE  LOS EMPLEADOS  HAN CUBIERTO EN CADA SEMANA , QUE DEBERIAN CORRESPONDER A LOS DE LA SEMANA 52 DEL AÑO ANTERIOR AL AÑO EN CURSO</t>
  </si>
  <si>
    <t>EN LA HOJA "SALDOS INICIALES" EN LA CELDA "FECHA" COLOCAREMOS TODAS LAS FECHAS EN LAS QUE SE REALIZARON LOS ULTIMOS PRESTAMOS QUE DEBERIAN CORRESPONDER A LOS DE LA SEMANA 52 DEL AÑO ANTERIOR AL AÑO EN CURSO</t>
  </si>
  <si>
    <t>EN LA HOJA "SEMANA 01 HASTA LA SEMANA 52" CELDA "FECHA" COLOCAREMOS TODAS LAS FECHAS EN LAS QUE SE REALIZARON LOS PRESTAMOS QUE DEBERIAN CORRESPONDER A LOS DE LA SEMANA DE LA HOJA LA CUAL ESTAS LLENANDO</t>
  </si>
  <si>
    <t xml:space="preserve">EN LA HOJA " PRESTAMOS AL PERSONAL " SOLO SE REQUIERE QUE LLENEN LOS CAMPOS CANTIDAD EN EL APARTADO "EFECTIVO EN FONDO", EN LA CELDA QUE DICE CANTIDAD VAS A COLOCAR EL NUMERO DE MONEDAS O BILLETES CORRESPONDIENTES A LA DENOMINACION </t>
  </si>
  <si>
    <t>EN LA HOJA "SALDOS INICIALES" EN LA CELDA "N.NOM"  COLOCAREMOS TODOS LOS NUMEROS DE NOMINA DE LOS EMPLEADOS A LOS QUE SE LES OTORGARON LOS ULTIMOS PRESTAMOS ,QUE DEBERAN CORRESPONDER A  LOS DE LA SEMANA 52 DEL AÑO ANTERIOR AL AÑO EN CURSO</t>
  </si>
  <si>
    <t>EN LA HOJA "SALDOS INICIALES" EN LA CELDA "NOMBRE"  COLOCAREMOS TODOS LOS NOMBRES DE LOS EMPLEADOS A LOS QUE SE LES OTORGARON LOS ULTIMOS PRESTAMOS LOS CUALES DEBERAN CORRESPONDER A LOS DE LA SEMANA 52 DEL AÑO ANTERIOR AL AÑO EN CURSO</t>
  </si>
  <si>
    <t>EN LA HOJA "POR EMPLEADO" NO SE REQUIERE LLENAR NADA YA QUE LOS DATOS LOS EXTRAERA EN AUTOMATICO DE LAS HOJAS DE CADA SEMANA QUE TENEMOS DESPUES DE LA HOJA SALDOS INICIALES</t>
  </si>
  <si>
    <t>EN LA HOJA "SALDOS INICIALES" EN LA CELDAS "SEMANA 01 A LA CELDA SEMANA 06"  COLOCAREMOS LAS APORTACIONES DE  LOS EMPLEADOS  QUE CUBRAN EN CADA SEMANA , QUE DEBERIAN CORRESPONDER A LOS DE LA SEMANA QUE SE ESTA LLENANDO * VER CALENDARIO DE SEMANAS</t>
  </si>
  <si>
    <t xml:space="preserve">EN LA HOJA "SEMANA 01 HASTA LA SEMANA 52" EN LA CELDA "N.NOM"  COLOCAREMOS TODOS LOS NUMEROS DE NOMINA DE LOS EMPLEADOS A LOS QUE SE LES OTORGA PRESTAMO EN LA SEMANA CORRESPONDIENTE </t>
  </si>
  <si>
    <t xml:space="preserve">EN LA HOJA "SEMANA 01 HASTA LA SEMANA 52" EN LA CELDA "NOMBRE"  COLOCAREMOS TODOS LOS NOMBRES DE LOS EMPLEADOS A LOS QUE SE LES A LOS QUE SE LES OTORGA PRESTAMO EN LA SEMANA CORRESPONDIENTE </t>
  </si>
  <si>
    <t xml:space="preserve">EN LA HOJA "SEMANA 01 HASTA LA SEMANA 52" EN LA CELDA "MONTO"  COLOCAREMOS EL MONTO  QUE SE OTORGO A LOS EMPLEADOS  A LOS QUE SE LES OTORGA PRESTAMO EN LA SEMANA CORRESPONDIENTE </t>
  </si>
  <si>
    <t>EL USUARIO DEBERA VERIFICAR, UNA VEZ TERMINADO DE CAPTURAR SUS DATOS, QUE EN LA HOJA "PRESTAMO PERSONAL" EN LA COLUMNA "H" REFLEJELA CANTIDAD "0" EN CADA SEMANA ASI COMO EN LA CORDENADA F58</t>
  </si>
  <si>
    <t>EN LAS CORDENADAS "E8 A J8"  DE LOS ARCHIVOS "01 SEMANA A LA 52 SEMANA" DEBERAN INDICARSE LAS RECUPERACIONES DE LOS PRESTAMOS QUE SE REALIZAN, EN CASO DE REQUERIR ALGUNA MODIFICACION DEL EN EL ARCHIVO (POR EJEMPLO SI REQUIEREN AGREGAR MAS COLUMNAS PARA INTEGRAR APORTACIONES) FAVOR DE COMUNICARSE CON SOPORTE</t>
  </si>
  <si>
    <t>EN LA HOJA "SALDOS INICIALES" EN LA CELDA "MONTO"  COLOCAREMOS EL MONTO  QUE SE OTORGO A LOS EMPLEADOS  QUE DEBERIA CORRESPONDER AL  SALDO DEL PRESTAMO DEL AÑO ANTERIOR</t>
  </si>
  <si>
    <t>FONDO   PARA PRESTAMOS</t>
  </si>
  <si>
    <t>AREA</t>
  </si>
  <si>
    <t>SEMANA 2</t>
  </si>
  <si>
    <t>SEMANA 3</t>
  </si>
  <si>
    <t>SEMANA 4</t>
  </si>
  <si>
    <t>SEMANA 5</t>
  </si>
  <si>
    <t>SEMANA 6</t>
  </si>
  <si>
    <t>SEMANA 7</t>
  </si>
  <si>
    <t>SEMANA 8</t>
  </si>
  <si>
    <t>SEMANA 9</t>
  </si>
  <si>
    <t>CONCENTRADO POR SEMANA</t>
  </si>
  <si>
    <t>SEMANA 1</t>
  </si>
  <si>
    <t>Semana 1</t>
  </si>
  <si>
    <t>Semana 2</t>
  </si>
  <si>
    <t>Semana 3</t>
  </si>
  <si>
    <t>Semana 4</t>
  </si>
  <si>
    <t>Semana 5</t>
  </si>
  <si>
    <t>Semana 6</t>
  </si>
  <si>
    <t>Semana 7</t>
  </si>
  <si>
    <t>Semana 8</t>
  </si>
  <si>
    <t>Semana 9</t>
  </si>
  <si>
    <t>Semana 10</t>
  </si>
  <si>
    <t>Semana 11</t>
  </si>
  <si>
    <t>Semana 12</t>
  </si>
  <si>
    <t>Semana 13</t>
  </si>
  <si>
    <t>Semana 14</t>
  </si>
  <si>
    <t>Semana 15</t>
  </si>
  <si>
    <t>Semana 16</t>
  </si>
  <si>
    <t>Semana 17</t>
  </si>
  <si>
    <t>Semana 18</t>
  </si>
  <si>
    <t>Semana 19</t>
  </si>
  <si>
    <t>Semana 20</t>
  </si>
  <si>
    <t>Semana 21</t>
  </si>
  <si>
    <t>Semana 22</t>
  </si>
  <si>
    <t>Semana 23</t>
  </si>
  <si>
    <t>Semana 24</t>
  </si>
  <si>
    <t>Semana 25</t>
  </si>
  <si>
    <t>Semana 26</t>
  </si>
  <si>
    <t>Semana 27</t>
  </si>
  <si>
    <t>Semana 28</t>
  </si>
  <si>
    <t>Semana 29</t>
  </si>
  <si>
    <t>Semana 30</t>
  </si>
  <si>
    <t>Semana 31</t>
  </si>
  <si>
    <t>Semana 32</t>
  </si>
  <si>
    <t>Semana 33</t>
  </si>
  <si>
    <t>Semana 34</t>
  </si>
  <si>
    <t>Semana 35</t>
  </si>
  <si>
    <t>Semana 36</t>
  </si>
  <si>
    <t>Semana 37</t>
  </si>
  <si>
    <t>Semana 38</t>
  </si>
  <si>
    <t>Semana 39</t>
  </si>
  <si>
    <t>Semana 40</t>
  </si>
  <si>
    <t>Semana 41</t>
  </si>
  <si>
    <t>Semana 42</t>
  </si>
  <si>
    <t>Semana 43</t>
  </si>
  <si>
    <t>Semana 44</t>
  </si>
  <si>
    <t>Semana 45</t>
  </si>
  <si>
    <t>Semana 46</t>
  </si>
  <si>
    <t>Semana 47</t>
  </si>
  <si>
    <t>Semana 48</t>
  </si>
  <si>
    <t>Semana 49</t>
  </si>
  <si>
    <t>Semana 50</t>
  </si>
  <si>
    <t>Semana 51</t>
  </si>
  <si>
    <t>Semana 52</t>
  </si>
  <si>
    <t>OBSERVACIONES</t>
  </si>
  <si>
    <t xml:space="preserve"> </t>
  </si>
  <si>
    <t>ADEUDO POR SEMANA</t>
  </si>
  <si>
    <t>26-ene</t>
  </si>
  <si>
    <t>27-ene</t>
  </si>
  <si>
    <t>28-ene</t>
  </si>
  <si>
    <t>29-ene</t>
  </si>
  <si>
    <t>30-ene</t>
  </si>
  <si>
    <t>31-ene</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</si>
  <si>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</si>
  <si>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</si>
  <si>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</si>
  <si>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</si>
  <si>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</si>
  <si>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</si>
  <si>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</si>
  <si>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</si>
  <si>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</si>
  <si>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</si>
  <si>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</si>
  <si>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</si>
  <si>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</si>
  <si>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</si>
  <si>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</si>
  <si>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</si>
  <si>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</si>
  <si>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</si>
  <si>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</si>
  <si>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</si>
  <si>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</si>
  <si>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</si>
  <si>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</si>
  <si>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</si>
  <si>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</si>
  <si>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</si>
  <si>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</si>
  <si>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</si>
  <si>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</si>
  <si>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</si>
  <si>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</si>
  <si>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</si>
  <si>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</si>
  <si>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</si>
  <si>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</si>
  <si>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</si>
  <si>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</si>
  <si>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</si>
  <si>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</si>
  <si>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</si>
  <si>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</si>
  <si>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</si>
  <si>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</si>
  <si>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</si>
  <si>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</si>
  <si>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</si>
  <si>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</si>
  <si>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</si>
  <si>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</si>
  <si>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</si>
  <si>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</si>
  <si>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</si>
  <si>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</si>
  <si>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</si>
  <si>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</si>
  <si>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</si>
  <si>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</si>
  <si>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</si>
  <si>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</si>
  <si>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01-abr</t>
  </si>
  <si>
    <t>02-abr</t>
  </si>
  <si>
    <t>03-abr</t>
  </si>
  <si>
    <t>04-abr</t>
  </si>
  <si>
    <t>05-abr</t>
  </si>
  <si>
    <t>06-abr</t>
  </si>
  <si>
    <t>07-abr</t>
  </si>
  <si>
    <t>08-abr</t>
  </si>
  <si>
    <t>09-abr</t>
  </si>
  <si>
    <t>10-abr</t>
  </si>
  <si>
    <t>11-abr</t>
  </si>
  <si>
    <t>12-abr</t>
  </si>
  <si>
    <t>13-abr</t>
  </si>
  <si>
    <t>14-abr</t>
  </si>
  <si>
    <t>15-abr</t>
  </si>
  <si>
    <t>16-abr</t>
  </si>
  <si>
    <t>17-abr</t>
  </si>
  <si>
    <t>18-abr</t>
  </si>
  <si>
    <t>19-abr</t>
  </si>
  <si>
    <t>20-abr</t>
  </si>
  <si>
    <t>21-abr</t>
  </si>
  <si>
    <t>22-abr</t>
  </si>
  <si>
    <t>23-abr</t>
  </si>
  <si>
    <t>24-abr</t>
  </si>
  <si>
    <t>25-abr</t>
  </si>
  <si>
    <t>26-abr</t>
  </si>
  <si>
    <t>27-abr</t>
  </si>
  <si>
    <t>28-abr</t>
  </si>
  <si>
    <t>29-abr</t>
  </si>
  <si>
    <t>30-abr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</si>
  <si>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</si>
  <si>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</si>
  <si>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</si>
  <si>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</si>
  <si>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</si>
  <si>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</si>
  <si>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</si>
  <si>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</si>
  <si>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</si>
  <si>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</si>
  <si>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</si>
  <si>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</si>
  <si>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</si>
  <si>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</si>
  <si>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</si>
  <si>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</si>
  <si>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</si>
  <si>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</si>
  <si>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</si>
  <si>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</si>
  <si>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</si>
  <si>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</si>
  <si>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</si>
  <si>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</si>
  <si>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</si>
  <si>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</si>
  <si>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</si>
  <si>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</si>
  <si>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</si>
  <si>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</si>
  <si>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</si>
  <si>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</si>
  <si>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</si>
  <si>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</si>
  <si>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</si>
  <si>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</si>
  <si>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</si>
  <si>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</si>
  <si>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</si>
  <si>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</si>
  <si>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</si>
  <si>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</si>
  <si>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</si>
  <si>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</si>
  <si>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</si>
  <si>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</si>
  <si>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</si>
  <si>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</si>
  <si>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</si>
  <si>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</si>
  <si>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</si>
  <si>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</si>
  <si>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</si>
  <si>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</si>
  <si>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</si>
  <si>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</si>
  <si>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</si>
  <si>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</si>
  <si>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</si>
  <si>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</si>
  <si>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</si>
  <si>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</si>
  <si>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</si>
  <si>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</si>
  <si>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</si>
  <si>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</si>
  <si>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</si>
  <si>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</si>
  <si>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</si>
  <si>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</si>
  <si>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</si>
  <si>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</si>
  <si>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</si>
  <si>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</si>
  <si>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</si>
  <si>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</si>
  <si>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</si>
  <si>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</si>
  <si>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</si>
  <si>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</si>
  <si>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</si>
  <si>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</si>
  <si>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</si>
  <si>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</si>
  <si>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</si>
  <si>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</si>
  <si>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</si>
  <si>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</si>
  <si>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</si>
  <si>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</si>
  <si>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</si>
  <si>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</si>
  <si>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01-ago</t>
  </si>
  <si>
    <t>02-ago</t>
  </si>
  <si>
    <t>03-ago</t>
  </si>
  <si>
    <t>04-ago</t>
  </si>
  <si>
    <t>05-ago</t>
  </si>
  <si>
    <t>06-ago</t>
  </si>
  <si>
    <t>07-ago</t>
  </si>
  <si>
    <t>08-ago</t>
  </si>
  <si>
    <t>09-ago</t>
  </si>
  <si>
    <t>10-ago</t>
  </si>
  <si>
    <t>11-ago</t>
  </si>
  <si>
    <t>12-ago</t>
  </si>
  <si>
    <t>13-ago</t>
  </si>
  <si>
    <t>14-ago</t>
  </si>
  <si>
    <t>15-ago</t>
  </si>
  <si>
    <t>16-ago</t>
  </si>
  <si>
    <t>17-ago</t>
  </si>
  <si>
    <t>18-ago</t>
  </si>
  <si>
    <t>19-ago</t>
  </si>
  <si>
    <t>20-ago</t>
  </si>
  <si>
    <t>21-ago</t>
  </si>
  <si>
    <t>22-ago</t>
  </si>
  <si>
    <t>23-ago</t>
  </si>
  <si>
    <t>24-ago</t>
  </si>
  <si>
    <t>25-ago</t>
  </si>
  <si>
    <t>26-ago</t>
  </si>
  <si>
    <t>27-ago</t>
  </si>
  <si>
    <t>28-ago</t>
  </si>
  <si>
    <t>29-ago</t>
  </si>
  <si>
    <t>30-ago</t>
  </si>
  <si>
    <t>31-ago</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</si>
  <si>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</si>
  <si>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</si>
  <si>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</si>
  <si>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</si>
  <si>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</si>
  <si>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</si>
  <si>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</si>
  <si>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</si>
  <si>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</si>
  <si>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</si>
  <si>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</si>
  <si>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</si>
  <si>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</si>
  <si>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</si>
  <si>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</si>
  <si>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</si>
  <si>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</si>
  <si>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</si>
  <si>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</si>
  <si>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</si>
  <si>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</si>
  <si>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</si>
  <si>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</si>
  <si>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</si>
  <si>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</si>
  <si>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</si>
  <si>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</si>
  <si>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</si>
  <si>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</si>
  <si>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</si>
  <si>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</si>
  <si>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</si>
  <si>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</si>
  <si>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</si>
  <si>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</si>
  <si>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</si>
  <si>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</si>
  <si>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</si>
  <si>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</si>
  <si>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</si>
  <si>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</si>
  <si>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</si>
  <si>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</si>
  <si>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</si>
  <si>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</si>
  <si>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</si>
  <si>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</si>
  <si>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</si>
  <si>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</si>
  <si>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</si>
  <si>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</si>
  <si>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</si>
  <si>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</si>
  <si>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</si>
  <si>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</si>
  <si>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</si>
  <si>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</si>
  <si>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</si>
  <si>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</si>
  <si>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</si>
  <si>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</si>
  <si>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</si>
  <si>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</si>
  <si>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</si>
  <si>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</si>
  <si>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</si>
  <si>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</si>
  <si>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</si>
  <si>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</si>
  <si>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</si>
  <si>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</si>
  <si>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</si>
  <si>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</si>
  <si>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</si>
  <si>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</si>
  <si>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</si>
  <si>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</si>
  <si>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</si>
  <si>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</si>
  <si>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</si>
  <si>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</si>
  <si>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</si>
  <si>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</si>
  <si>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</si>
  <si>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</si>
  <si>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</si>
  <si>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</si>
  <si>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</si>
  <si>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</si>
  <si>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</si>
  <si>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</si>
  <si>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01-dic</t>
  </si>
  <si>
    <t>02-dic</t>
  </si>
  <si>
    <t>03-dic</t>
  </si>
  <si>
    <t>04-dic</t>
  </si>
  <si>
    <t>05-dic</t>
  </si>
  <si>
    <t>06-dic</t>
  </si>
  <si>
    <t>07-dic</t>
  </si>
  <si>
    <t>08-dic</t>
  </si>
  <si>
    <t>09-dic</t>
  </si>
  <si>
    <t>10-dic</t>
  </si>
  <si>
    <t>11-dic</t>
  </si>
  <si>
    <t>12-dic</t>
  </si>
  <si>
    <t>13-dic</t>
  </si>
  <si>
    <t>14-dic</t>
  </si>
  <si>
    <t>15-dic</t>
  </si>
  <si>
    <t>16-dic</t>
  </si>
  <si>
    <t>17-dic</t>
  </si>
  <si>
    <t>18-dic</t>
  </si>
  <si>
    <t>19-dic</t>
  </si>
  <si>
    <t>20-dic</t>
  </si>
  <si>
    <t>21-dic</t>
  </si>
  <si>
    <t>22-dic</t>
  </si>
  <si>
    <t>23-dic</t>
  </si>
  <si>
    <t>24-dic</t>
  </si>
  <si>
    <t>25-dic</t>
  </si>
  <si>
    <t>26-dic</t>
  </si>
  <si>
    <t>27-dic</t>
  </si>
  <si>
    <t>28-dic</t>
  </si>
  <si>
    <t>29-dic</t>
  </si>
  <si>
    <t>30-dic</t>
  </si>
  <si>
    <t>31-dic</t>
  </si>
  <si>
    <t>CARLOS CESAR SILVA HDEZ</t>
  </si>
  <si>
    <t>LUIS ÁNGEL QUIROZ LLANITO</t>
  </si>
  <si>
    <t xml:space="preserve">REY LEOPOLDO CHAVEZ SILVA </t>
  </si>
  <si>
    <t xml:space="preserve">AVELINO REYES Ruiz </t>
  </si>
  <si>
    <t>REYES ENRÍQUEZ GARCÍA</t>
  </si>
  <si>
    <t>JOSÉ JULIO TAPIA CABRERA</t>
  </si>
  <si>
    <t>ALBERTO PORTILLO FÉLIX</t>
  </si>
  <si>
    <t>JENNIFER ROSAS MARTÍNEZ</t>
  </si>
  <si>
    <t xml:space="preserve">RAFAEL VALDEZ MAYA </t>
  </si>
  <si>
    <t>MARTIN MARTINEZ HERNANDEZ</t>
  </si>
  <si>
    <t>KAREN VALERIA MUÑOZ SUAREZ</t>
  </si>
  <si>
    <t>CELIA GRANJA DURAN</t>
  </si>
  <si>
    <t xml:space="preserve">JULIO CESAR NORIEGA ZACARIAS </t>
  </si>
  <si>
    <t>DANIEL VILLEDA JIMENEZ</t>
  </si>
  <si>
    <t>JONATHAN LOPEZ JARAMILLO</t>
  </si>
  <si>
    <t>JESUS RAMIREZ RAMIREZ</t>
  </si>
  <si>
    <t>JONATHAN GALICIA CARDOSO</t>
  </si>
  <si>
    <t>LUCINA SÁNCHEZ HERNÁNDEZ</t>
  </si>
  <si>
    <t>LUIS FRANCISCO CALIHUA VALDEZ</t>
  </si>
  <si>
    <t>PAULA IGLESIAS FLORES</t>
  </si>
  <si>
    <t>MARIO ALEJANDRO PEREZ MEDINA</t>
  </si>
  <si>
    <t>YADIRA AGUIÑIGA SOSA</t>
  </si>
  <si>
    <t xml:space="preserve">SERGIO JIMENEZ  FLORES     </t>
  </si>
  <si>
    <t>DANIEL JARAMILLO LOPEZ</t>
  </si>
  <si>
    <t>CRISTIAN JAIR VILLASEÑOR</t>
  </si>
  <si>
    <t xml:space="preserve">DAVID AGUILAR AMURY </t>
  </si>
  <si>
    <t xml:space="preserve">JESUS ULISES TREJO </t>
  </si>
  <si>
    <t>DANIEL GUADARRAMA</t>
  </si>
  <si>
    <t xml:space="preserve">COCINA </t>
  </si>
  <si>
    <t xml:space="preserve">COMEDOR </t>
  </si>
  <si>
    <t>INCAPACIDAD</t>
  </si>
  <si>
    <t xml:space="preserve">BAJA </t>
  </si>
  <si>
    <t>Martin Gabriel Rodríguez</t>
  </si>
  <si>
    <t>Antonio Noriega</t>
  </si>
  <si>
    <t>Reyes Enriquez García</t>
  </si>
  <si>
    <t>Carlos Olmos Hipolito</t>
  </si>
  <si>
    <t>Regina Quintero Negrete</t>
  </si>
  <si>
    <t xml:space="preserve">RECUPERADO </t>
  </si>
  <si>
    <t xml:space="preserve">LUCIA LEON MARCELINO </t>
  </si>
  <si>
    <t>COCINA</t>
  </si>
  <si>
    <t xml:space="preserve">JUAN DANIEL CUACUA BALDERAS </t>
  </si>
  <si>
    <t xml:space="preserve">JOSHUE OSMAR GONZAGA GARCIA </t>
  </si>
  <si>
    <t xml:space="preserve">ALAN SANCHEZ SANCHEZ </t>
  </si>
  <si>
    <t xml:space="preserve">PEDRO VALDES MAYA </t>
  </si>
  <si>
    <t>TONATIUH GONZALEZ BELMONT</t>
  </si>
  <si>
    <t>ALAN AXEL MONTES DE OCA</t>
  </si>
  <si>
    <t>ALDO DAVID GUTIERREZ MONTIEL</t>
  </si>
  <si>
    <t>GEOVANNI ESCALANTE SALAS</t>
  </si>
  <si>
    <t>COMEDOR</t>
  </si>
  <si>
    <t xml:space="preserve">MIGUEL ÁNGEL DE LA CRUZ </t>
  </si>
  <si>
    <t>ABRAHAM EDGAR VAZQUEZ ANARIO</t>
  </si>
  <si>
    <t xml:space="preserve">JULIO CESAR NORIEGA </t>
  </si>
  <si>
    <t xml:space="preserve">DANIEL ORTEGA ORDOÑEZ </t>
  </si>
  <si>
    <t>ANDRES CORTES AGUIRRE</t>
  </si>
  <si>
    <t>ASEO</t>
  </si>
  <si>
    <t xml:space="preserve">ASEO </t>
  </si>
  <si>
    <t>OMAR ROMERO GAISTARDO</t>
  </si>
  <si>
    <t xml:space="preserve"> RECUPERADO</t>
  </si>
  <si>
    <t>SEBASTIAN GUILLERMO LUCIO</t>
  </si>
  <si>
    <t xml:space="preserve">JOSE URIEL BAUTISTA </t>
  </si>
  <si>
    <t xml:space="preserve">ULISES ALVAREZ Martínez </t>
  </si>
  <si>
    <t>José ALBERTO Sánchez Álvarez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</si>
</sst>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Red]\-&quot;$&quot;#,##0"/>
    <numFmt numFmtId="44" formatCode="_-&quot;$&quot;* #,##0.00_-;\-&quot;$&quot;* #,##0.00_-;_-&quot;$&quot;* &quot;-&quot;??_-;_-@_-"/>
    <numFmt numFmtId="43" formatCode="_-* #,##0.00_-;\-* #,##0.00_-;_-* &quot;-&quot;??_-;_-@_-"/>
    <numFmt numFmtId="164" formatCode="[$$-80A]#,##0.00"/>
    <numFmt numFmtId="165" formatCode="&quot;$&quot;#,##0.00"/>
    <numFmt numFmtId="166" formatCode="_-[$$-80A]* #,##0.00_-;\-[$$-80A]* #,##0.00_-;_-[$$-80A]* &quot;-&quot;??_-;_-@_-"/>
    <numFmt numFmtId="167" formatCode="#,##0.00_ ;\-#,##0.00\ "/>
    <numFmt numFmtId="168" formatCode="yyyy"/>
    <numFmt numFmtId="169" formatCode="mmmm"/>
    <numFmt numFmtId="170" formatCode="d"/>
  </numFmts>
  <fonts count="32"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Arial Black"/>
      <family val="2"/>
    </font>
    <font>
      <b/>
      <sz val="11"/>
      <color theme="1"/>
      <name val="Arial Black"/>
      <family val="2"/>
    </font>
    <font>
      <sz val="11"/>
      <color theme="1"/>
      <name val="Arial Black"/>
      <family val="2"/>
    </font>
    <font>
      <sz val="20"/>
      <color theme="1"/>
      <name val="Arial Black"/>
      <family val="2"/>
    </font>
    <font>
      <sz val="18"/>
      <color theme="1"/>
      <name val="Arial Black"/>
      <family val="2"/>
    </font>
    <font>
      <sz val="22"/>
      <color theme="1"/>
      <name val="Arial Black"/>
      <family val="2"/>
    </font>
    <font>
      <sz val="10"/>
      <color theme="1"/>
      <name val="Arial Black"/>
      <family val="2"/>
    </font>
    <font>
      <b/>
      <sz val="10"/>
      <color theme="1"/>
      <name val="Arial Black"/>
      <family val="2"/>
    </font>
    <font>
      <sz val="11"/>
      <name val="Calibri"/>
      <family val="2"/>
      <scheme val="minor"/>
    </font>
    <font>
      <sz val="11"/>
      <color theme="0"/>
      <name val="Calibri"/>
      <family val="2"/>
      <scheme val="minor"/>
    </font>
    <font>
      <sz val="20"/>
      <color theme="1"/>
      <name val="Calibri"/>
      <family val="2"/>
      <scheme val="minor"/>
    </font>
    <font>
      <sz val="14"/>
      <color theme="1"/>
      <name val="Calibri"/>
      <family val="2"/>
      <scheme val="minor"/>
    </font>
    <font>
      <b/>
      <sz val="14"/>
      <color theme="1"/>
      <name val="Calibri"/>
      <family val="2"/>
      <scheme val="minor"/>
    </font>
    <font>
      <b/>
      <sz val="18"/>
      <color theme="1"/>
      <name val="Calibri"/>
      <family val="2"/>
      <scheme val="minor"/>
    </font>
    <font>
      <sz val="22"/>
      <color theme="1"/>
      <name val="Calibri"/>
      <family val="2"/>
      <scheme val="minor"/>
    </font>
    <font>
      <sz val="8"/>
      <name val="Calibri"/>
      <family val="2"/>
      <scheme val="minor"/>
    </font>
    <font>
      <b/>
      <u/>
      <sz val="26"/>
      <color rgb="FFFF0000"/>
      <name val="Calibri"/>
      <family val="2"/>
      <scheme val="minor"/>
    </font>
    <font>
      <sz val="14"/>
      <color indexed="22"/>
      <name val="Calibri"/>
      <family val="2"/>
      <scheme val="minor"/>
    </font>
    <font>
      <sz val="14"/>
      <color indexed="62"/>
      <name val="Calibri"/>
      <family val="2"/>
      <scheme val="minor"/>
    </font>
    <font>
      <sz val="14"/>
      <name val="Calibri"/>
      <family val="2"/>
      <scheme val="minor"/>
    </font>
    <font>
      <b/>
      <sz val="14"/>
      <color theme="1" tint="0.249977111117893"/>
      <name val="Calibri"/>
      <family val="2"/>
      <scheme val="minor"/>
    </font>
    <font>
      <b/>
      <sz val="14"/>
      <color indexed="63"/>
      <name val="Calibri"/>
      <family val="2"/>
      <scheme val="minor"/>
    </font>
    <font>
      <sz val="14"/>
      <color theme="1" tint="0.249977111117893"/>
      <name val="Calibri"/>
      <family val="2"/>
      <scheme val="minor"/>
    </font>
    <font>
      <sz val="14"/>
      <color indexed="63"/>
      <name val="Calibri"/>
      <family val="2"/>
      <scheme val="minor"/>
    </font>
    <font>
      <sz val="14"/>
      <color theme="0" tint="-4.9989318521683403E-2"/>
      <name val="Calibri"/>
      <family val="2"/>
      <scheme val="minor"/>
    </font>
    <font>
      <b/>
      <sz val="11"/>
      <name val="Arial Black"/>
      <family val="2"/>
    </font>
    <font>
      <b/>
      <sz val="12"/>
      <name val="Arial"/>
      <family val="2"/>
    </font>
    <font>
      <b/>
      <sz val="12"/>
      <color theme="1"/>
      <name val="Arial"/>
      <family val="2"/>
    </font>
    <font>
      <b/>
      <sz val="11"/>
      <color theme="1"/>
      <name val="Arial"/>
      <family val="2"/>
    </font>
  </fonts>
  <fills count="34">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bgColor indexed="64"/>
      </patternFill>
    </fill>
    <fill>
      <patternFill patternType="solid">
        <fgColor rgb="FF92D050"/>
        <bgColor indexed="64"/>
      </patternFill>
    </fill>
    <fill>
      <patternFill patternType="solid">
        <fgColor theme="6"/>
        <bgColor indexed="64"/>
      </patternFill>
    </fill>
    <fill>
      <patternFill patternType="solid">
        <fgColor theme="7" tint="0.39997558519241921"/>
        <bgColor indexed="64"/>
      </patternFill>
    </fill>
    <fill>
      <patternFill patternType="solid">
        <fgColor indexed="9"/>
        <bgColor indexed="64"/>
      </patternFill>
    </fill>
    <fill>
      <patternFill patternType="solid">
        <fgColor rgb="FFFF0000"/>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0"/>
        <bgColor indexed="64"/>
      </patternFill>
    </fill>
    <fill>
      <patternFill patternType="solid">
        <fgColor rgb="FF66FF66"/>
        <bgColor indexed="64"/>
      </patternFill>
    </fill>
    <fill>
      <patternFill patternType="solid">
        <fgColor rgb="FFFFCCFF"/>
        <bgColor indexed="64"/>
      </patternFill>
    </fill>
    <fill>
      <patternFill patternType="solid">
        <fgColor rgb="FFCCCCFF"/>
        <bgColor indexed="64"/>
      </patternFill>
    </fill>
    <fill>
      <patternFill patternType="solid">
        <fgColor rgb="FF99CCFF"/>
        <bgColor indexed="64"/>
      </patternFill>
    </fill>
    <fill>
      <patternFill patternType="solid">
        <fgColor rgb="FFFFCC99"/>
        <bgColor indexed="64"/>
      </patternFill>
    </fill>
    <fill>
      <patternFill patternType="solid">
        <fgColor rgb="FFFFFF99"/>
        <bgColor indexed="64"/>
      </patternFill>
    </fill>
    <fill>
      <patternFill patternType="solid">
        <fgColor rgb="FFE5E5FF"/>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right style="medium">
        <color indexed="64"/>
      </right>
      <top/>
      <bottom/>
      <diagonal/>
    </border>
    <border>
      <left/>
      <right/>
      <top style="thin">
        <color indexed="64"/>
      </top>
      <bottom style="double">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style="thin">
        <color theme="0"/>
      </left>
      <right style="thin">
        <color theme="0"/>
      </right>
      <top/>
      <bottom/>
      <diagonal/>
    </border>
    <border>
      <left/>
      <right style="thin">
        <color theme="0" tint="-4.9989318521683403E-2"/>
      </right>
      <top style="thin">
        <color rgb="FFBFBFBF"/>
      </top>
      <bottom style="thin">
        <color rgb="FFBFBFBF"/>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300">
    <xf numFmtId="0" fontId="0" fillId="0" borderId="0" xfId="0"/>
    <xf numFmtId="164" fontId="0" fillId="0" borderId="0" xfId="0" applyNumberFormat="1"/>
    <xf numFmtId="0" fontId="3" fillId="0" borderId="0" xfId="0" applyFont="1" applyAlignment="1">
      <alignment horizontal="center"/>
    </xf>
    <xf numFmtId="0" fontId="0" fillId="0" borderId="0" xfId="0" applyAlignment="1">
      <alignment horizontal="center" wrapText="1"/>
    </xf>
    <xf numFmtId="165" fontId="0" fillId="0" borderId="0" xfId="0" applyNumberFormat="1"/>
    <xf numFmtId="166" fontId="0" fillId="0" borderId="0" xfId="0" applyNumberFormat="1"/>
    <xf numFmtId="0" fontId="0" fillId="0" borderId="1" xfId="0" applyBorder="1"/>
    <xf numFmtId="0" fontId="6" fillId="0" borderId="4" xfId="0" applyFont="1" applyBorder="1"/>
    <xf numFmtId="0" fontId="6" fillId="0" borderId="6" xfId="0" applyFont="1" applyBorder="1"/>
    <xf numFmtId="0" fontId="0" fillId="0" borderId="7" xfId="0" applyBorder="1"/>
    <xf numFmtId="0" fontId="0" fillId="0" borderId="13" xfId="0" applyBorder="1"/>
    <xf numFmtId="0" fontId="0" fillId="3" borderId="13" xfId="0" applyFill="1" applyBorder="1"/>
    <xf numFmtId="165" fontId="0" fillId="0" borderId="1" xfId="0" applyNumberFormat="1" applyBorder="1"/>
    <xf numFmtId="4" fontId="0" fillId="4" borderId="13" xfId="0" applyNumberFormat="1" applyFill="1" applyBorder="1"/>
    <xf numFmtId="165" fontId="0" fillId="0" borderId="13" xfId="0" applyNumberFormat="1" applyBorder="1"/>
    <xf numFmtId="165" fontId="0" fillId="6" borderId="13" xfId="0" applyNumberFormat="1" applyFill="1" applyBorder="1"/>
    <xf numFmtId="165" fontId="0" fillId="3" borderId="13" xfId="0" applyNumberFormat="1" applyFill="1" applyBorder="1"/>
    <xf numFmtId="165" fontId="0" fillId="3" borderId="1" xfId="0" applyNumberFormat="1" applyFill="1" applyBorder="1"/>
    <xf numFmtId="165" fontId="0" fillId="4" borderId="1" xfId="0" applyNumberFormat="1" applyFill="1" applyBorder="1"/>
    <xf numFmtId="0" fontId="0" fillId="5" borderId="1" xfId="0" applyFill="1" applyBorder="1"/>
    <xf numFmtId="165" fontId="0" fillId="2" borderId="1" xfId="0" applyNumberFormat="1" applyFill="1" applyBorder="1"/>
    <xf numFmtId="165" fontId="0" fillId="0" borderId="18" xfId="0" applyNumberFormat="1" applyBorder="1"/>
    <xf numFmtId="0" fontId="2" fillId="0" borderId="0" xfId="0" applyFont="1"/>
    <xf numFmtId="44" fontId="0" fillId="0" borderId="0" xfId="2" applyFont="1"/>
    <xf numFmtId="0" fontId="0" fillId="7" borderId="0" xfId="0" applyFill="1"/>
    <xf numFmtId="165" fontId="0" fillId="7" borderId="18" xfId="0" applyNumberFormat="1" applyFill="1" applyBorder="1"/>
    <xf numFmtId="0" fontId="0" fillId="4" borderId="12" xfId="0" applyFill="1" applyBorder="1"/>
    <xf numFmtId="43" fontId="0" fillId="4" borderId="2" xfId="1" applyFont="1" applyFill="1" applyBorder="1"/>
    <xf numFmtId="166" fontId="0" fillId="4" borderId="1" xfId="0" applyNumberFormat="1" applyFill="1" applyBorder="1"/>
    <xf numFmtId="0" fontId="4" fillId="0" borderId="13" xfId="0" applyFont="1" applyBorder="1"/>
    <xf numFmtId="0" fontId="4" fillId="3" borderId="13" xfId="0" applyFont="1" applyFill="1" applyBorder="1"/>
    <xf numFmtId="0" fontId="10" fillId="0" borderId="13" xfId="0" applyFont="1" applyBorder="1"/>
    <xf numFmtId="0" fontId="10" fillId="3" borderId="13" xfId="0" applyFont="1" applyFill="1" applyBorder="1"/>
    <xf numFmtId="0" fontId="0" fillId="9" borderId="0" xfId="0" applyFill="1"/>
    <xf numFmtId="0" fontId="0" fillId="2" borderId="0" xfId="0" applyFill="1"/>
    <xf numFmtId="166" fontId="0" fillId="9" borderId="0" xfId="0" applyNumberFormat="1" applyFill="1"/>
    <xf numFmtId="164" fontId="2" fillId="4" borderId="19" xfId="0" applyNumberFormat="1" applyFont="1" applyFill="1" applyBorder="1"/>
    <xf numFmtId="14" fontId="0" fillId="11" borderId="1" xfId="0" applyNumberFormat="1" applyFill="1" applyBorder="1"/>
    <xf numFmtId="0" fontId="0" fillId="11" borderId="1" xfId="0" applyFill="1" applyBorder="1"/>
    <xf numFmtId="0" fontId="2" fillId="8" borderId="0" xfId="0" applyFont="1" applyFill="1"/>
    <xf numFmtId="166" fontId="0" fillId="11" borderId="1" xfId="0" applyNumberFormat="1" applyFill="1" applyBorder="1"/>
    <xf numFmtId="43" fontId="0" fillId="4" borderId="1" xfId="1" applyFont="1" applyFill="1" applyBorder="1"/>
    <xf numFmtId="1" fontId="0" fillId="12" borderId="1" xfId="0" applyNumberFormat="1" applyFill="1" applyBorder="1"/>
    <xf numFmtId="43" fontId="0" fillId="13" borderId="1" xfId="1" applyFont="1" applyFill="1" applyBorder="1"/>
    <xf numFmtId="1" fontId="2" fillId="12" borderId="21" xfId="0" applyNumberFormat="1" applyFont="1" applyFill="1" applyBorder="1"/>
    <xf numFmtId="0" fontId="0" fillId="12" borderId="1" xfId="0" applyFill="1" applyBorder="1"/>
    <xf numFmtId="164" fontId="0" fillId="16" borderId="0" xfId="0" applyNumberFormat="1" applyFill="1"/>
    <xf numFmtId="0" fontId="2" fillId="13" borderId="12" xfId="0" applyFont="1" applyFill="1" applyBorder="1"/>
    <xf numFmtId="43" fontId="2" fillId="13" borderId="2" xfId="1" applyFont="1" applyFill="1" applyBorder="1"/>
    <xf numFmtId="167" fontId="0" fillId="6" borderId="1" xfId="0" applyNumberFormat="1" applyFill="1" applyBorder="1"/>
    <xf numFmtId="0" fontId="6" fillId="0" borderId="5" xfId="0" applyFont="1" applyBorder="1"/>
    <xf numFmtId="0" fontId="6" fillId="0" borderId="7" xfId="0" applyFont="1" applyBorder="1"/>
    <xf numFmtId="0" fontId="0" fillId="11" borderId="1" xfId="0" applyFill="1" applyBorder="1" applyProtection="1">
      <protection locked="0"/>
    </xf>
    <xf numFmtId="0" fontId="0" fillId="0" borderId="0" xfId="0" applyProtection="1">
      <protection locked="0"/>
    </xf>
    <xf numFmtId="0" fontId="0" fillId="4" borderId="0" xfId="0" applyFill="1" applyProtection="1">
      <protection locked="0"/>
    </xf>
    <xf numFmtId="0" fontId="2" fillId="0" borderId="0" xfId="0" applyFont="1" applyProtection="1">
      <protection locked="0"/>
    </xf>
    <xf numFmtId="0" fontId="2" fillId="14" borderId="0" xfId="0" applyFont="1" applyFill="1"/>
    <xf numFmtId="165" fontId="2" fillId="14" borderId="0" xfId="0" applyNumberFormat="1" applyFont="1" applyFill="1"/>
    <xf numFmtId="0" fontId="0" fillId="10" borderId="0" xfId="0" applyFill="1"/>
    <xf numFmtId="164" fontId="0" fillId="10" borderId="0" xfId="0" applyNumberFormat="1" applyFill="1"/>
    <xf numFmtId="164" fontId="0" fillId="19" borderId="0" xfId="0" applyNumberFormat="1" applyFill="1"/>
    <xf numFmtId="166" fontId="0" fillId="8" borderId="22" xfId="0" applyNumberFormat="1" applyFill="1" applyBorder="1"/>
    <xf numFmtId="0" fontId="14" fillId="4" borderId="12" xfId="0" applyFont="1" applyFill="1" applyBorder="1"/>
    <xf numFmtId="0" fontId="15" fillId="13" borderId="19" xfId="0" applyFont="1" applyFill="1" applyBorder="1"/>
    <xf numFmtId="43" fontId="15" fillId="13" borderId="20" xfId="1" applyFont="1" applyFill="1" applyBorder="1"/>
    <xf numFmtId="0" fontId="15" fillId="4" borderId="1" xfId="0" applyFont="1" applyFill="1" applyBorder="1"/>
    <xf numFmtId="0" fontId="15" fillId="13" borderId="1" xfId="0" applyFont="1" applyFill="1" applyBorder="1"/>
    <xf numFmtId="0" fontId="2" fillId="15" borderId="21" xfId="0" applyFont="1" applyFill="1" applyBorder="1"/>
    <xf numFmtId="43" fontId="0" fillId="21" borderId="1" xfId="1" applyFont="1" applyFill="1" applyBorder="1" applyProtection="1">
      <protection locked="0"/>
    </xf>
    <xf numFmtId="165" fontId="0" fillId="4" borderId="1" xfId="1" applyNumberFormat="1" applyFont="1" applyFill="1" applyBorder="1"/>
    <xf numFmtId="165" fontId="12" fillId="0" borderId="0" xfId="0" applyNumberFormat="1" applyFont="1"/>
    <xf numFmtId="0" fontId="15" fillId="2" borderId="1" xfId="0" applyFont="1" applyFill="1" applyBorder="1"/>
    <xf numFmtId="0" fontId="0" fillId="0" borderId="21" xfId="0" applyBorder="1"/>
    <xf numFmtId="165" fontId="0" fillId="3" borderId="26" xfId="0" applyNumberFormat="1" applyFill="1" applyBorder="1"/>
    <xf numFmtId="165" fontId="0" fillId="3" borderId="27" xfId="0" applyNumberFormat="1" applyFill="1" applyBorder="1"/>
    <xf numFmtId="0" fontId="10" fillId="0" borderId="21" xfId="0" applyFont="1" applyBorder="1"/>
    <xf numFmtId="44" fontId="0" fillId="0" borderId="0" xfId="2" applyFont="1" applyProtection="1"/>
    <xf numFmtId="44" fontId="0" fillId="3" borderId="18" xfId="0" applyNumberFormat="1" applyFill="1" applyBorder="1"/>
    <xf numFmtId="165" fontId="0" fillId="0" borderId="1" xfId="0" applyNumberFormat="1" applyBorder="1" applyProtection="1">
      <protection locked="0"/>
    </xf>
    <xf numFmtId="0" fontId="0" fillId="0" borderId="13" xfId="0" applyBorder="1" applyProtection="1">
      <protection locked="0"/>
    </xf>
    <xf numFmtId="14" fontId="0" fillId="0" borderId="1" xfId="0" applyNumberFormat="1" applyBorder="1" applyProtection="1">
      <protection locked="0"/>
    </xf>
    <xf numFmtId="0" fontId="0" fillId="0" borderId="1" xfId="0" applyBorder="1" applyProtection="1">
      <protection locked="0"/>
    </xf>
    <xf numFmtId="165" fontId="0" fillId="0" borderId="13" xfId="0" applyNumberFormat="1" applyBorder="1" applyProtection="1">
      <protection locked="0"/>
    </xf>
    <xf numFmtId="165" fontId="0" fillId="3" borderId="13" xfId="0" applyNumberFormat="1" applyFill="1" applyBorder="1" applyProtection="1">
      <protection locked="0"/>
    </xf>
    <xf numFmtId="1" fontId="2" fillId="2" borderId="12" xfId="0" applyNumberFormat="1" applyFont="1" applyFill="1" applyBorder="1"/>
    <xf numFmtId="2" fontId="2" fillId="2" borderId="2" xfId="1" applyNumberFormat="1" applyFont="1" applyFill="1" applyBorder="1"/>
    <xf numFmtId="0" fontId="2" fillId="2" borderId="12" xfId="0" applyFont="1" applyFill="1" applyBorder="1"/>
    <xf numFmtId="0" fontId="15" fillId="2" borderId="19" xfId="0" applyFont="1" applyFill="1" applyBorder="1"/>
    <xf numFmtId="43" fontId="15" fillId="2" borderId="20" xfId="1" applyFont="1" applyFill="1" applyBorder="1"/>
    <xf numFmtId="14" fontId="0" fillId="11" borderId="24" xfId="0" applyNumberFormat="1" applyFill="1" applyBorder="1"/>
    <xf numFmtId="0" fontId="0" fillId="11" borderId="24" xfId="0" applyFill="1" applyBorder="1" applyProtection="1">
      <protection locked="0"/>
    </xf>
    <xf numFmtId="0" fontId="0" fillId="12" borderId="24" xfId="0" applyFill="1" applyBorder="1"/>
    <xf numFmtId="43" fontId="0" fillId="21" borderId="24" xfId="1" applyFont="1" applyFill="1" applyBorder="1" applyProtection="1">
      <protection locked="0"/>
    </xf>
    <xf numFmtId="43" fontId="0" fillId="13" borderId="24" xfId="1" applyFont="1" applyFill="1" applyBorder="1"/>
    <xf numFmtId="43" fontId="0" fillId="4" borderId="24" xfId="1" applyFont="1" applyFill="1" applyBorder="1"/>
    <xf numFmtId="1" fontId="0" fillId="12" borderId="24" xfId="0" applyNumberFormat="1" applyFill="1" applyBorder="1"/>
    <xf numFmtId="1" fontId="2" fillId="22" borderId="1" xfId="0" applyNumberFormat="1" applyFont="1" applyFill="1" applyBorder="1"/>
    <xf numFmtId="0" fontId="2" fillId="22" borderId="21" xfId="0" applyFont="1" applyFill="1" applyBorder="1"/>
    <xf numFmtId="0" fontId="2" fillId="22" borderId="4" xfId="0" applyFont="1" applyFill="1" applyBorder="1"/>
    <xf numFmtId="0" fontId="0" fillId="23" borderId="1" xfId="0" applyFill="1" applyBorder="1"/>
    <xf numFmtId="165" fontId="0" fillId="23" borderId="1" xfId="0" applyNumberFormat="1" applyFill="1" applyBorder="1"/>
    <xf numFmtId="165" fontId="11" fillId="23" borderId="1" xfId="0" applyNumberFormat="1" applyFont="1" applyFill="1" applyBorder="1"/>
    <xf numFmtId="165" fontId="0" fillId="23" borderId="1" xfId="1" applyNumberFormat="1" applyFont="1" applyFill="1" applyBorder="1"/>
    <xf numFmtId="1" fontId="0" fillId="23" borderId="1" xfId="0" applyNumberFormat="1" applyFill="1" applyBorder="1"/>
    <xf numFmtId="0" fontId="13" fillId="23" borderId="1" xfId="0" applyFont="1" applyFill="1" applyBorder="1" applyAlignment="1">
      <alignment vertical="center"/>
    </xf>
    <xf numFmtId="43" fontId="14" fillId="4" borderId="12" xfId="0" applyNumberFormat="1" applyFont="1" applyFill="1" applyBorder="1"/>
    <xf numFmtId="0" fontId="0" fillId="4" borderId="1" xfId="0" applyFill="1" applyBorder="1"/>
    <xf numFmtId="165" fontId="11" fillId="4" borderId="1" xfId="0" applyNumberFormat="1" applyFont="1" applyFill="1" applyBorder="1"/>
    <xf numFmtId="14" fontId="0" fillId="0" borderId="0" xfId="0" applyNumberFormat="1"/>
    <xf numFmtId="1" fontId="0" fillId="11" borderId="1" xfId="0" applyNumberFormat="1" applyFill="1" applyBorder="1"/>
    <xf numFmtId="0" fontId="20" fillId="17" borderId="0" xfId="0" applyFont="1" applyFill="1" applyAlignment="1">
      <alignment horizontal="center" vertical="center"/>
    </xf>
    <xf numFmtId="0" fontId="22" fillId="17" borderId="0" xfId="0" applyFont="1" applyFill="1"/>
    <xf numFmtId="0" fontId="14" fillId="0" borderId="0" xfId="0" applyFont="1"/>
    <xf numFmtId="0" fontId="22" fillId="17" borderId="0" xfId="0" applyFont="1" applyFill="1" applyAlignment="1">
      <alignment horizontal="left"/>
    </xf>
    <xf numFmtId="0" fontId="20" fillId="17" borderId="0" xfId="0" applyFont="1" applyFill="1"/>
    <xf numFmtId="0" fontId="22" fillId="17" borderId="0" xfId="0" applyFont="1" applyFill="1" applyAlignment="1">
      <alignment vertical="center"/>
    </xf>
    <xf numFmtId="0" fontId="22" fillId="17" borderId="0" xfId="0" applyFont="1" applyFill="1" applyAlignment="1">
      <alignment horizontal="center" vertical="center"/>
    </xf>
    <xf numFmtId="0" fontId="20" fillId="17" borderId="29" xfId="0" applyFont="1" applyFill="1" applyBorder="1" applyAlignment="1">
      <alignment horizontal="center" vertical="center"/>
    </xf>
    <xf numFmtId="0" fontId="14" fillId="0" borderId="30" xfId="0" applyFont="1" applyBorder="1"/>
    <xf numFmtId="0" fontId="10" fillId="0" borderId="4" xfId="0" applyFont="1" applyBorder="1"/>
    <xf numFmtId="0" fontId="4" fillId="3" borderId="26" xfId="0" applyFont="1" applyFill="1" applyBorder="1"/>
    <xf numFmtId="0" fontId="0" fillId="18" borderId="0" xfId="0" applyFill="1"/>
    <xf numFmtId="165" fontId="0" fillId="18" borderId="0" xfId="0" applyNumberFormat="1" applyFill="1"/>
    <xf numFmtId="167" fontId="0" fillId="18" borderId="1" xfId="0" applyNumberFormat="1" applyFill="1" applyBorder="1"/>
    <xf numFmtId="0" fontId="0" fillId="26" borderId="1" xfId="0" applyFill="1" applyBorder="1"/>
    <xf numFmtId="167" fontId="11" fillId="27" borderId="1" xfId="0" applyNumberFormat="1" applyFont="1" applyFill="1" applyBorder="1"/>
    <xf numFmtId="166" fontId="11" fillId="11" borderId="1" xfId="0" applyNumberFormat="1" applyFont="1" applyFill="1" applyBorder="1"/>
    <xf numFmtId="0" fontId="11" fillId="5" borderId="1" xfId="0" applyFont="1" applyFill="1" applyBorder="1"/>
    <xf numFmtId="14" fontId="4" fillId="0" borderId="1" xfId="0" applyNumberFormat="1" applyFont="1" applyBorder="1" applyAlignment="1">
      <alignment vertical="center"/>
    </xf>
    <xf numFmtId="0" fontId="5" fillId="6" borderId="1" xfId="0" applyFont="1" applyFill="1" applyBorder="1" applyAlignment="1">
      <alignment vertical="center"/>
    </xf>
    <xf numFmtId="165" fontId="4" fillId="4" borderId="1" xfId="0" applyNumberFormat="1" applyFont="1" applyFill="1" applyBorder="1" applyAlignment="1">
      <alignment vertical="center"/>
    </xf>
    <xf numFmtId="165" fontId="4" fillId="8" borderId="22" xfId="0" applyNumberFormat="1" applyFont="1" applyFill="1" applyBorder="1" applyAlignment="1">
      <alignment vertical="center"/>
    </xf>
    <xf numFmtId="165" fontId="4" fillId="20" borderId="22" xfId="0" applyNumberFormat="1" applyFont="1" applyFill="1" applyBorder="1" applyAlignment="1">
      <alignment vertical="center"/>
    </xf>
    <xf numFmtId="0" fontId="5" fillId="11" borderId="1" xfId="0" applyFont="1" applyFill="1" applyBorder="1" applyAlignment="1">
      <alignment horizontal="center" vertical="center"/>
    </xf>
    <xf numFmtId="165" fontId="0" fillId="20" borderId="22" xfId="0" applyNumberFormat="1" applyFill="1" applyBorder="1"/>
    <xf numFmtId="165" fontId="5" fillId="28" borderId="1" xfId="0" applyNumberFormat="1" applyFont="1" applyFill="1" applyBorder="1" applyAlignment="1">
      <alignment vertical="center" wrapText="1"/>
    </xf>
    <xf numFmtId="165" fontId="0" fillId="28" borderId="1" xfId="0" applyNumberFormat="1" applyFill="1" applyBorder="1"/>
    <xf numFmtId="168" fontId="15" fillId="24" borderId="1" xfId="0" applyNumberFormat="1" applyFont="1" applyFill="1" applyBorder="1" applyAlignment="1">
      <alignment horizontal="center" vertical="center"/>
    </xf>
    <xf numFmtId="0" fontId="23" fillId="24" borderId="1" xfId="0" applyFont="1" applyFill="1" applyBorder="1" applyAlignment="1">
      <alignment horizontal="center" vertical="center"/>
    </xf>
    <xf numFmtId="0" fontId="23" fillId="25" borderId="1" xfId="0" applyFont="1" applyFill="1" applyBorder="1" applyAlignment="1">
      <alignment horizontal="center" vertical="center"/>
    </xf>
    <xf numFmtId="169" fontId="14" fillId="0" borderId="1" xfId="0" applyNumberFormat="1" applyFont="1" applyBorder="1" applyAlignment="1">
      <alignment horizontal="left" vertical="center" indent="1"/>
    </xf>
    <xf numFmtId="16" fontId="25" fillId="0" borderId="1" xfId="0" applyNumberFormat="1" applyFont="1" applyBorder="1" applyAlignment="1">
      <alignment horizontal="center" vertical="center"/>
    </xf>
    <xf numFmtId="14" fontId="0" fillId="29" borderId="1" xfId="0" applyNumberFormat="1" applyFill="1" applyBorder="1"/>
    <xf numFmtId="0" fontId="0" fillId="29" borderId="1" xfId="0" applyFill="1" applyBorder="1"/>
    <xf numFmtId="14" fontId="0" fillId="30" borderId="1" xfId="0" applyNumberFormat="1" applyFill="1" applyBorder="1"/>
    <xf numFmtId="0" fontId="0" fillId="30" borderId="1" xfId="0" applyFill="1" applyBorder="1"/>
    <xf numFmtId="0" fontId="2" fillId="31" borderId="21" xfId="0" applyFont="1" applyFill="1" applyBorder="1"/>
    <xf numFmtId="165" fontId="11" fillId="31" borderId="1" xfId="0" applyNumberFormat="1" applyFont="1" applyFill="1" applyBorder="1"/>
    <xf numFmtId="0" fontId="2" fillId="32" borderId="21" xfId="0" applyFont="1" applyFill="1" applyBorder="1"/>
    <xf numFmtId="165" fontId="0" fillId="32" borderId="1" xfId="1" applyNumberFormat="1" applyFont="1" applyFill="1" applyBorder="1"/>
    <xf numFmtId="0" fontId="2" fillId="2" borderId="21" xfId="0" applyFont="1" applyFill="1" applyBorder="1"/>
    <xf numFmtId="0" fontId="23" fillId="0" borderId="0" xfId="0" applyFont="1" applyAlignment="1">
      <alignment horizontal="center" vertical="center"/>
    </xf>
    <xf numFmtId="16" fontId="25" fillId="0" borderId="0" xfId="0" applyNumberFormat="1" applyFont="1" applyAlignment="1">
      <alignment horizontal="center" vertical="center"/>
    </xf>
    <xf numFmtId="0" fontId="0" fillId="26" borderId="0" xfId="0" applyFill="1" applyProtection="1">
      <protection locked="0"/>
    </xf>
    <xf numFmtId="0" fontId="0" fillId="0" borderId="22" xfId="0" applyBorder="1" applyProtection="1">
      <protection locked="0"/>
    </xf>
    <xf numFmtId="0" fontId="0" fillId="0" borderId="22" xfId="0" applyBorder="1"/>
    <xf numFmtId="0" fontId="0" fillId="0" borderId="22" xfId="0" applyBorder="1" applyAlignment="1" applyProtection="1">
      <alignment wrapText="1"/>
      <protection locked="0"/>
    </xf>
    <xf numFmtId="0" fontId="0" fillId="0" borderId="22" xfId="0" applyBorder="1" applyAlignment="1" applyProtection="1">
      <alignment horizontal="center" wrapText="1"/>
      <protection locked="0"/>
    </xf>
    <xf numFmtId="0" fontId="0" fillId="0" borderId="27" xfId="0" applyBorder="1"/>
    <xf numFmtId="0" fontId="4" fillId="0" borderId="1" xfId="0" applyFont="1" applyBorder="1"/>
    <xf numFmtId="0" fontId="10" fillId="0" borderId="1" xfId="0" applyFont="1" applyBorder="1"/>
    <xf numFmtId="165" fontId="0" fillId="0" borderId="24" xfId="0" applyNumberFormat="1" applyBorder="1" applyProtection="1">
      <protection locked="0"/>
    </xf>
    <xf numFmtId="165" fontId="0" fillId="3" borderId="22" xfId="0" applyNumberFormat="1" applyFill="1" applyBorder="1" applyProtection="1">
      <protection locked="0"/>
    </xf>
    <xf numFmtId="165" fontId="0" fillId="3" borderId="25" xfId="0" applyNumberFormat="1" applyFill="1" applyBorder="1"/>
    <xf numFmtId="0" fontId="4" fillId="32" borderId="13" xfId="0" applyFont="1" applyFill="1" applyBorder="1"/>
    <xf numFmtId="165" fontId="0" fillId="32" borderId="13" xfId="0" applyNumberFormat="1" applyFill="1" applyBorder="1"/>
    <xf numFmtId="165" fontId="0" fillId="32" borderId="1" xfId="0" applyNumberFormat="1" applyFill="1" applyBorder="1"/>
    <xf numFmtId="165" fontId="0" fillId="3" borderId="1" xfId="0" applyNumberFormat="1" applyFill="1" applyBorder="1" applyProtection="1">
      <protection locked="0"/>
    </xf>
    <xf numFmtId="0" fontId="28" fillId="32" borderId="13" xfId="0" applyFont="1" applyFill="1" applyBorder="1"/>
    <xf numFmtId="165" fontId="11" fillId="32" borderId="13" xfId="0" applyNumberFormat="1" applyFont="1" applyFill="1" applyBorder="1"/>
    <xf numFmtId="165" fontId="11" fillId="32" borderId="1" xfId="0" applyNumberFormat="1" applyFont="1" applyFill="1" applyBorder="1"/>
    <xf numFmtId="0" fontId="4" fillId="3" borderId="1" xfId="0" applyFont="1" applyFill="1" applyBorder="1"/>
    <xf numFmtId="0" fontId="4" fillId="32" borderId="1" xfId="0" applyFont="1" applyFill="1" applyBorder="1"/>
    <xf numFmtId="0" fontId="10" fillId="32" borderId="13" xfId="0" applyFont="1" applyFill="1" applyBorder="1"/>
    <xf numFmtId="0" fontId="0" fillId="32" borderId="13" xfId="0" applyFill="1" applyBorder="1"/>
    <xf numFmtId="4" fontId="0" fillId="0" borderId="0" xfId="0" applyNumberFormat="1"/>
    <xf numFmtId="0" fontId="0" fillId="3" borderId="1" xfId="0" applyFill="1" applyBorder="1"/>
    <xf numFmtId="0" fontId="0" fillId="32" borderId="1" xfId="0" applyFill="1" applyBorder="1"/>
    <xf numFmtId="0" fontId="0" fillId="25" borderId="1" xfId="0" applyFill="1" applyBorder="1"/>
    <xf numFmtId="0" fontId="26" fillId="25" borderId="1" xfId="0" applyFont="1" applyFill="1" applyBorder="1" applyAlignment="1">
      <alignment horizontal="center" vertical="center"/>
    </xf>
    <xf numFmtId="170" fontId="27" fillId="0" borderId="1" xfId="0" applyNumberFormat="1" applyFont="1" applyBorder="1" applyAlignment="1">
      <alignment horizontal="center" vertical="center"/>
    </xf>
    <xf numFmtId="170" fontId="22" fillId="0" borderId="1" xfId="0" applyNumberFormat="1" applyFont="1" applyBorder="1" applyAlignment="1">
      <alignment horizontal="center" vertical="center"/>
    </xf>
    <xf numFmtId="0" fontId="20" fillId="0" borderId="0" xfId="0" applyFont="1" applyAlignment="1">
      <alignment horizontal="center" vertical="center"/>
    </xf>
    <xf numFmtId="16" fontId="25" fillId="0" borderId="31" xfId="0" applyNumberFormat="1" applyFont="1" applyBorder="1" applyAlignment="1">
      <alignment horizontal="center" vertical="center"/>
    </xf>
    <xf numFmtId="16" fontId="25" fillId="33" borderId="1" xfId="0" applyNumberFormat="1" applyFont="1" applyFill="1" applyBorder="1" applyAlignment="1">
      <alignment horizontal="center" vertical="center"/>
    </xf>
    <xf numFmtId="0" fontId="23" fillId="29" borderId="1" xfId="0" applyFont="1" applyFill="1" applyBorder="1" applyAlignment="1">
      <alignment horizontal="center" vertical="center"/>
    </xf>
    <xf numFmtId="14" fontId="0" fillId="23" borderId="1" xfId="0" applyNumberFormat="1" applyFill="1" applyBorder="1" applyProtection="1">
      <protection locked="0"/>
    </xf>
    <xf numFmtId="0" fontId="0" fillId="23" borderId="1" xfId="0" applyFill="1" applyBorder="1" applyProtection="1">
      <protection locked="0"/>
    </xf>
    <xf numFmtId="165" fontId="0" fillId="23" borderId="1" xfId="0" applyNumberFormat="1" applyFill="1" applyBorder="1" applyProtection="1">
      <protection locked="0"/>
    </xf>
    <xf numFmtId="4" fontId="0" fillId="23" borderId="1" xfId="0" applyNumberFormat="1" applyFill="1" applyBorder="1" applyProtection="1">
      <protection locked="0"/>
    </xf>
    <xf numFmtId="4" fontId="2" fillId="23" borderId="1" xfId="0" applyNumberFormat="1" applyFont="1" applyFill="1" applyBorder="1" applyAlignment="1" applyProtection="1">
      <alignment horizontal="center"/>
      <protection locked="0"/>
    </xf>
    <xf numFmtId="6" fontId="0" fillId="11" borderId="1" xfId="0" applyNumberFormat="1" applyFill="1" applyBorder="1"/>
    <xf numFmtId="14" fontId="0" fillId="0" borderId="1" xfId="0" applyNumberFormat="1" applyBorder="1" applyAlignment="1" applyProtection="1">
      <alignment horizontal="center"/>
      <protection locked="0"/>
    </xf>
    <xf numFmtId="0" fontId="0" fillId="0" borderId="1" xfId="0" applyBorder="1" applyAlignment="1" applyProtection="1">
      <alignment horizontal="left" wrapText="1"/>
      <protection locked="0"/>
    </xf>
    <xf numFmtId="165" fontId="0" fillId="0" borderId="25" xfId="0" applyNumberFormat="1" applyBorder="1" applyProtection="1">
      <protection locked="0"/>
    </xf>
    <xf numFmtId="0" fontId="0" fillId="0" borderId="25" xfId="0" applyBorder="1" applyProtection="1">
      <protection locked="0"/>
    </xf>
    <xf numFmtId="165" fontId="0" fillId="0" borderId="32" xfId="0" applyNumberFormat="1" applyBorder="1" applyProtection="1">
      <protection locked="0"/>
    </xf>
    <xf numFmtId="6" fontId="0" fillId="0" borderId="1" xfId="0" applyNumberFormat="1" applyBorder="1" applyProtection="1">
      <protection locked="0"/>
    </xf>
    <xf numFmtId="0" fontId="4" fillId="23" borderId="13" xfId="0" applyFont="1" applyFill="1" applyBorder="1"/>
    <xf numFmtId="165" fontId="0" fillId="23" borderId="13" xfId="0" applyNumberFormat="1" applyFill="1" applyBorder="1"/>
    <xf numFmtId="0" fontId="0" fillId="0" borderId="1" xfId="0" applyBorder="1" applyAlignment="1" applyProtection="1">
      <alignment wrapText="1"/>
      <protection locked="0"/>
    </xf>
    <xf numFmtId="6" fontId="0" fillId="0" borderId="22" xfId="0" applyNumberFormat="1" applyBorder="1" applyProtection="1">
      <protection locked="0"/>
    </xf>
    <xf numFmtId="6" fontId="0" fillId="3" borderId="1" xfId="0" applyNumberFormat="1" applyFill="1" applyBorder="1" applyProtection="1">
      <protection locked="0"/>
    </xf>
    <xf numFmtId="6" fontId="0" fillId="3" borderId="22" xfId="0" applyNumberFormat="1" applyFill="1" applyBorder="1" applyProtection="1">
      <protection locked="0"/>
    </xf>
    <xf numFmtId="0" fontId="2" fillId="0" borderId="22" xfId="0" applyFont="1" applyBorder="1" applyAlignment="1" applyProtection="1">
      <alignment horizontal="center"/>
      <protection locked="0"/>
    </xf>
    <xf numFmtId="0" fontId="2" fillId="0" borderId="22" xfId="0" applyFont="1" applyBorder="1" applyAlignment="1" applyProtection="1">
      <alignment horizontal="center" wrapText="1"/>
      <protection locked="0"/>
    </xf>
    <xf numFmtId="44" fontId="0" fillId="0" borderId="1" xfId="2" applyFont="1" applyFill="1" applyBorder="1" applyProtection="1">
      <protection locked="0"/>
    </xf>
    <xf numFmtId="165" fontId="11" fillId="3" borderId="13" xfId="0" applyNumberFormat="1" applyFont="1" applyFill="1" applyBorder="1"/>
    <xf numFmtId="165" fontId="0" fillId="0" borderId="26" xfId="0" applyNumberFormat="1" applyBorder="1" applyProtection="1">
      <protection locked="0"/>
    </xf>
    <xf numFmtId="0" fontId="15" fillId="23" borderId="1" xfId="0" applyFont="1" applyFill="1" applyBorder="1"/>
    <xf numFmtId="4" fontId="16" fillId="23" borderId="1" xfId="0" applyNumberFormat="1" applyFont="1" applyFill="1" applyBorder="1"/>
    <xf numFmtId="167" fontId="11" fillId="6" borderId="1" xfId="0" applyNumberFormat="1" applyFont="1" applyFill="1" applyBorder="1"/>
    <xf numFmtId="15" fontId="29" fillId="26" borderId="33" xfId="0" applyNumberFormat="1" applyFont="1" applyFill="1" applyBorder="1" applyAlignment="1" applyProtection="1">
      <alignment horizontal="center" vertical="center"/>
      <protection locked="0"/>
    </xf>
    <xf numFmtId="15" fontId="29" fillId="10" borderId="33" xfId="0" applyNumberFormat="1" applyFont="1" applyFill="1" applyBorder="1" applyAlignment="1" applyProtection="1">
      <alignment horizontal="center" vertical="center"/>
      <protection locked="0"/>
    </xf>
    <xf numFmtId="15" fontId="29" fillId="10" borderId="34" xfId="0" applyNumberFormat="1" applyFont="1" applyFill="1" applyBorder="1" applyAlignment="1" applyProtection="1">
      <alignment horizontal="center" vertical="center"/>
      <protection locked="0"/>
    </xf>
    <xf numFmtId="0" fontId="29" fillId="26" borderId="1" xfId="0" applyFont="1" applyFill="1" applyBorder="1" applyAlignment="1" applyProtection="1">
      <alignment horizontal="center"/>
      <protection locked="0"/>
    </xf>
    <xf numFmtId="0" fontId="30" fillId="26" borderId="1" xfId="0" applyFont="1" applyFill="1" applyBorder="1" applyAlignment="1" applyProtection="1">
      <alignment horizontal="center"/>
      <protection locked="0"/>
    </xf>
    <xf numFmtId="0" fontId="30" fillId="10" borderId="1" xfId="0" applyFont="1" applyFill="1" applyBorder="1" applyAlignment="1" applyProtection="1">
      <alignment horizontal="center"/>
      <protection locked="0"/>
    </xf>
    <xf numFmtId="0" fontId="29" fillId="10" borderId="1" xfId="0" applyFont="1" applyFill="1" applyBorder="1" applyAlignment="1" applyProtection="1">
      <alignment horizontal="center"/>
      <protection locked="0"/>
    </xf>
    <xf numFmtId="0" fontId="29" fillId="10" borderId="35" xfId="0" applyFont="1" applyFill="1" applyBorder="1" applyAlignment="1" applyProtection="1">
      <alignment horizontal="center"/>
      <protection locked="0"/>
    </xf>
    <xf numFmtId="0" fontId="29" fillId="26" borderId="1" xfId="0" applyFont="1" applyFill="1" applyBorder="1" applyAlignment="1" applyProtection="1">
      <alignment horizontal="left" vertical="center"/>
      <protection locked="0"/>
    </xf>
    <xf numFmtId="0" fontId="30" fillId="26" borderId="1" xfId="0" applyFont="1" applyFill="1" applyBorder="1" applyProtection="1">
      <protection locked="0"/>
    </xf>
    <xf numFmtId="0" fontId="30" fillId="10" borderId="1" xfId="0" applyFont="1" applyFill="1" applyBorder="1" applyProtection="1">
      <protection locked="0"/>
    </xf>
    <xf numFmtId="0" fontId="29" fillId="10" borderId="1" xfId="0" applyFont="1" applyFill="1" applyBorder="1" applyProtection="1">
      <protection locked="0"/>
    </xf>
    <xf numFmtId="0" fontId="29" fillId="10" borderId="35" xfId="0" applyFont="1" applyFill="1" applyBorder="1" applyProtection="1">
      <protection locked="0"/>
    </xf>
    <xf numFmtId="4" fontId="29" fillId="26" borderId="1" xfId="0" applyNumberFormat="1" applyFont="1" applyFill="1" applyBorder="1" applyAlignment="1" applyProtection="1">
      <alignment horizontal="center"/>
      <protection locked="0"/>
    </xf>
    <xf numFmtId="4" fontId="29" fillId="26" borderId="1" xfId="0" applyNumberFormat="1" applyFont="1" applyFill="1" applyBorder="1" applyAlignment="1" applyProtection="1">
      <alignment horizontal="center" vertical="center"/>
      <protection locked="0"/>
    </xf>
    <xf numFmtId="4" fontId="29" fillId="10" borderId="1" xfId="0" applyNumberFormat="1" applyFont="1" applyFill="1" applyBorder="1" applyAlignment="1" applyProtection="1">
      <alignment horizontal="center" vertical="center"/>
      <protection locked="0"/>
    </xf>
    <xf numFmtId="4" fontId="29" fillId="10" borderId="35" xfId="0" applyNumberFormat="1" applyFont="1" applyFill="1" applyBorder="1" applyAlignment="1" applyProtection="1">
      <alignment horizontal="center" vertical="center"/>
      <protection locked="0"/>
    </xf>
    <xf numFmtId="0" fontId="31" fillId="23" borderId="1" xfId="0" applyFont="1" applyFill="1" applyBorder="1" applyProtection="1">
      <protection locked="0"/>
    </xf>
    <xf numFmtId="0" fontId="31" fillId="10" borderId="1" xfId="0" applyFont="1" applyFill="1" applyBorder="1" applyProtection="1">
      <protection locked="0"/>
    </xf>
    <xf numFmtId="4" fontId="0" fillId="10" borderId="1" xfId="0" applyNumberFormat="1" applyFill="1" applyBorder="1" applyProtection="1">
      <protection locked="0"/>
    </xf>
    <xf numFmtId="165" fontId="0" fillId="10" borderId="1" xfId="0" applyNumberFormat="1" applyFill="1" applyBorder="1"/>
    <xf numFmtId="4" fontId="2" fillId="10" borderId="1" xfId="0" applyNumberFormat="1" applyFont="1" applyFill="1" applyBorder="1" applyAlignment="1" applyProtection="1">
      <alignment horizontal="center"/>
      <protection locked="0"/>
    </xf>
    <xf numFmtId="4" fontId="2" fillId="10" borderId="1" xfId="0" applyNumberFormat="1" applyFont="1" applyFill="1" applyBorder="1" applyAlignment="1" applyProtection="1">
      <alignment horizontal="center" wrapText="1"/>
      <protection locked="0"/>
    </xf>
    <xf numFmtId="15" fontId="29" fillId="29" borderId="33" xfId="0" applyNumberFormat="1" applyFont="1" applyFill="1" applyBorder="1" applyAlignment="1" applyProtection="1">
      <alignment horizontal="center" vertical="center"/>
      <protection locked="0"/>
    </xf>
    <xf numFmtId="0" fontId="29" fillId="29" borderId="1" xfId="0" applyFont="1" applyFill="1" applyBorder="1" applyAlignment="1" applyProtection="1">
      <alignment horizontal="center"/>
      <protection locked="0"/>
    </xf>
    <xf numFmtId="0" fontId="29" fillId="29" borderId="1" xfId="0" applyFont="1" applyFill="1" applyBorder="1" applyAlignment="1" applyProtection="1">
      <alignment horizontal="left" vertical="center"/>
      <protection locked="0"/>
    </xf>
    <xf numFmtId="0" fontId="31" fillId="29" borderId="1" xfId="0" applyFont="1" applyFill="1" applyBorder="1" applyProtection="1">
      <protection locked="0"/>
    </xf>
    <xf numFmtId="4" fontId="29" fillId="29" borderId="1" xfId="0" applyNumberFormat="1" applyFont="1" applyFill="1" applyBorder="1" applyAlignment="1" applyProtection="1">
      <alignment horizontal="center"/>
      <protection locked="0"/>
    </xf>
    <xf numFmtId="4" fontId="0" fillId="29" borderId="1" xfId="0" applyNumberFormat="1" applyFill="1" applyBorder="1" applyProtection="1">
      <protection locked="0"/>
    </xf>
    <xf numFmtId="165" fontId="0" fillId="29" borderId="1" xfId="0" applyNumberFormat="1" applyFill="1" applyBorder="1"/>
    <xf numFmtId="4" fontId="2" fillId="29" borderId="1" xfId="0" applyNumberFormat="1" applyFont="1" applyFill="1" applyBorder="1" applyAlignment="1" applyProtection="1">
      <alignment horizontal="center" wrapText="1"/>
      <protection locked="0"/>
    </xf>
    <xf numFmtId="4" fontId="2" fillId="29" borderId="1" xfId="0" applyNumberFormat="1" applyFont="1" applyFill="1" applyBorder="1" applyAlignment="1" applyProtection="1">
      <alignment horizontal="center"/>
      <protection locked="0"/>
    </xf>
    <xf numFmtId="0" fontId="30" fillId="29" borderId="1" xfId="0" applyFont="1" applyFill="1" applyBorder="1" applyAlignment="1" applyProtection="1">
      <alignment horizontal="center"/>
      <protection locked="0"/>
    </xf>
    <xf numFmtId="0" fontId="30" fillId="29" borderId="1" xfId="0" applyFont="1" applyFill="1" applyBorder="1" applyProtection="1">
      <protection locked="0"/>
    </xf>
    <xf numFmtId="4" fontId="29" fillId="29" borderId="1" xfId="0" applyNumberFormat="1" applyFont="1" applyFill="1" applyBorder="1" applyAlignment="1" applyProtection="1">
      <alignment horizontal="center" vertical="center"/>
      <protection locked="0"/>
    </xf>
    <xf numFmtId="14" fontId="0" fillId="25" borderId="1" xfId="0" applyNumberFormat="1" applyFill="1" applyBorder="1"/>
    <xf numFmtId="14" fontId="0" fillId="12" borderId="1" xfId="0" applyNumberFormat="1" applyFill="1" applyBorder="1"/>
    <xf numFmtId="4" fontId="0" fillId="24" borderId="1" xfId="0" applyNumberFormat="1" applyFill="1" applyBorder="1" applyProtection="1">
      <protection locked="0"/>
    </xf>
    <xf numFmtId="0" fontId="31" fillId="32" borderId="1" xfId="0" applyFont="1" applyFill="1" applyBorder="1" applyProtection="1">
      <protection locked="0"/>
    </xf>
    <xf numFmtId="4" fontId="0" fillId="32" borderId="1" xfId="0" applyNumberFormat="1" applyFill="1" applyBorder="1" applyProtection="1">
      <protection locked="0"/>
    </xf>
    <xf numFmtId="0" fontId="14" fillId="2" borderId="23" xfId="0" applyFont="1" applyFill="1" applyBorder="1" applyAlignment="1">
      <alignment horizontal="center" vertical="center" wrapText="1"/>
    </xf>
    <xf numFmtId="0" fontId="14" fillId="2" borderId="3" xfId="0" applyFont="1" applyFill="1" applyBorder="1" applyAlignment="1">
      <alignment horizontal="center" vertical="center" wrapText="1"/>
    </xf>
    <xf numFmtId="0" fontId="14" fillId="2" borderId="24" xfId="0" applyFont="1" applyFill="1" applyBorder="1" applyAlignment="1">
      <alignment horizontal="center" vertical="center" wrapText="1"/>
    </xf>
    <xf numFmtId="0" fontId="14" fillId="8" borderId="1" xfId="0" applyFont="1" applyFill="1" applyBorder="1" applyAlignment="1">
      <alignment horizontal="center" vertical="center" wrapText="1"/>
    </xf>
    <xf numFmtId="0" fontId="17" fillId="20" borderId="0" xfId="0" applyFont="1" applyFill="1" applyAlignment="1">
      <alignment horizontal="center" wrapText="1"/>
    </xf>
    <xf numFmtId="0" fontId="14" fillId="2" borderId="23" xfId="0" applyFont="1" applyFill="1" applyBorder="1" applyAlignment="1">
      <alignment horizontal="center" vertical="center"/>
    </xf>
    <xf numFmtId="0" fontId="14" fillId="2" borderId="3" xfId="0" applyFont="1" applyFill="1" applyBorder="1" applyAlignment="1">
      <alignment horizontal="center" vertical="center"/>
    </xf>
    <xf numFmtId="0" fontId="14" fillId="2" borderId="24" xfId="0" applyFont="1" applyFill="1" applyBorder="1" applyAlignment="1">
      <alignment horizontal="center" vertical="center"/>
    </xf>
    <xf numFmtId="0" fontId="14" fillId="8" borderId="12" xfId="0" applyFont="1" applyFill="1" applyBorder="1" applyAlignment="1">
      <alignment horizontal="center" wrapText="1"/>
    </xf>
    <xf numFmtId="0" fontId="14" fillId="8" borderId="0" xfId="0" applyFont="1" applyFill="1" applyAlignment="1">
      <alignment horizontal="center" wrapText="1"/>
    </xf>
    <xf numFmtId="0" fontId="15" fillId="8" borderId="12" xfId="0" applyFont="1" applyFill="1" applyBorder="1" applyAlignment="1">
      <alignment horizontal="center" vertical="center"/>
    </xf>
    <xf numFmtId="0" fontId="15" fillId="8" borderId="0" xfId="0" applyFont="1" applyFill="1" applyAlignment="1">
      <alignment horizontal="center" vertical="center"/>
    </xf>
    <xf numFmtId="0" fontId="3" fillId="0" borderId="0" xfId="0" applyFont="1" applyAlignment="1">
      <alignment horizontal="center"/>
    </xf>
    <xf numFmtId="0" fontId="2" fillId="0" borderId="0" xfId="0" applyFont="1" applyAlignment="1">
      <alignment horizontal="center"/>
    </xf>
    <xf numFmtId="0" fontId="15" fillId="2" borderId="12" xfId="0" applyFont="1" applyFill="1" applyBorder="1" applyAlignment="1">
      <alignment horizontal="center" wrapText="1"/>
    </xf>
    <xf numFmtId="0" fontId="15" fillId="2" borderId="0" xfId="0" applyFont="1" applyFill="1" applyAlignment="1">
      <alignment horizontal="center" wrapText="1"/>
    </xf>
    <xf numFmtId="0" fontId="0" fillId="0" borderId="0" xfId="0" applyAlignment="1">
      <alignment horizontal="center"/>
    </xf>
    <xf numFmtId="0" fontId="15" fillId="4" borderId="8" xfId="0" applyFont="1" applyFill="1" applyBorder="1" applyAlignment="1">
      <alignment horizontal="center"/>
    </xf>
    <xf numFmtId="0" fontId="15" fillId="4" borderId="9" xfId="0" applyFont="1" applyFill="1" applyBorder="1" applyAlignment="1">
      <alignment horizontal="center"/>
    </xf>
    <xf numFmtId="0" fontId="15" fillId="4" borderId="10" xfId="0" applyFont="1" applyFill="1" applyBorder="1" applyAlignment="1">
      <alignment horizontal="center"/>
    </xf>
    <xf numFmtId="0" fontId="15" fillId="4" borderId="11" xfId="0" applyFont="1" applyFill="1" applyBorder="1" applyAlignment="1">
      <alignment horizontal="center"/>
    </xf>
    <xf numFmtId="0" fontId="7" fillId="0" borderId="0" xfId="0" applyFont="1" applyAlignment="1">
      <alignment horizontal="center"/>
    </xf>
    <xf numFmtId="0" fontId="7" fillId="0" borderId="7" xfId="0" applyFont="1" applyBorder="1" applyAlignment="1">
      <alignment horizontal="center"/>
    </xf>
    <xf numFmtId="0" fontId="15" fillId="13" borderId="12" xfId="0" applyFont="1" applyFill="1" applyBorder="1" applyAlignment="1">
      <alignment horizontal="center" wrapText="1"/>
    </xf>
    <xf numFmtId="0" fontId="15" fillId="13" borderId="2" xfId="0" applyFont="1" applyFill="1" applyBorder="1" applyAlignment="1">
      <alignment horizontal="center" wrapText="1"/>
    </xf>
    <xf numFmtId="0" fontId="15" fillId="13" borderId="10" xfId="0" applyFont="1" applyFill="1" applyBorder="1" applyAlignment="1">
      <alignment horizontal="center" wrapText="1"/>
    </xf>
    <xf numFmtId="0" fontId="15" fillId="13" borderId="11" xfId="0" applyFont="1" applyFill="1" applyBorder="1" applyAlignment="1">
      <alignment horizontal="center" wrapText="1"/>
    </xf>
    <xf numFmtId="0" fontId="5" fillId="0" borderId="0" xfId="0" applyFont="1" applyAlignment="1">
      <alignment horizontal="center"/>
    </xf>
    <xf numFmtId="0" fontId="5" fillId="0" borderId="17" xfId="0" applyFont="1" applyBorder="1" applyAlignment="1">
      <alignment horizontal="center"/>
    </xf>
    <xf numFmtId="0" fontId="8" fillId="0" borderId="4" xfId="0" applyFont="1" applyBorder="1" applyAlignment="1">
      <alignment horizontal="center"/>
    </xf>
    <xf numFmtId="0" fontId="5" fillId="0" borderId="5"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16" xfId="0" applyFont="1" applyBorder="1" applyAlignment="1">
      <alignment horizontal="center"/>
    </xf>
    <xf numFmtId="0" fontId="8" fillId="0" borderId="15" xfId="0" applyFont="1" applyBorder="1" applyAlignment="1">
      <alignment horizontal="center"/>
    </xf>
    <xf numFmtId="0" fontId="8" fillId="0" borderId="0" xfId="0" applyFont="1" applyAlignment="1">
      <alignment horizontal="center"/>
    </xf>
    <xf numFmtId="0" fontId="7" fillId="0" borderId="0" xfId="0" applyFont="1" applyAlignment="1">
      <alignment horizontal="center" wrapText="1"/>
    </xf>
    <xf numFmtId="0" fontId="9" fillId="0" borderId="0" xfId="0" applyFont="1" applyAlignment="1">
      <alignment horizontal="center"/>
    </xf>
    <xf numFmtId="0" fontId="9" fillId="0" borderId="17" xfId="0" applyFont="1" applyBorder="1" applyAlignment="1">
      <alignment horizontal="center"/>
    </xf>
    <xf numFmtId="0" fontId="19" fillId="0" borderId="0" xfId="0" applyFont="1" applyAlignment="1">
      <alignment horizontal="center" vertical="center" wrapText="1"/>
    </xf>
    <xf numFmtId="168" fontId="21" fillId="17" borderId="28" xfId="0" applyNumberFormat="1" applyFont="1" applyFill="1" applyBorder="1" applyAlignment="1">
      <alignment horizontal="center"/>
    </xf>
    <xf numFmtId="169" fontId="24" fillId="19" borderId="1" xfId="0" applyNumberFormat="1" applyFont="1" applyFill="1" applyBorder="1" applyAlignment="1">
      <alignment horizontal="center" vertical="center"/>
    </xf>
    <xf numFmtId="0" fontId="0" fillId="0" borderId="7" xfId="0" applyBorder="1" applyAlignment="1">
      <alignment horizontal="center"/>
    </xf>
    <xf numFmtId="0" fontId="7" fillId="0" borderId="7" xfId="0" applyFont="1" applyBorder="1" applyAlignment="1">
      <alignment horizontal="center" wrapText="1"/>
    </xf>
    <xf numFmtId="0" fontId="23" fillId="25" borderId="0" xfId="0" applyFont="1" applyFill="1" applyBorder="1" applyAlignment="1">
      <alignment horizontal="center" vertical="center"/>
    </xf>
    <xf numFmtId="16" fontId="25" fillId="33" borderId="0" xfId="0" applyNumberFormat="1" applyFont="1" applyFill="1" applyBorder="1" applyAlignment="1">
      <alignment horizontal="center" vertical="center"/>
    </xf>
  </cellXfs>
  <cellStyles count="3">
    <cellStyle name="Millares" xfId="1" builtinId="3"/>
    <cellStyle name="Moneda" xfId="2" builtinId="4"/>
    <cellStyle name="Normal" xfId="0" builtinId="0"/>
  </cellStyles>
  <dxfs count="960">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rgb="FFFFFFFF"/>
      </font>
      <fill>
        <patternFill>
          <bgColor rgb="FF595959"/>
        </patternFill>
      </fill>
    </dxf>
    <dxf>
      <font>
        <color rgb="FFFFFFFF"/>
      </font>
      <fill>
        <patternFill>
          <bgColor rgb="FFAA0061"/>
        </patternFill>
      </fill>
    </dxf>
    <dxf>
      <font>
        <color rgb="FFFFFFFF"/>
      </font>
      <fill>
        <patternFill>
          <bgColor rgb="FF795549"/>
        </patternFill>
      </fill>
    </dxf>
    <dxf>
      <font>
        <color rgb="FFFFFFFF"/>
      </font>
      <fill>
        <patternFill>
          <bgColor rgb="FFFE5722"/>
        </patternFill>
      </fill>
    </dxf>
    <dxf>
      <font>
        <color rgb="FFFFFFFF"/>
      </font>
      <fill>
        <patternFill>
          <bgColor rgb="FFFF9700"/>
        </patternFill>
      </fill>
    </dxf>
    <dxf>
      <font>
        <color rgb="FFFFFFFF"/>
      </font>
      <fill>
        <patternFill>
          <bgColor rgb="FFF1B801"/>
        </patternFill>
      </fill>
    </dxf>
    <dxf>
      <font>
        <color rgb="FFFFFFFF"/>
      </font>
      <fill>
        <patternFill>
          <bgColor rgb="FF8BC24A"/>
        </patternFill>
      </fill>
    </dxf>
    <dxf>
      <font>
        <color rgb="FFFFFFFF"/>
      </font>
      <fill>
        <patternFill>
          <bgColor rgb="FF4CAF52"/>
        </patternFill>
      </fill>
    </dxf>
    <dxf>
      <font>
        <color rgb="FFFFFFFF"/>
      </font>
      <fill>
        <patternFill>
          <bgColor rgb="FF009788"/>
        </patternFill>
      </fill>
    </dxf>
    <dxf>
      <font>
        <color rgb="FFFFFFFF"/>
      </font>
      <fill>
        <patternFill>
          <bgColor rgb="FF00BCD5"/>
        </patternFill>
      </fill>
    </dxf>
    <dxf>
      <font>
        <color rgb="FFFFFFFF"/>
      </font>
      <fill>
        <patternFill>
          <bgColor rgb="FF2196F3"/>
        </patternFill>
      </fill>
    </dxf>
    <dxf>
      <font>
        <color rgb="FFFFFFFF"/>
      </font>
      <fill>
        <patternFill>
          <bgColor rgb="FF3F51B5"/>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s>
  <tableStyles count="0" defaultTableStyle="TableStyleMedium2" defaultPivotStyle="PivotStyleLight16"/>
  <colors>
    <mruColors>
      <color rgb="FFCCCCFF"/>
      <color rgb="FFFFFF99"/>
      <color rgb="FFE5E5FF"/>
      <color rgb="FFEFB6AD"/>
      <color rgb="FFFFCC99"/>
      <color rgb="FF99FF99"/>
      <color rgb="FF99FFCC"/>
      <color rgb="FF99CCFF"/>
      <color rgb="FFFFCC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ISTEMAS\Downloads\calendario-2024-excel-lunes-a-domingo.xlsx" TargetMode="External"/><Relationship Id="rId1" Type="http://schemas.openxmlformats.org/officeDocument/2006/relationships/externalLinkPath" Target="/Users/SISTEMAS/Downloads/calendario-2024-excel-lunes-a-doming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mpleto"/>
      <sheetName val="Mensual"/>
      <sheetName val="Mini"/>
      <sheetName val="Semanal"/>
      <sheetName val="Diario"/>
      <sheetName val="Configuracion"/>
    </sheetNames>
    <sheetDataSet>
      <sheetData sheetId="0">
        <row r="1">
          <cell r="B1">
            <v>45292</v>
          </cell>
        </row>
      </sheetData>
      <sheetData sheetId="1"/>
      <sheetData sheetId="2"/>
      <sheetData sheetId="3"/>
      <sheetData sheetId="4">
        <row r="2">
          <cell r="F2">
            <v>0</v>
          </cell>
        </row>
        <row r="3">
          <cell r="F3">
            <v>0</v>
          </cell>
        </row>
        <row r="4">
          <cell r="F4">
            <v>0</v>
          </cell>
        </row>
        <row r="5">
          <cell r="F5">
            <v>0</v>
          </cell>
        </row>
        <row r="6">
          <cell r="F6">
            <v>0</v>
          </cell>
        </row>
        <row r="7">
          <cell r="F7">
            <v>0</v>
          </cell>
        </row>
        <row r="8">
          <cell r="F8">
            <v>0</v>
          </cell>
        </row>
        <row r="9">
          <cell r="F9">
            <v>0</v>
          </cell>
        </row>
        <row r="10">
          <cell r="F10">
            <v>0</v>
          </cell>
        </row>
        <row r="11">
          <cell r="F11">
            <v>0</v>
          </cell>
        </row>
        <row r="12">
          <cell r="F12">
            <v>0</v>
          </cell>
        </row>
        <row r="13">
          <cell r="F13">
            <v>0</v>
          </cell>
        </row>
        <row r="14">
          <cell r="F14">
            <v>0</v>
          </cell>
        </row>
        <row r="15">
          <cell r="F15">
            <v>0</v>
          </cell>
        </row>
        <row r="16">
          <cell r="F16">
            <v>0</v>
          </cell>
        </row>
        <row r="17">
          <cell r="F17">
            <v>0</v>
          </cell>
        </row>
        <row r="18">
          <cell r="F18">
            <v>0</v>
          </cell>
        </row>
        <row r="19">
          <cell r="F19">
            <v>0</v>
          </cell>
        </row>
        <row r="20">
          <cell r="F20">
            <v>0</v>
          </cell>
        </row>
        <row r="21">
          <cell r="F21">
            <v>0</v>
          </cell>
        </row>
        <row r="22">
          <cell r="F22">
            <v>0</v>
          </cell>
        </row>
        <row r="23">
          <cell r="F23">
            <v>0</v>
          </cell>
        </row>
        <row r="24">
          <cell r="F24">
            <v>0</v>
          </cell>
        </row>
        <row r="25">
          <cell r="F25">
            <v>0</v>
          </cell>
        </row>
        <row r="26">
          <cell r="F26">
            <v>0</v>
          </cell>
        </row>
        <row r="27">
          <cell r="F27">
            <v>0</v>
          </cell>
        </row>
        <row r="28">
          <cell r="F28">
            <v>0</v>
          </cell>
        </row>
        <row r="29">
          <cell r="F29">
            <v>0</v>
          </cell>
        </row>
        <row r="30">
          <cell r="F30">
            <v>0</v>
          </cell>
        </row>
        <row r="31">
          <cell r="F31">
            <v>0</v>
          </cell>
        </row>
        <row r="32">
          <cell r="F32">
            <v>0</v>
          </cell>
        </row>
        <row r="33">
          <cell r="F33">
            <v>0</v>
          </cell>
        </row>
        <row r="34">
          <cell r="F34">
            <v>0</v>
          </cell>
        </row>
        <row r="35">
          <cell r="F35">
            <v>0</v>
          </cell>
        </row>
        <row r="36">
          <cell r="F36">
            <v>0</v>
          </cell>
        </row>
        <row r="37">
          <cell r="F37">
            <v>0</v>
          </cell>
        </row>
        <row r="38">
          <cell r="F38">
            <v>0</v>
          </cell>
        </row>
        <row r="39">
          <cell r="F39">
            <v>0</v>
          </cell>
        </row>
        <row r="40">
          <cell r="F40">
            <v>0</v>
          </cell>
        </row>
        <row r="41">
          <cell r="F41">
            <v>0</v>
          </cell>
        </row>
        <row r="42">
          <cell r="F42">
            <v>0</v>
          </cell>
        </row>
        <row r="43">
          <cell r="F43">
            <v>0</v>
          </cell>
        </row>
        <row r="44">
          <cell r="F44">
            <v>0</v>
          </cell>
        </row>
        <row r="45">
          <cell r="F45">
            <v>0</v>
          </cell>
        </row>
        <row r="46">
          <cell r="F46">
            <v>0</v>
          </cell>
        </row>
        <row r="47">
          <cell r="F47">
            <v>0</v>
          </cell>
        </row>
        <row r="48">
          <cell r="F48">
            <v>0</v>
          </cell>
        </row>
        <row r="49">
          <cell r="F49">
            <v>0</v>
          </cell>
        </row>
        <row r="50">
          <cell r="F50">
            <v>0</v>
          </cell>
        </row>
        <row r="51">
          <cell r="F51">
            <v>0</v>
          </cell>
        </row>
        <row r="52">
          <cell r="F52">
            <v>0</v>
          </cell>
        </row>
        <row r="53">
          <cell r="F53">
            <v>0</v>
          </cell>
        </row>
        <row r="54">
          <cell r="F54">
            <v>0</v>
          </cell>
        </row>
        <row r="55">
          <cell r="F55">
            <v>0</v>
          </cell>
        </row>
        <row r="56">
          <cell r="F56">
            <v>0</v>
          </cell>
        </row>
        <row r="57">
          <cell r="F57">
            <v>0</v>
          </cell>
        </row>
        <row r="58">
          <cell r="F58">
            <v>0</v>
          </cell>
        </row>
        <row r="59">
          <cell r="F59">
            <v>0</v>
          </cell>
        </row>
        <row r="60">
          <cell r="F60">
            <v>0</v>
          </cell>
        </row>
        <row r="61">
          <cell r="F61">
            <v>0</v>
          </cell>
        </row>
        <row r="62">
          <cell r="F62">
            <v>0</v>
          </cell>
        </row>
        <row r="63">
          <cell r="F63">
            <v>0</v>
          </cell>
        </row>
        <row r="64">
          <cell r="F64">
            <v>0</v>
          </cell>
        </row>
        <row r="65">
          <cell r="F65">
            <v>0</v>
          </cell>
        </row>
        <row r="66">
          <cell r="F66">
            <v>0</v>
          </cell>
        </row>
        <row r="67">
          <cell r="F67">
            <v>0</v>
          </cell>
        </row>
        <row r="68">
          <cell r="F68">
            <v>0</v>
          </cell>
        </row>
        <row r="69">
          <cell r="F69">
            <v>0</v>
          </cell>
        </row>
        <row r="70">
          <cell r="F70">
            <v>0</v>
          </cell>
        </row>
        <row r="71">
          <cell r="F71">
            <v>0</v>
          </cell>
        </row>
        <row r="72">
          <cell r="F72">
            <v>0</v>
          </cell>
        </row>
        <row r="73">
          <cell r="F73">
            <v>0</v>
          </cell>
        </row>
        <row r="74">
          <cell r="F74">
            <v>0</v>
          </cell>
        </row>
        <row r="75">
          <cell r="F75">
            <v>0</v>
          </cell>
        </row>
        <row r="76">
          <cell r="F76">
            <v>0</v>
          </cell>
        </row>
        <row r="77">
          <cell r="F77">
            <v>0</v>
          </cell>
        </row>
        <row r="78">
          <cell r="F78">
            <v>0</v>
          </cell>
        </row>
        <row r="79">
          <cell r="F79">
            <v>0</v>
          </cell>
        </row>
        <row r="80">
          <cell r="F80">
            <v>0</v>
          </cell>
        </row>
        <row r="81">
          <cell r="F81">
            <v>0</v>
          </cell>
        </row>
        <row r="82">
          <cell r="F82">
            <v>0</v>
          </cell>
        </row>
        <row r="83">
          <cell r="F83">
            <v>0</v>
          </cell>
        </row>
        <row r="84">
          <cell r="F84">
            <v>0</v>
          </cell>
        </row>
        <row r="85">
          <cell r="F85">
            <v>0</v>
          </cell>
        </row>
        <row r="86">
          <cell r="F86">
            <v>0</v>
          </cell>
        </row>
        <row r="87">
          <cell r="F87">
            <v>0</v>
          </cell>
        </row>
        <row r="88">
          <cell r="F88">
            <v>0</v>
          </cell>
        </row>
        <row r="89">
          <cell r="F89">
            <v>0</v>
          </cell>
        </row>
        <row r="90">
          <cell r="F90">
            <v>0</v>
          </cell>
        </row>
        <row r="91">
          <cell r="F91">
            <v>0</v>
          </cell>
        </row>
        <row r="92">
          <cell r="F92">
            <v>0</v>
          </cell>
        </row>
        <row r="93">
          <cell r="F93">
            <v>0</v>
          </cell>
        </row>
        <row r="94">
          <cell r="F94">
            <v>0</v>
          </cell>
        </row>
        <row r="95">
          <cell r="F95">
            <v>0</v>
          </cell>
        </row>
        <row r="96">
          <cell r="F96">
            <v>0</v>
          </cell>
        </row>
        <row r="97">
          <cell r="F97">
            <v>0</v>
          </cell>
        </row>
        <row r="98">
          <cell r="F98">
            <v>0</v>
          </cell>
        </row>
        <row r="99">
          <cell r="F99">
            <v>0</v>
          </cell>
        </row>
        <row r="100">
          <cell r="F100">
            <v>0</v>
          </cell>
        </row>
        <row r="101">
          <cell r="F101">
            <v>0</v>
          </cell>
        </row>
        <row r="102">
          <cell r="F102">
            <v>0</v>
          </cell>
        </row>
        <row r="103">
          <cell r="F103">
            <v>0</v>
          </cell>
        </row>
        <row r="104">
          <cell r="F104">
            <v>0</v>
          </cell>
        </row>
        <row r="105">
          <cell r="F105">
            <v>0</v>
          </cell>
        </row>
        <row r="106">
          <cell r="F106">
            <v>0</v>
          </cell>
        </row>
        <row r="107">
          <cell r="F107">
            <v>0</v>
          </cell>
        </row>
        <row r="108">
          <cell r="F108">
            <v>0</v>
          </cell>
        </row>
        <row r="109">
          <cell r="F109">
            <v>0</v>
          </cell>
        </row>
        <row r="110">
          <cell r="F110">
            <v>0</v>
          </cell>
        </row>
        <row r="111">
          <cell r="F111">
            <v>0</v>
          </cell>
        </row>
        <row r="112">
          <cell r="F112">
            <v>0</v>
          </cell>
        </row>
        <row r="113">
          <cell r="F113">
            <v>0</v>
          </cell>
        </row>
        <row r="114">
          <cell r="F114">
            <v>0</v>
          </cell>
        </row>
        <row r="115">
          <cell r="F115">
            <v>0</v>
          </cell>
        </row>
        <row r="116">
          <cell r="F116">
            <v>0</v>
          </cell>
        </row>
        <row r="117">
          <cell r="F117">
            <v>0</v>
          </cell>
        </row>
        <row r="118">
          <cell r="F118">
            <v>0</v>
          </cell>
        </row>
        <row r="119">
          <cell r="F119">
            <v>0</v>
          </cell>
        </row>
        <row r="120">
          <cell r="F120">
            <v>0</v>
          </cell>
        </row>
        <row r="121">
          <cell r="F121">
            <v>0</v>
          </cell>
        </row>
        <row r="122">
          <cell r="F122">
            <v>0</v>
          </cell>
        </row>
        <row r="123">
          <cell r="F123">
            <v>0</v>
          </cell>
        </row>
        <row r="124">
          <cell r="F124">
            <v>0</v>
          </cell>
        </row>
        <row r="125">
          <cell r="F125">
            <v>0</v>
          </cell>
        </row>
        <row r="126">
          <cell r="F126">
            <v>0</v>
          </cell>
        </row>
        <row r="127">
          <cell r="F127">
            <v>0</v>
          </cell>
        </row>
        <row r="128">
          <cell r="F128">
            <v>0</v>
          </cell>
        </row>
        <row r="129">
          <cell r="F129">
            <v>0</v>
          </cell>
        </row>
        <row r="130">
          <cell r="F130">
            <v>0</v>
          </cell>
        </row>
        <row r="131">
          <cell r="F131">
            <v>0</v>
          </cell>
        </row>
        <row r="132">
          <cell r="F132">
            <v>0</v>
          </cell>
        </row>
        <row r="133">
          <cell r="F133">
            <v>0</v>
          </cell>
        </row>
        <row r="134">
          <cell r="F134">
            <v>0</v>
          </cell>
        </row>
        <row r="135">
          <cell r="F135">
            <v>0</v>
          </cell>
        </row>
        <row r="136">
          <cell r="F136">
            <v>0</v>
          </cell>
        </row>
        <row r="137">
          <cell r="F137">
            <v>0</v>
          </cell>
        </row>
        <row r="138">
          <cell r="F138">
            <v>0</v>
          </cell>
        </row>
        <row r="139">
          <cell r="F139">
            <v>0</v>
          </cell>
        </row>
        <row r="140">
          <cell r="F140">
            <v>0</v>
          </cell>
        </row>
        <row r="141">
          <cell r="F141">
            <v>0</v>
          </cell>
        </row>
        <row r="142">
          <cell r="F142">
            <v>0</v>
          </cell>
        </row>
        <row r="143">
          <cell r="F143">
            <v>0</v>
          </cell>
        </row>
        <row r="144">
          <cell r="F144">
            <v>0</v>
          </cell>
        </row>
        <row r="145">
          <cell r="F145">
            <v>0</v>
          </cell>
        </row>
        <row r="146">
          <cell r="F146">
            <v>0</v>
          </cell>
        </row>
        <row r="147">
          <cell r="F147">
            <v>0</v>
          </cell>
        </row>
        <row r="148">
          <cell r="F148">
            <v>0</v>
          </cell>
        </row>
        <row r="149">
          <cell r="F149">
            <v>0</v>
          </cell>
        </row>
        <row r="150">
          <cell r="F150">
            <v>0</v>
          </cell>
        </row>
        <row r="151">
          <cell r="F151">
            <v>0</v>
          </cell>
        </row>
        <row r="152">
          <cell r="F152">
            <v>0</v>
          </cell>
        </row>
        <row r="153">
          <cell r="F153">
            <v>0</v>
          </cell>
        </row>
        <row r="154">
          <cell r="F154">
            <v>0</v>
          </cell>
        </row>
        <row r="155">
          <cell r="F155">
            <v>0</v>
          </cell>
        </row>
        <row r="156">
          <cell r="F156">
            <v>0</v>
          </cell>
        </row>
        <row r="157">
          <cell r="F157">
            <v>0</v>
          </cell>
        </row>
        <row r="158">
          <cell r="F158">
            <v>0</v>
          </cell>
        </row>
        <row r="159">
          <cell r="F159">
            <v>0</v>
          </cell>
        </row>
        <row r="160">
          <cell r="F160">
            <v>0</v>
          </cell>
        </row>
        <row r="161">
          <cell r="F161">
            <v>0</v>
          </cell>
        </row>
        <row r="162">
          <cell r="F162">
            <v>0</v>
          </cell>
        </row>
        <row r="163">
          <cell r="F163">
            <v>0</v>
          </cell>
        </row>
        <row r="164">
          <cell r="F164">
            <v>0</v>
          </cell>
        </row>
        <row r="165">
          <cell r="F165">
            <v>0</v>
          </cell>
        </row>
        <row r="166">
          <cell r="F166">
            <v>0</v>
          </cell>
        </row>
        <row r="167">
          <cell r="F167">
            <v>0</v>
          </cell>
        </row>
        <row r="168">
          <cell r="F168">
            <v>0</v>
          </cell>
        </row>
        <row r="169">
          <cell r="F169">
            <v>0</v>
          </cell>
        </row>
        <row r="170">
          <cell r="F170">
            <v>0</v>
          </cell>
        </row>
        <row r="171">
          <cell r="F171">
            <v>0</v>
          </cell>
        </row>
        <row r="172">
          <cell r="F172">
            <v>0</v>
          </cell>
        </row>
        <row r="173">
          <cell r="F173">
            <v>0</v>
          </cell>
        </row>
        <row r="174">
          <cell r="F174">
            <v>0</v>
          </cell>
        </row>
        <row r="175">
          <cell r="F175">
            <v>0</v>
          </cell>
        </row>
        <row r="176">
          <cell r="F176">
            <v>0</v>
          </cell>
        </row>
        <row r="177">
          <cell r="F177">
            <v>0</v>
          </cell>
        </row>
        <row r="178">
          <cell r="F178">
            <v>0</v>
          </cell>
        </row>
        <row r="179">
          <cell r="F179">
            <v>0</v>
          </cell>
        </row>
        <row r="180">
          <cell r="F180">
            <v>0</v>
          </cell>
        </row>
        <row r="181">
          <cell r="F181">
            <v>0</v>
          </cell>
        </row>
        <row r="182">
          <cell r="F182">
            <v>0</v>
          </cell>
        </row>
        <row r="183">
          <cell r="F183">
            <v>0</v>
          </cell>
        </row>
        <row r="184">
          <cell r="F184">
            <v>0</v>
          </cell>
        </row>
        <row r="185">
          <cell r="F185">
            <v>0</v>
          </cell>
        </row>
        <row r="186">
          <cell r="F186">
            <v>0</v>
          </cell>
        </row>
        <row r="187">
          <cell r="F187">
            <v>0</v>
          </cell>
        </row>
        <row r="188">
          <cell r="F188">
            <v>0</v>
          </cell>
        </row>
        <row r="189">
          <cell r="F189">
            <v>0</v>
          </cell>
        </row>
        <row r="190">
          <cell r="F190">
            <v>0</v>
          </cell>
        </row>
        <row r="191">
          <cell r="F191">
            <v>0</v>
          </cell>
        </row>
        <row r="192">
          <cell r="F192">
            <v>0</v>
          </cell>
        </row>
        <row r="193">
          <cell r="F193">
            <v>0</v>
          </cell>
        </row>
        <row r="194">
          <cell r="F194">
            <v>0</v>
          </cell>
        </row>
        <row r="195">
          <cell r="F195">
            <v>0</v>
          </cell>
        </row>
        <row r="196">
          <cell r="F196">
            <v>0</v>
          </cell>
        </row>
        <row r="197">
          <cell r="F197">
            <v>0</v>
          </cell>
        </row>
        <row r="198">
          <cell r="F198">
            <v>0</v>
          </cell>
        </row>
        <row r="199">
          <cell r="F199">
            <v>0</v>
          </cell>
        </row>
        <row r="200">
          <cell r="F200">
            <v>0</v>
          </cell>
        </row>
        <row r="201">
          <cell r="F201">
            <v>0</v>
          </cell>
        </row>
        <row r="202">
          <cell r="F202">
            <v>0</v>
          </cell>
        </row>
        <row r="203">
          <cell r="F203">
            <v>0</v>
          </cell>
        </row>
        <row r="204">
          <cell r="F204">
            <v>0</v>
          </cell>
        </row>
        <row r="205">
          <cell r="F205">
            <v>0</v>
          </cell>
        </row>
        <row r="206">
          <cell r="F206">
            <v>0</v>
          </cell>
        </row>
        <row r="207">
          <cell r="F207">
            <v>0</v>
          </cell>
        </row>
        <row r="208">
          <cell r="F208">
            <v>0</v>
          </cell>
        </row>
        <row r="209">
          <cell r="F209">
            <v>0</v>
          </cell>
        </row>
        <row r="210">
          <cell r="F210">
            <v>0</v>
          </cell>
        </row>
        <row r="211">
          <cell r="F211">
            <v>0</v>
          </cell>
        </row>
        <row r="212">
          <cell r="F212">
            <v>0</v>
          </cell>
        </row>
        <row r="213">
          <cell r="F213">
            <v>0</v>
          </cell>
        </row>
        <row r="214">
          <cell r="F214">
            <v>0</v>
          </cell>
        </row>
        <row r="215">
          <cell r="F215">
            <v>0</v>
          </cell>
        </row>
        <row r="216">
          <cell r="F216">
            <v>0</v>
          </cell>
        </row>
        <row r="217">
          <cell r="F217">
            <v>0</v>
          </cell>
        </row>
        <row r="218">
          <cell r="F218">
            <v>0</v>
          </cell>
        </row>
        <row r="219">
          <cell r="F219">
            <v>0</v>
          </cell>
        </row>
        <row r="220">
          <cell r="F220">
            <v>0</v>
          </cell>
        </row>
        <row r="221">
          <cell r="F221">
            <v>0</v>
          </cell>
        </row>
        <row r="222">
          <cell r="F222">
            <v>0</v>
          </cell>
        </row>
        <row r="223">
          <cell r="F223">
            <v>0</v>
          </cell>
        </row>
        <row r="224">
          <cell r="F224">
            <v>0</v>
          </cell>
        </row>
        <row r="225">
          <cell r="F225">
            <v>0</v>
          </cell>
        </row>
        <row r="226">
          <cell r="F226">
            <v>0</v>
          </cell>
        </row>
        <row r="227">
          <cell r="F227">
            <v>0</v>
          </cell>
        </row>
        <row r="228">
          <cell r="F228">
            <v>0</v>
          </cell>
        </row>
        <row r="229">
          <cell r="F229">
            <v>0</v>
          </cell>
        </row>
        <row r="230">
          <cell r="F230">
            <v>0</v>
          </cell>
        </row>
        <row r="231">
          <cell r="F231">
            <v>0</v>
          </cell>
        </row>
        <row r="232">
          <cell r="F232">
            <v>0</v>
          </cell>
        </row>
        <row r="233">
          <cell r="F233">
            <v>0</v>
          </cell>
        </row>
        <row r="234">
          <cell r="F234">
            <v>0</v>
          </cell>
        </row>
        <row r="235">
          <cell r="F235">
            <v>0</v>
          </cell>
        </row>
        <row r="236">
          <cell r="F236">
            <v>0</v>
          </cell>
        </row>
        <row r="237">
          <cell r="F237">
            <v>0</v>
          </cell>
        </row>
        <row r="238">
          <cell r="F238">
            <v>0</v>
          </cell>
        </row>
        <row r="239">
          <cell r="F239">
            <v>0</v>
          </cell>
        </row>
        <row r="240">
          <cell r="F240">
            <v>0</v>
          </cell>
        </row>
        <row r="241">
          <cell r="F241">
            <v>0</v>
          </cell>
        </row>
        <row r="242">
          <cell r="F242">
            <v>0</v>
          </cell>
        </row>
        <row r="243">
          <cell r="F243">
            <v>0</v>
          </cell>
        </row>
        <row r="244">
          <cell r="F244">
            <v>0</v>
          </cell>
        </row>
        <row r="245">
          <cell r="F245">
            <v>0</v>
          </cell>
        </row>
        <row r="246">
          <cell r="F246">
            <v>0</v>
          </cell>
        </row>
        <row r="247">
          <cell r="F247">
            <v>0</v>
          </cell>
        </row>
        <row r="248">
          <cell r="F248">
            <v>0</v>
          </cell>
        </row>
        <row r="249">
          <cell r="F249">
            <v>0</v>
          </cell>
        </row>
        <row r="250">
          <cell r="F250">
            <v>0</v>
          </cell>
        </row>
        <row r="251">
          <cell r="F251">
            <v>0</v>
          </cell>
        </row>
        <row r="252">
          <cell r="F252">
            <v>0</v>
          </cell>
        </row>
        <row r="253">
          <cell r="F253">
            <v>0</v>
          </cell>
        </row>
        <row r="254">
          <cell r="F254">
            <v>0</v>
          </cell>
        </row>
        <row r="255">
          <cell r="F255">
            <v>0</v>
          </cell>
        </row>
        <row r="256">
          <cell r="F256">
            <v>0</v>
          </cell>
        </row>
        <row r="257">
          <cell r="F257">
            <v>0</v>
          </cell>
        </row>
        <row r="258">
          <cell r="F258">
            <v>0</v>
          </cell>
        </row>
        <row r="259">
          <cell r="F259">
            <v>0</v>
          </cell>
        </row>
        <row r="260">
          <cell r="F260">
            <v>0</v>
          </cell>
        </row>
        <row r="261">
          <cell r="F261">
            <v>0</v>
          </cell>
        </row>
        <row r="262">
          <cell r="F262">
            <v>0</v>
          </cell>
        </row>
        <row r="263">
          <cell r="F263">
            <v>0</v>
          </cell>
        </row>
        <row r="264">
          <cell r="F264">
            <v>0</v>
          </cell>
        </row>
        <row r="265">
          <cell r="F265">
            <v>0</v>
          </cell>
        </row>
        <row r="266">
          <cell r="F266">
            <v>0</v>
          </cell>
        </row>
        <row r="267">
          <cell r="F267">
            <v>0</v>
          </cell>
        </row>
        <row r="268">
          <cell r="F268">
            <v>0</v>
          </cell>
        </row>
        <row r="269">
          <cell r="F269">
            <v>0</v>
          </cell>
        </row>
        <row r="270">
          <cell r="F270">
            <v>0</v>
          </cell>
        </row>
        <row r="271">
          <cell r="F271">
            <v>0</v>
          </cell>
        </row>
        <row r="272">
          <cell r="F272">
            <v>0</v>
          </cell>
        </row>
        <row r="273">
          <cell r="F273">
            <v>0</v>
          </cell>
        </row>
        <row r="274">
          <cell r="F274">
            <v>0</v>
          </cell>
        </row>
        <row r="275">
          <cell r="F275">
            <v>0</v>
          </cell>
        </row>
        <row r="276">
          <cell r="F276">
            <v>0</v>
          </cell>
        </row>
        <row r="277">
          <cell r="F277">
            <v>0</v>
          </cell>
        </row>
        <row r="278">
          <cell r="F278">
            <v>0</v>
          </cell>
        </row>
        <row r="279">
          <cell r="F279">
            <v>0</v>
          </cell>
        </row>
        <row r="280">
          <cell r="F280">
            <v>0</v>
          </cell>
        </row>
        <row r="281">
          <cell r="F281">
            <v>0</v>
          </cell>
        </row>
        <row r="282">
          <cell r="F282">
            <v>0</v>
          </cell>
        </row>
        <row r="283">
          <cell r="F283">
            <v>0</v>
          </cell>
        </row>
        <row r="284">
          <cell r="F284">
            <v>0</v>
          </cell>
        </row>
        <row r="285">
          <cell r="F285">
            <v>0</v>
          </cell>
        </row>
        <row r="286">
          <cell r="F286">
            <v>0</v>
          </cell>
        </row>
        <row r="287">
          <cell r="F287">
            <v>0</v>
          </cell>
        </row>
        <row r="288">
          <cell r="F288">
            <v>0</v>
          </cell>
        </row>
        <row r="289">
          <cell r="F289">
            <v>0</v>
          </cell>
        </row>
        <row r="290">
          <cell r="F290">
            <v>0</v>
          </cell>
        </row>
        <row r="291">
          <cell r="F291">
            <v>0</v>
          </cell>
        </row>
        <row r="292">
          <cell r="F292">
            <v>0</v>
          </cell>
        </row>
        <row r="293">
          <cell r="F293">
            <v>0</v>
          </cell>
        </row>
        <row r="294">
          <cell r="F294">
            <v>0</v>
          </cell>
        </row>
        <row r="295">
          <cell r="F295">
            <v>0</v>
          </cell>
        </row>
        <row r="296">
          <cell r="F296">
            <v>0</v>
          </cell>
        </row>
        <row r="297">
          <cell r="F297">
            <v>0</v>
          </cell>
        </row>
        <row r="298">
          <cell r="F298">
            <v>0</v>
          </cell>
        </row>
        <row r="299">
          <cell r="F299">
            <v>0</v>
          </cell>
        </row>
        <row r="300">
          <cell r="F300">
            <v>0</v>
          </cell>
        </row>
        <row r="301">
          <cell r="F301">
            <v>0</v>
          </cell>
        </row>
        <row r="302">
          <cell r="F302">
            <v>0</v>
          </cell>
        </row>
        <row r="303">
          <cell r="F303">
            <v>0</v>
          </cell>
        </row>
        <row r="304">
          <cell r="F304">
            <v>0</v>
          </cell>
        </row>
        <row r="305">
          <cell r="F305">
            <v>0</v>
          </cell>
        </row>
        <row r="306">
          <cell r="F306">
            <v>0</v>
          </cell>
        </row>
        <row r="307">
          <cell r="F307">
            <v>0</v>
          </cell>
        </row>
        <row r="308">
          <cell r="F308">
            <v>0</v>
          </cell>
        </row>
        <row r="309">
          <cell r="F309">
            <v>0</v>
          </cell>
        </row>
        <row r="310">
          <cell r="F310">
            <v>0</v>
          </cell>
        </row>
        <row r="311">
          <cell r="F311">
            <v>0</v>
          </cell>
        </row>
        <row r="312">
          <cell r="F312">
            <v>0</v>
          </cell>
        </row>
        <row r="313">
          <cell r="F313">
            <v>0</v>
          </cell>
        </row>
        <row r="314">
          <cell r="F314">
            <v>0</v>
          </cell>
        </row>
        <row r="315">
          <cell r="F315">
            <v>0</v>
          </cell>
        </row>
        <row r="316">
          <cell r="F316">
            <v>0</v>
          </cell>
        </row>
        <row r="317">
          <cell r="F317">
            <v>0</v>
          </cell>
        </row>
        <row r="318">
          <cell r="F318">
            <v>0</v>
          </cell>
        </row>
        <row r="319">
          <cell r="F319">
            <v>0</v>
          </cell>
        </row>
        <row r="320">
          <cell r="F320">
            <v>0</v>
          </cell>
        </row>
        <row r="321">
          <cell r="F321">
            <v>0</v>
          </cell>
        </row>
        <row r="322">
          <cell r="F322">
            <v>0</v>
          </cell>
        </row>
        <row r="323">
          <cell r="F323">
            <v>0</v>
          </cell>
        </row>
        <row r="324">
          <cell r="F324">
            <v>0</v>
          </cell>
        </row>
        <row r="325">
          <cell r="F325">
            <v>0</v>
          </cell>
        </row>
        <row r="326">
          <cell r="F326">
            <v>0</v>
          </cell>
        </row>
        <row r="327">
          <cell r="F327">
            <v>0</v>
          </cell>
        </row>
        <row r="328">
          <cell r="F328">
            <v>0</v>
          </cell>
        </row>
        <row r="329">
          <cell r="F329">
            <v>0</v>
          </cell>
        </row>
        <row r="330">
          <cell r="F330">
            <v>0</v>
          </cell>
        </row>
        <row r="331">
          <cell r="F331">
            <v>0</v>
          </cell>
        </row>
        <row r="332">
          <cell r="F332">
            <v>0</v>
          </cell>
        </row>
        <row r="333">
          <cell r="F333">
            <v>0</v>
          </cell>
        </row>
        <row r="334">
          <cell r="F334">
            <v>0</v>
          </cell>
        </row>
        <row r="335">
          <cell r="F335">
            <v>0</v>
          </cell>
        </row>
        <row r="336">
          <cell r="F336">
            <v>0</v>
          </cell>
        </row>
        <row r="337">
          <cell r="F337">
            <v>0</v>
          </cell>
        </row>
        <row r="338">
          <cell r="F338">
            <v>0</v>
          </cell>
        </row>
        <row r="339">
          <cell r="F339">
            <v>0</v>
          </cell>
        </row>
        <row r="340">
          <cell r="F340">
            <v>0</v>
          </cell>
        </row>
        <row r="341">
          <cell r="F341">
            <v>0</v>
          </cell>
        </row>
        <row r="342">
          <cell r="F342">
            <v>0</v>
          </cell>
        </row>
        <row r="343">
          <cell r="F343">
            <v>0</v>
          </cell>
        </row>
        <row r="344">
          <cell r="F344">
            <v>0</v>
          </cell>
        </row>
        <row r="345">
          <cell r="F345">
            <v>0</v>
          </cell>
        </row>
        <row r="346">
          <cell r="F346">
            <v>0</v>
          </cell>
        </row>
        <row r="347">
          <cell r="F347">
            <v>0</v>
          </cell>
        </row>
        <row r="348">
          <cell r="F348">
            <v>0</v>
          </cell>
        </row>
        <row r="349">
          <cell r="F349">
            <v>0</v>
          </cell>
        </row>
        <row r="350">
          <cell r="F350">
            <v>0</v>
          </cell>
        </row>
        <row r="351">
          <cell r="F351">
            <v>0</v>
          </cell>
        </row>
        <row r="352">
          <cell r="F352">
            <v>0</v>
          </cell>
        </row>
        <row r="353">
          <cell r="F353">
            <v>0</v>
          </cell>
        </row>
        <row r="354">
          <cell r="F354">
            <v>0</v>
          </cell>
        </row>
        <row r="355">
          <cell r="F355">
            <v>0</v>
          </cell>
        </row>
        <row r="356">
          <cell r="F356">
            <v>0</v>
          </cell>
        </row>
        <row r="357">
          <cell r="F357">
            <v>0</v>
          </cell>
        </row>
        <row r="358">
          <cell r="F358">
            <v>0</v>
          </cell>
        </row>
        <row r="359">
          <cell r="F359">
            <v>0</v>
          </cell>
        </row>
        <row r="360">
          <cell r="F360">
            <v>0</v>
          </cell>
        </row>
        <row r="361">
          <cell r="F361">
            <v>0</v>
          </cell>
        </row>
        <row r="362">
          <cell r="F362">
            <v>0</v>
          </cell>
        </row>
        <row r="363">
          <cell r="F363">
            <v>0</v>
          </cell>
        </row>
        <row r="364">
          <cell r="F364">
            <v>0</v>
          </cell>
        </row>
        <row r="365">
          <cell r="F365">
            <v>0</v>
          </cell>
        </row>
        <row r="366">
          <cell r="F366">
            <v>0</v>
          </cell>
        </row>
        <row r="367">
          <cell r="F367">
            <v>0</v>
          </cell>
        </row>
      </sheetData>
      <sheetData sheetId="5"/>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39B35-AE8B-4140-A1FC-B74AB87D6883}">
  <sheetPr codeName="Hoja56">
    <tabColor rgb="FF7030A0"/>
  </sheetPr>
  <dimension ref="D3:O60"/>
  <sheetViews>
    <sheetView workbookViewId="0">
      <selection activeCell="B7" sqref="B7"/>
    </sheetView>
  </sheetViews>
  <sheetFormatPr baseColWidth="10" defaultRowHeight="15" x14ac:dyDescent="0.25"/>
  <cols>
    <col min="4" max="4" width="11.5703125" bestFit="1" customWidth="1"/>
    <col min="13" max="13" width="10.85546875" customWidth="1"/>
  </cols>
  <sheetData>
    <row r="3" spans="4:15" x14ac:dyDescent="0.25">
      <c r="E3" s="256" t="s">
        <v>57</v>
      </c>
      <c r="F3" s="256"/>
      <c r="G3" s="256"/>
      <c r="H3" s="256"/>
      <c r="I3" s="256"/>
      <c r="J3" s="256"/>
      <c r="K3" s="256"/>
      <c r="L3" s="256"/>
    </row>
    <row r="4" spans="4:15" x14ac:dyDescent="0.25">
      <c r="E4" s="256"/>
      <c r="F4" s="256"/>
      <c r="G4" s="256"/>
      <c r="H4" s="256"/>
      <c r="I4" s="256"/>
      <c r="J4" s="256"/>
      <c r="K4" s="256"/>
      <c r="L4" s="256"/>
    </row>
    <row r="5" spans="4:15" ht="18.75" customHeight="1" x14ac:dyDescent="0.25">
      <c r="E5" s="256"/>
      <c r="F5" s="256"/>
      <c r="G5" s="256"/>
      <c r="H5" s="256"/>
      <c r="I5" s="256"/>
      <c r="J5" s="256"/>
      <c r="K5" s="256"/>
      <c r="L5" s="256"/>
    </row>
    <row r="6" spans="4:15" hidden="1" x14ac:dyDescent="0.25">
      <c r="E6" s="256"/>
      <c r="F6" s="256"/>
      <c r="G6" s="256"/>
      <c r="H6" s="256"/>
      <c r="I6" s="256"/>
      <c r="J6" s="256"/>
      <c r="K6" s="256"/>
      <c r="L6" s="256"/>
    </row>
    <row r="8" spans="4:15" ht="18.75" customHeight="1" x14ac:dyDescent="0.3">
      <c r="D8" s="71" t="s">
        <v>55</v>
      </c>
      <c r="E8" s="262" t="s">
        <v>56</v>
      </c>
      <c r="F8" s="263"/>
      <c r="G8" s="263"/>
      <c r="H8" s="263"/>
      <c r="I8" s="263"/>
      <c r="J8" s="263"/>
      <c r="K8" s="263"/>
      <c r="L8" s="263"/>
      <c r="M8" s="263"/>
      <c r="N8" s="263"/>
      <c r="O8" s="263"/>
    </row>
    <row r="9" spans="4:15" ht="15" customHeight="1" x14ac:dyDescent="0.25">
      <c r="D9" s="252" t="s">
        <v>51</v>
      </c>
      <c r="E9" s="260" t="s">
        <v>102</v>
      </c>
      <c r="F9" s="261"/>
      <c r="G9" s="261"/>
      <c r="H9" s="261"/>
      <c r="I9" s="261"/>
      <c r="J9" s="261"/>
      <c r="K9" s="261"/>
      <c r="L9" s="261"/>
      <c r="M9" s="261"/>
      <c r="N9" s="261"/>
      <c r="O9" s="261"/>
    </row>
    <row r="10" spans="4:15" ht="51.75" customHeight="1" x14ac:dyDescent="0.25">
      <c r="D10" s="254"/>
      <c r="E10" s="260"/>
      <c r="F10" s="261"/>
      <c r="G10" s="261"/>
      <c r="H10" s="261"/>
      <c r="I10" s="261"/>
      <c r="J10" s="261"/>
      <c r="K10" s="261"/>
      <c r="L10" s="261"/>
      <c r="M10" s="261"/>
      <c r="N10" s="261"/>
      <c r="O10" s="261"/>
    </row>
    <row r="11" spans="4:15" ht="15" customHeight="1" x14ac:dyDescent="0.25">
      <c r="D11" s="257" t="s">
        <v>52</v>
      </c>
      <c r="E11" s="255" t="s">
        <v>105</v>
      </c>
      <c r="F11" s="255"/>
      <c r="G11" s="255"/>
      <c r="H11" s="255"/>
      <c r="I11" s="255"/>
      <c r="J11" s="255"/>
      <c r="K11" s="255"/>
      <c r="L11" s="255"/>
      <c r="M11" s="255"/>
      <c r="N11" s="255"/>
      <c r="O11" s="255"/>
    </row>
    <row r="12" spans="4:15" ht="15" customHeight="1" x14ac:dyDescent="0.25">
      <c r="D12" s="258"/>
      <c r="E12" s="255"/>
      <c r="F12" s="255"/>
      <c r="G12" s="255"/>
      <c r="H12" s="255"/>
      <c r="I12" s="255"/>
      <c r="J12" s="255"/>
      <c r="K12" s="255"/>
      <c r="L12" s="255"/>
      <c r="M12" s="255"/>
      <c r="N12" s="255"/>
      <c r="O12" s="255"/>
    </row>
    <row r="13" spans="4:15" ht="51.75" customHeight="1" x14ac:dyDescent="0.25">
      <c r="D13" s="259"/>
      <c r="E13" s="255"/>
      <c r="F13" s="255"/>
      <c r="G13" s="255"/>
      <c r="H13" s="255"/>
      <c r="I13" s="255"/>
      <c r="J13" s="255"/>
      <c r="K13" s="255"/>
      <c r="L13" s="255"/>
      <c r="M13" s="255"/>
      <c r="N13" s="255"/>
      <c r="O13" s="255"/>
    </row>
    <row r="14" spans="4:15" ht="15" customHeight="1" x14ac:dyDescent="0.25">
      <c r="D14" s="252" t="s">
        <v>53</v>
      </c>
      <c r="E14" s="255" t="s">
        <v>100</v>
      </c>
      <c r="F14" s="255"/>
      <c r="G14" s="255"/>
      <c r="H14" s="255"/>
      <c r="I14" s="255"/>
      <c r="J14" s="255"/>
      <c r="K14" s="255"/>
      <c r="L14" s="255"/>
      <c r="M14" s="255"/>
      <c r="N14" s="255"/>
      <c r="O14" s="255"/>
    </row>
    <row r="15" spans="4:15" ht="15" customHeight="1" x14ac:dyDescent="0.25">
      <c r="D15" s="253"/>
      <c r="E15" s="255"/>
      <c r="F15" s="255"/>
      <c r="G15" s="255"/>
      <c r="H15" s="255"/>
      <c r="I15" s="255"/>
      <c r="J15" s="255"/>
      <c r="K15" s="255"/>
      <c r="L15" s="255"/>
      <c r="M15" s="255"/>
      <c r="N15" s="255"/>
      <c r="O15" s="255"/>
    </row>
    <row r="16" spans="4:15" ht="27.75" customHeight="1" x14ac:dyDescent="0.25">
      <c r="D16" s="254"/>
      <c r="E16" s="255"/>
      <c r="F16" s="255"/>
      <c r="G16" s="255"/>
      <c r="H16" s="255"/>
      <c r="I16" s="255"/>
      <c r="J16" s="255"/>
      <c r="K16" s="255"/>
      <c r="L16" s="255"/>
      <c r="M16" s="255"/>
      <c r="N16" s="255"/>
      <c r="O16" s="255"/>
    </row>
    <row r="17" spans="4:15" ht="15" customHeight="1" x14ac:dyDescent="0.25">
      <c r="D17" s="252" t="s">
        <v>54</v>
      </c>
      <c r="E17" s="255" t="s">
        <v>103</v>
      </c>
      <c r="F17" s="255"/>
      <c r="G17" s="255"/>
      <c r="H17" s="255"/>
      <c r="I17" s="255"/>
      <c r="J17" s="255"/>
      <c r="K17" s="255"/>
      <c r="L17" s="255"/>
      <c r="M17" s="255"/>
      <c r="N17" s="255"/>
      <c r="O17" s="255"/>
    </row>
    <row r="18" spans="4:15" ht="15" customHeight="1" x14ac:dyDescent="0.25">
      <c r="D18" s="253"/>
      <c r="E18" s="255"/>
      <c r="F18" s="255"/>
      <c r="G18" s="255"/>
      <c r="H18" s="255"/>
      <c r="I18" s="255"/>
      <c r="J18" s="255"/>
      <c r="K18" s="255"/>
      <c r="L18" s="255"/>
      <c r="M18" s="255"/>
      <c r="N18" s="255"/>
      <c r="O18" s="255"/>
    </row>
    <row r="19" spans="4:15" ht="15" customHeight="1" x14ac:dyDescent="0.25">
      <c r="D19" s="253"/>
      <c r="E19" s="255"/>
      <c r="F19" s="255"/>
      <c r="G19" s="255"/>
      <c r="H19" s="255"/>
      <c r="I19" s="255"/>
      <c r="J19" s="255"/>
      <c r="K19" s="255"/>
      <c r="L19" s="255"/>
      <c r="M19" s="255"/>
      <c r="N19" s="255"/>
      <c r="O19" s="255"/>
    </row>
    <row r="20" spans="4:15" ht="30.75" customHeight="1" x14ac:dyDescent="0.25">
      <c r="D20" s="254"/>
      <c r="E20" s="255"/>
      <c r="F20" s="255"/>
      <c r="G20" s="255"/>
      <c r="H20" s="255"/>
      <c r="I20" s="255"/>
      <c r="J20" s="255"/>
      <c r="K20" s="255"/>
      <c r="L20" s="255"/>
      <c r="M20" s="255"/>
      <c r="N20" s="255"/>
      <c r="O20" s="255"/>
    </row>
    <row r="21" spans="4:15" x14ac:dyDescent="0.25">
      <c r="D21" s="252" t="s">
        <v>98</v>
      </c>
      <c r="E21" s="255" t="s">
        <v>104</v>
      </c>
      <c r="F21" s="255"/>
      <c r="G21" s="255"/>
      <c r="H21" s="255"/>
      <c r="I21" s="255"/>
      <c r="J21" s="255"/>
      <c r="K21" s="255"/>
      <c r="L21" s="255"/>
      <c r="M21" s="255"/>
      <c r="N21" s="255"/>
      <c r="O21" s="255"/>
    </row>
    <row r="22" spans="4:15" x14ac:dyDescent="0.25">
      <c r="D22" s="253"/>
      <c r="E22" s="255"/>
      <c r="F22" s="255"/>
      <c r="G22" s="255"/>
      <c r="H22" s="255"/>
      <c r="I22" s="255"/>
      <c r="J22" s="255"/>
      <c r="K22" s="255"/>
      <c r="L22" s="255"/>
      <c r="M22" s="255"/>
      <c r="N22" s="255"/>
      <c r="O22" s="255"/>
    </row>
    <row r="23" spans="4:15" x14ac:dyDescent="0.25">
      <c r="D23" s="253"/>
      <c r="E23" s="255"/>
      <c r="F23" s="255"/>
      <c r="G23" s="255"/>
      <c r="H23" s="255"/>
      <c r="I23" s="255"/>
      <c r="J23" s="255"/>
      <c r="K23" s="255"/>
      <c r="L23" s="255"/>
      <c r="M23" s="255"/>
      <c r="N23" s="255"/>
      <c r="O23" s="255"/>
    </row>
    <row r="24" spans="4:15" x14ac:dyDescent="0.25">
      <c r="D24" s="254"/>
      <c r="E24" s="255"/>
      <c r="F24" s="255"/>
      <c r="G24" s="255"/>
      <c r="H24" s="255"/>
      <c r="I24" s="255"/>
      <c r="J24" s="255"/>
      <c r="K24" s="255"/>
      <c r="L24" s="255"/>
      <c r="M24" s="255"/>
      <c r="N24" s="255"/>
      <c r="O24" s="255"/>
    </row>
    <row r="25" spans="4:15" x14ac:dyDescent="0.25">
      <c r="D25" s="252">
        <v>6</v>
      </c>
      <c r="E25" s="255" t="s">
        <v>112</v>
      </c>
      <c r="F25" s="255"/>
      <c r="G25" s="255"/>
      <c r="H25" s="255"/>
      <c r="I25" s="255"/>
      <c r="J25" s="255"/>
      <c r="K25" s="255"/>
      <c r="L25" s="255"/>
      <c r="M25" s="255"/>
      <c r="N25" s="255"/>
      <c r="O25" s="255"/>
    </row>
    <row r="26" spans="4:15" x14ac:dyDescent="0.25">
      <c r="D26" s="253"/>
      <c r="E26" s="255"/>
      <c r="F26" s="255"/>
      <c r="G26" s="255"/>
      <c r="H26" s="255"/>
      <c r="I26" s="255"/>
      <c r="J26" s="255"/>
      <c r="K26" s="255"/>
      <c r="L26" s="255"/>
      <c r="M26" s="255"/>
      <c r="N26" s="255"/>
      <c r="O26" s="255"/>
    </row>
    <row r="27" spans="4:15" x14ac:dyDescent="0.25">
      <c r="D27" s="253"/>
      <c r="E27" s="255"/>
      <c r="F27" s="255"/>
      <c r="G27" s="255"/>
      <c r="H27" s="255"/>
      <c r="I27" s="255"/>
      <c r="J27" s="255"/>
      <c r="K27" s="255"/>
      <c r="L27" s="255"/>
      <c r="M27" s="255"/>
      <c r="N27" s="255"/>
      <c r="O27" s="255"/>
    </row>
    <row r="28" spans="4:15" x14ac:dyDescent="0.25">
      <c r="D28" s="254"/>
      <c r="E28" s="255"/>
      <c r="F28" s="255"/>
      <c r="G28" s="255"/>
      <c r="H28" s="255"/>
      <c r="I28" s="255"/>
      <c r="J28" s="255"/>
      <c r="K28" s="255"/>
      <c r="L28" s="255"/>
      <c r="M28" s="255"/>
      <c r="N28" s="255"/>
      <c r="O28" s="255"/>
    </row>
    <row r="29" spans="4:15" x14ac:dyDescent="0.25">
      <c r="D29" s="252">
        <v>7</v>
      </c>
      <c r="E29" s="255" t="s">
        <v>106</v>
      </c>
      <c r="F29" s="255"/>
      <c r="G29" s="255"/>
      <c r="H29" s="255"/>
      <c r="I29" s="255"/>
      <c r="J29" s="255"/>
      <c r="K29" s="255"/>
      <c r="L29" s="255"/>
      <c r="M29" s="255"/>
      <c r="N29" s="255"/>
      <c r="O29" s="255"/>
    </row>
    <row r="30" spans="4:15" x14ac:dyDescent="0.25">
      <c r="D30" s="253"/>
      <c r="E30" s="255"/>
      <c r="F30" s="255"/>
      <c r="G30" s="255"/>
      <c r="H30" s="255"/>
      <c r="I30" s="255"/>
      <c r="J30" s="255"/>
      <c r="K30" s="255"/>
      <c r="L30" s="255"/>
      <c r="M30" s="255"/>
      <c r="N30" s="255"/>
      <c r="O30" s="255"/>
    </row>
    <row r="31" spans="4:15" x14ac:dyDescent="0.25">
      <c r="D31" s="253"/>
      <c r="E31" s="255"/>
      <c r="F31" s="255"/>
      <c r="G31" s="255"/>
      <c r="H31" s="255"/>
      <c r="I31" s="255"/>
      <c r="J31" s="255"/>
      <c r="K31" s="255"/>
      <c r="L31" s="255"/>
      <c r="M31" s="255"/>
      <c r="N31" s="255"/>
      <c r="O31" s="255"/>
    </row>
    <row r="32" spans="4:15" x14ac:dyDescent="0.25">
      <c r="D32" s="254"/>
      <c r="E32" s="255"/>
      <c r="F32" s="255"/>
      <c r="G32" s="255"/>
      <c r="H32" s="255"/>
      <c r="I32" s="255"/>
      <c r="J32" s="255"/>
      <c r="K32" s="255"/>
      <c r="L32" s="255"/>
      <c r="M32" s="255"/>
      <c r="N32" s="255"/>
      <c r="O32" s="255"/>
    </row>
    <row r="33" spans="4:15" x14ac:dyDescent="0.25">
      <c r="D33" s="252">
        <v>8</v>
      </c>
      <c r="E33" s="255" t="s">
        <v>99</v>
      </c>
      <c r="F33" s="255"/>
      <c r="G33" s="255"/>
      <c r="H33" s="255"/>
      <c r="I33" s="255"/>
      <c r="J33" s="255"/>
      <c r="K33" s="255"/>
      <c r="L33" s="255"/>
      <c r="M33" s="255"/>
      <c r="N33" s="255"/>
      <c r="O33" s="255"/>
    </row>
    <row r="34" spans="4:15" x14ac:dyDescent="0.25">
      <c r="D34" s="253"/>
      <c r="E34" s="255"/>
      <c r="F34" s="255"/>
      <c r="G34" s="255"/>
      <c r="H34" s="255"/>
      <c r="I34" s="255"/>
      <c r="J34" s="255"/>
      <c r="K34" s="255"/>
      <c r="L34" s="255"/>
      <c r="M34" s="255"/>
      <c r="N34" s="255"/>
      <c r="O34" s="255"/>
    </row>
    <row r="35" spans="4:15" x14ac:dyDescent="0.25">
      <c r="D35" s="253"/>
      <c r="E35" s="255"/>
      <c r="F35" s="255"/>
      <c r="G35" s="255"/>
      <c r="H35" s="255"/>
      <c r="I35" s="255"/>
      <c r="J35" s="255"/>
      <c r="K35" s="255"/>
      <c r="L35" s="255"/>
      <c r="M35" s="255"/>
      <c r="N35" s="255"/>
      <c r="O35" s="255"/>
    </row>
    <row r="36" spans="4:15" x14ac:dyDescent="0.25">
      <c r="D36" s="254"/>
      <c r="E36" s="255"/>
      <c r="F36" s="255"/>
      <c r="G36" s="255"/>
      <c r="H36" s="255"/>
      <c r="I36" s="255"/>
      <c r="J36" s="255"/>
      <c r="K36" s="255"/>
      <c r="L36" s="255"/>
      <c r="M36" s="255"/>
      <c r="N36" s="255"/>
      <c r="O36" s="255"/>
    </row>
    <row r="37" spans="4:15" x14ac:dyDescent="0.25">
      <c r="D37" s="252">
        <v>9</v>
      </c>
      <c r="E37" s="255" t="s">
        <v>101</v>
      </c>
      <c r="F37" s="255"/>
      <c r="G37" s="255"/>
      <c r="H37" s="255"/>
      <c r="I37" s="255"/>
      <c r="J37" s="255"/>
      <c r="K37" s="255"/>
      <c r="L37" s="255"/>
      <c r="M37" s="255"/>
      <c r="N37" s="255"/>
      <c r="O37" s="255"/>
    </row>
    <row r="38" spans="4:15" x14ac:dyDescent="0.25">
      <c r="D38" s="253"/>
      <c r="E38" s="255"/>
      <c r="F38" s="255"/>
      <c r="G38" s="255"/>
      <c r="H38" s="255"/>
      <c r="I38" s="255"/>
      <c r="J38" s="255"/>
      <c r="K38" s="255"/>
      <c r="L38" s="255"/>
      <c r="M38" s="255"/>
      <c r="N38" s="255"/>
      <c r="O38" s="255"/>
    </row>
    <row r="39" spans="4:15" x14ac:dyDescent="0.25">
      <c r="D39" s="253"/>
      <c r="E39" s="255"/>
      <c r="F39" s="255"/>
      <c r="G39" s="255"/>
      <c r="H39" s="255"/>
      <c r="I39" s="255"/>
      <c r="J39" s="255"/>
      <c r="K39" s="255"/>
      <c r="L39" s="255"/>
      <c r="M39" s="255"/>
      <c r="N39" s="255"/>
      <c r="O39" s="255"/>
    </row>
    <row r="40" spans="4:15" x14ac:dyDescent="0.25">
      <c r="D40" s="254"/>
      <c r="E40" s="255"/>
      <c r="F40" s="255"/>
      <c r="G40" s="255"/>
      <c r="H40" s="255"/>
      <c r="I40" s="255"/>
      <c r="J40" s="255"/>
      <c r="K40" s="255"/>
      <c r="L40" s="255"/>
      <c r="M40" s="255"/>
      <c r="N40" s="255"/>
      <c r="O40" s="255"/>
    </row>
    <row r="41" spans="4:15" x14ac:dyDescent="0.25">
      <c r="D41" s="252">
        <v>10</v>
      </c>
      <c r="E41" s="255" t="s">
        <v>107</v>
      </c>
      <c r="F41" s="255"/>
      <c r="G41" s="255"/>
      <c r="H41" s="255"/>
      <c r="I41" s="255"/>
      <c r="J41" s="255"/>
      <c r="K41" s="255"/>
      <c r="L41" s="255"/>
      <c r="M41" s="255"/>
      <c r="N41" s="255"/>
      <c r="O41" s="255"/>
    </row>
    <row r="42" spans="4:15" x14ac:dyDescent="0.25">
      <c r="D42" s="253"/>
      <c r="E42" s="255"/>
      <c r="F42" s="255"/>
      <c r="G42" s="255"/>
      <c r="H42" s="255"/>
      <c r="I42" s="255"/>
      <c r="J42" s="255"/>
      <c r="K42" s="255"/>
      <c r="L42" s="255"/>
      <c r="M42" s="255"/>
      <c r="N42" s="255"/>
      <c r="O42" s="255"/>
    </row>
    <row r="43" spans="4:15" x14ac:dyDescent="0.25">
      <c r="D43" s="253"/>
      <c r="E43" s="255"/>
      <c r="F43" s="255"/>
      <c r="G43" s="255"/>
      <c r="H43" s="255"/>
      <c r="I43" s="255"/>
      <c r="J43" s="255"/>
      <c r="K43" s="255"/>
      <c r="L43" s="255"/>
      <c r="M43" s="255"/>
      <c r="N43" s="255"/>
      <c r="O43" s="255"/>
    </row>
    <row r="44" spans="4:15" x14ac:dyDescent="0.25">
      <c r="D44" s="254"/>
      <c r="E44" s="255"/>
      <c r="F44" s="255"/>
      <c r="G44" s="255"/>
      <c r="H44" s="255"/>
      <c r="I44" s="255"/>
      <c r="J44" s="255"/>
      <c r="K44" s="255"/>
      <c r="L44" s="255"/>
      <c r="M44" s="255"/>
      <c r="N44" s="255"/>
      <c r="O44" s="255"/>
    </row>
    <row r="45" spans="4:15" x14ac:dyDescent="0.25">
      <c r="D45" s="252">
        <v>11</v>
      </c>
      <c r="E45" s="255" t="s">
        <v>108</v>
      </c>
      <c r="F45" s="255"/>
      <c r="G45" s="255"/>
      <c r="H45" s="255"/>
      <c r="I45" s="255"/>
      <c r="J45" s="255"/>
      <c r="K45" s="255"/>
      <c r="L45" s="255"/>
      <c r="M45" s="255"/>
      <c r="N45" s="255"/>
      <c r="O45" s="255"/>
    </row>
    <row r="46" spans="4:15" x14ac:dyDescent="0.25">
      <c r="D46" s="253"/>
      <c r="E46" s="255"/>
      <c r="F46" s="255"/>
      <c r="G46" s="255"/>
      <c r="H46" s="255"/>
      <c r="I46" s="255"/>
      <c r="J46" s="255"/>
      <c r="K46" s="255"/>
      <c r="L46" s="255"/>
      <c r="M46" s="255"/>
      <c r="N46" s="255"/>
      <c r="O46" s="255"/>
    </row>
    <row r="47" spans="4:15" x14ac:dyDescent="0.25">
      <c r="D47" s="253"/>
      <c r="E47" s="255"/>
      <c r="F47" s="255"/>
      <c r="G47" s="255"/>
      <c r="H47" s="255"/>
      <c r="I47" s="255"/>
      <c r="J47" s="255"/>
      <c r="K47" s="255"/>
      <c r="L47" s="255"/>
      <c r="M47" s="255"/>
      <c r="N47" s="255"/>
      <c r="O47" s="255"/>
    </row>
    <row r="48" spans="4:15" x14ac:dyDescent="0.25">
      <c r="D48" s="254"/>
      <c r="E48" s="255"/>
      <c r="F48" s="255"/>
      <c r="G48" s="255"/>
      <c r="H48" s="255"/>
      <c r="I48" s="255"/>
      <c r="J48" s="255"/>
      <c r="K48" s="255"/>
      <c r="L48" s="255"/>
      <c r="M48" s="255"/>
      <c r="N48" s="255"/>
      <c r="O48" s="255"/>
    </row>
    <row r="49" spans="4:15" x14ac:dyDescent="0.25">
      <c r="D49" s="252">
        <v>12</v>
      </c>
      <c r="E49" s="255" t="s">
        <v>109</v>
      </c>
      <c r="F49" s="255"/>
      <c r="G49" s="255"/>
      <c r="H49" s="255"/>
      <c r="I49" s="255"/>
      <c r="J49" s="255"/>
      <c r="K49" s="255"/>
      <c r="L49" s="255"/>
      <c r="M49" s="255"/>
      <c r="N49" s="255"/>
      <c r="O49" s="255"/>
    </row>
    <row r="50" spans="4:15" x14ac:dyDescent="0.25">
      <c r="D50" s="253"/>
      <c r="E50" s="255"/>
      <c r="F50" s="255"/>
      <c r="G50" s="255"/>
      <c r="H50" s="255"/>
      <c r="I50" s="255"/>
      <c r="J50" s="255"/>
      <c r="K50" s="255"/>
      <c r="L50" s="255"/>
      <c r="M50" s="255"/>
      <c r="N50" s="255"/>
      <c r="O50" s="255"/>
    </row>
    <row r="51" spans="4:15" x14ac:dyDescent="0.25">
      <c r="D51" s="253"/>
      <c r="E51" s="255"/>
      <c r="F51" s="255"/>
      <c r="G51" s="255"/>
      <c r="H51" s="255"/>
      <c r="I51" s="255"/>
      <c r="J51" s="255"/>
      <c r="K51" s="255"/>
      <c r="L51" s="255"/>
      <c r="M51" s="255"/>
      <c r="N51" s="255"/>
      <c r="O51" s="255"/>
    </row>
    <row r="52" spans="4:15" x14ac:dyDescent="0.25">
      <c r="D52" s="254"/>
      <c r="E52" s="255"/>
      <c r="F52" s="255"/>
      <c r="G52" s="255"/>
      <c r="H52" s="255"/>
      <c r="I52" s="255"/>
      <c r="J52" s="255"/>
      <c r="K52" s="255"/>
      <c r="L52" s="255"/>
      <c r="M52" s="255"/>
      <c r="N52" s="255"/>
      <c r="O52" s="255"/>
    </row>
    <row r="53" spans="4:15" x14ac:dyDescent="0.25">
      <c r="D53" s="252">
        <v>13</v>
      </c>
      <c r="E53" s="255" t="s">
        <v>111</v>
      </c>
      <c r="F53" s="255"/>
      <c r="G53" s="255"/>
      <c r="H53" s="255"/>
      <c r="I53" s="255"/>
      <c r="J53" s="255"/>
      <c r="K53" s="255"/>
      <c r="L53" s="255"/>
      <c r="M53" s="255"/>
      <c r="N53" s="255"/>
      <c r="O53" s="255"/>
    </row>
    <row r="54" spans="4:15" x14ac:dyDescent="0.25">
      <c r="D54" s="253"/>
      <c r="E54" s="255"/>
      <c r="F54" s="255"/>
      <c r="G54" s="255"/>
      <c r="H54" s="255"/>
      <c r="I54" s="255"/>
      <c r="J54" s="255"/>
      <c r="K54" s="255"/>
      <c r="L54" s="255"/>
      <c r="M54" s="255"/>
      <c r="N54" s="255"/>
      <c r="O54" s="255"/>
    </row>
    <row r="55" spans="4:15" x14ac:dyDescent="0.25">
      <c r="D55" s="253"/>
      <c r="E55" s="255"/>
      <c r="F55" s="255"/>
      <c r="G55" s="255"/>
      <c r="H55" s="255"/>
      <c r="I55" s="255"/>
      <c r="J55" s="255"/>
      <c r="K55" s="255"/>
      <c r="L55" s="255"/>
      <c r="M55" s="255"/>
      <c r="N55" s="255"/>
      <c r="O55" s="255"/>
    </row>
    <row r="56" spans="4:15" ht="38.25" customHeight="1" x14ac:dyDescent="0.25">
      <c r="D56" s="254"/>
      <c r="E56" s="255"/>
      <c r="F56" s="255"/>
      <c r="G56" s="255"/>
      <c r="H56" s="255"/>
      <c r="I56" s="255"/>
      <c r="J56" s="255"/>
      <c r="K56" s="255"/>
      <c r="L56" s="255"/>
      <c r="M56" s="255"/>
      <c r="N56" s="255"/>
      <c r="O56" s="255"/>
    </row>
    <row r="57" spans="4:15" x14ac:dyDescent="0.25">
      <c r="D57" s="252">
        <v>14</v>
      </c>
      <c r="E57" s="255" t="s">
        <v>110</v>
      </c>
      <c r="F57" s="255"/>
      <c r="G57" s="255"/>
      <c r="H57" s="255"/>
      <c r="I57" s="255"/>
      <c r="J57" s="255"/>
      <c r="K57" s="255"/>
      <c r="L57" s="255"/>
      <c r="M57" s="255"/>
      <c r="N57" s="255"/>
      <c r="O57" s="255"/>
    </row>
    <row r="58" spans="4:15" x14ac:dyDescent="0.25">
      <c r="D58" s="253"/>
      <c r="E58" s="255"/>
      <c r="F58" s="255"/>
      <c r="G58" s="255"/>
      <c r="H58" s="255"/>
      <c r="I58" s="255"/>
      <c r="J58" s="255"/>
      <c r="K58" s="255"/>
      <c r="L58" s="255"/>
      <c r="M58" s="255"/>
      <c r="N58" s="255"/>
      <c r="O58" s="255"/>
    </row>
    <row r="59" spans="4:15" x14ac:dyDescent="0.25">
      <c r="D59" s="253"/>
      <c r="E59" s="255"/>
      <c r="F59" s="255"/>
      <c r="G59" s="255"/>
      <c r="H59" s="255"/>
      <c r="I59" s="255"/>
      <c r="J59" s="255"/>
      <c r="K59" s="255"/>
      <c r="L59" s="255"/>
      <c r="M59" s="255"/>
      <c r="N59" s="255"/>
      <c r="O59" s="255"/>
    </row>
    <row r="60" spans="4:15" x14ac:dyDescent="0.25">
      <c r="D60" s="254"/>
      <c r="E60" s="255"/>
      <c r="F60" s="255"/>
      <c r="G60" s="255"/>
      <c r="H60" s="255"/>
      <c r="I60" s="255"/>
      <c r="J60" s="255"/>
      <c r="K60" s="255"/>
      <c r="L60" s="255"/>
      <c r="M60" s="255"/>
      <c r="N60" s="255"/>
      <c r="O60" s="255"/>
    </row>
  </sheetData>
  <sheetProtection algorithmName="SHA-512" hashValue="9BF2+YZrSKW498GLG+qnXqLLT1iyTOHT26xaBKjXn19hDOr49dBg3oFAbZmGFR61gDXPLcgA5OMEDFjZgcMk1w==" saltValue="KrOddzTfIEeH5hu38NXiHw==" spinCount="100000" sheet="1" formatCells="0" formatColumns="0" formatRows="0" insertColumns="0" insertRows="0" insertHyperlinks="0" deleteColumns="0" deleteRows="0" sort="0" autoFilter="0" pivotTables="0"/>
  <mergeCells count="30">
    <mergeCell ref="D53:D56"/>
    <mergeCell ref="E53:O56"/>
    <mergeCell ref="D57:D60"/>
    <mergeCell ref="E57:O60"/>
    <mergeCell ref="D41:D44"/>
    <mergeCell ref="E41:O44"/>
    <mergeCell ref="D45:D48"/>
    <mergeCell ref="E45:O48"/>
    <mergeCell ref="D49:D52"/>
    <mergeCell ref="E49:O52"/>
    <mergeCell ref="E3:L6"/>
    <mergeCell ref="D17:D20"/>
    <mergeCell ref="D9:D10"/>
    <mergeCell ref="D11:D13"/>
    <mergeCell ref="D14:D16"/>
    <mergeCell ref="E9:O10"/>
    <mergeCell ref="E11:O13"/>
    <mergeCell ref="E14:O16"/>
    <mergeCell ref="E17:O20"/>
    <mergeCell ref="E8:O8"/>
    <mergeCell ref="D33:D36"/>
    <mergeCell ref="E33:O36"/>
    <mergeCell ref="D37:D40"/>
    <mergeCell ref="E37:O40"/>
    <mergeCell ref="D21:D24"/>
    <mergeCell ref="E21:O24"/>
    <mergeCell ref="D25:D28"/>
    <mergeCell ref="E25:O28"/>
    <mergeCell ref="D29:D32"/>
    <mergeCell ref="E29: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B1:W85"/>
  <sheetViews>
    <sheetView zoomScaleNormal="100" workbookViewId="0">
      <selection activeCell="D14" sqref="D14"/>
    </sheetView>
  </sheetViews>
  <sheetFormatPr baseColWidth="10" defaultRowHeight="15" x14ac:dyDescent="0.25"/>
  <cols>
    <col min="1" max="1" width="5.7109375" customWidth="1"/>
    <col min="3" max="3" width="12" hidden="1" customWidth="1"/>
    <col min="4" max="4" width="15.85546875" bestFit="1" customWidth="1"/>
    <col min="5" max="5" width="19.7109375" customWidth="1"/>
    <col min="6" max="6" width="13.5703125" customWidth="1"/>
    <col min="7" max="7" width="17" customWidth="1"/>
    <col min="8" max="8" width="16" customWidth="1"/>
    <col min="9" max="9" width="18.42578125" customWidth="1"/>
  </cols>
  <sheetData>
    <row r="1" spans="2:23" x14ac:dyDescent="0.25">
      <c r="C1" s="264" t="s">
        <v>0</v>
      </c>
      <c r="D1" s="264"/>
      <c r="E1" s="264"/>
      <c r="F1" s="264"/>
      <c r="G1" s="264"/>
    </row>
    <row r="2" spans="2:23" x14ac:dyDescent="0.25">
      <c r="C2" s="264"/>
      <c r="D2" s="264"/>
      <c r="E2" s="264"/>
      <c r="F2" s="264"/>
      <c r="G2" s="264"/>
      <c r="I2" s="1"/>
    </row>
    <row r="3" spans="2:23" ht="24.75" x14ac:dyDescent="0.5">
      <c r="C3" s="264"/>
      <c r="D3" s="264"/>
      <c r="E3" s="264"/>
      <c r="F3" s="2"/>
      <c r="G3" s="2"/>
      <c r="I3" s="1"/>
    </row>
    <row r="4" spans="2:23" x14ac:dyDescent="0.25">
      <c r="F4" s="3"/>
      <c r="H4" s="4"/>
      <c r="I4" s="4"/>
      <c r="J4" s="4"/>
    </row>
    <row r="5" spans="2:23" ht="37.5" x14ac:dyDescent="0.25">
      <c r="B5" s="128" t="s">
        <v>1</v>
      </c>
      <c r="C5" s="129" t="s">
        <v>2</v>
      </c>
      <c r="D5" s="129" t="s">
        <v>2</v>
      </c>
      <c r="E5" s="133" t="s">
        <v>40</v>
      </c>
      <c r="F5" s="130" t="s">
        <v>4</v>
      </c>
      <c r="G5" s="131" t="s">
        <v>7</v>
      </c>
      <c r="H5" s="132" t="s">
        <v>22</v>
      </c>
      <c r="I5" s="135" t="s">
        <v>179</v>
      </c>
      <c r="J5" s="4"/>
      <c r="K5" s="4"/>
      <c r="L5" s="4"/>
      <c r="M5" s="4"/>
      <c r="N5" s="4"/>
      <c r="O5" s="4"/>
      <c r="P5" s="4"/>
      <c r="Q5" s="4"/>
      <c r="R5" s="4"/>
      <c r="S5" s="4"/>
      <c r="T5" s="4"/>
      <c r="U5" s="4"/>
      <c r="V5" s="4"/>
      <c r="W5" s="4"/>
    </row>
    <row r="6" spans="2:23" ht="15" customHeight="1" x14ac:dyDescent="0.25">
      <c r="B6" s="19">
        <v>0</v>
      </c>
      <c r="C6" s="49"/>
      <c r="D6" s="49">
        <f ca="1">VLOOKUP(B6,'POR EMPLEADO'!L7:M58,2,FALSE)</f>
        <v>78211</v>
      </c>
      <c r="E6" s="40">
        <f ca="1">VLOOKUP(B6,'POR EMPLEADO'!N7:O58,2,FALSE)</f>
        <v>53211</v>
      </c>
      <c r="F6" s="28">
        <f ca="1">+D6-E6</f>
        <v>25000</v>
      </c>
      <c r="G6" s="61">
        <f ca="1">VLOOKUP(B6,'POR EMPLEADO'!P5:Q58,2,FALSE)</f>
        <v>25000</v>
      </c>
      <c r="H6" s="134">
        <f ca="1">+G6-I6</f>
        <v>0</v>
      </c>
      <c r="I6" s="136">
        <f>'SALDOS INICIALES'!J46</f>
        <v>25000</v>
      </c>
      <c r="J6" s="4"/>
      <c r="K6" s="4"/>
      <c r="L6" s="4"/>
      <c r="M6" s="4"/>
      <c r="N6" s="4"/>
      <c r="O6" s="4"/>
      <c r="P6" s="4"/>
      <c r="Q6" s="4"/>
      <c r="R6" s="4"/>
      <c r="S6" s="4"/>
      <c r="T6" s="4"/>
      <c r="U6" s="4"/>
      <c r="V6" s="4"/>
    </row>
    <row r="7" spans="2:23" ht="15" customHeight="1" x14ac:dyDescent="0.25">
      <c r="B7" s="19">
        <v>1</v>
      </c>
      <c r="C7" s="49"/>
      <c r="D7" s="49">
        <f ca="1">VLOOKUP(B7,'POR EMPLEADO'!L8:M59,2,FALSE)</f>
        <v>16000</v>
      </c>
      <c r="E7" s="40">
        <f ca="1">VLOOKUP(B7,'POR EMPLEADO'!N8:O59,2,FALSE)</f>
        <v>7200</v>
      </c>
      <c r="F7" s="28">
        <f ca="1">+D7-E7</f>
        <v>8800</v>
      </c>
      <c r="G7" s="61">
        <f ca="1">VLOOKUP(B7,'POR EMPLEADO'!P6:Q59,2,FALSE)</f>
        <v>8800</v>
      </c>
      <c r="H7" s="134">
        <f t="shared" ref="H7:H58" ca="1" si="0">+G7-I7</f>
        <v>0</v>
      </c>
      <c r="I7" s="136">
        <f>'01 SEMANA '!J24</f>
        <v>8800</v>
      </c>
      <c r="J7" s="4"/>
      <c r="K7" s="4"/>
      <c r="L7" s="4"/>
      <c r="M7" s="4"/>
      <c r="N7" s="4"/>
      <c r="O7" s="4"/>
      <c r="P7" s="4"/>
      <c r="Q7" s="4"/>
      <c r="R7" s="4"/>
      <c r="S7" s="4"/>
      <c r="T7" s="4"/>
      <c r="U7" s="4"/>
      <c r="V7" s="4"/>
    </row>
    <row r="8" spans="2:23" x14ac:dyDescent="0.25">
      <c r="B8" s="6">
        <v>2</v>
      </c>
      <c r="C8" s="49"/>
      <c r="D8" s="49">
        <f ca="1">VLOOKUP(B8,'POR EMPLEADO'!L9:M60,2,FALSE)</f>
        <v>5000</v>
      </c>
      <c r="E8" s="40">
        <f ca="1">VLOOKUP(B8,'POR EMPLEADO'!N9:O60,2,FALSE)</f>
        <v>2500</v>
      </c>
      <c r="F8" s="28">
        <f t="shared" ref="F8:F25" ca="1" si="1">+D8-E8</f>
        <v>2500</v>
      </c>
      <c r="G8" s="61">
        <f ca="1">VLOOKUP(B8,'POR EMPLEADO'!P8:Q60,2,FALSE)</f>
        <v>2500</v>
      </c>
      <c r="H8" s="134">
        <f t="shared" ca="1" si="0"/>
        <v>0</v>
      </c>
      <c r="I8" s="136">
        <f>'02 SEMANA'!J24</f>
        <v>2500</v>
      </c>
      <c r="J8" s="4"/>
      <c r="K8" s="4"/>
      <c r="L8" s="4"/>
      <c r="M8" s="4"/>
      <c r="N8" s="4"/>
      <c r="O8" s="4"/>
      <c r="P8" s="4"/>
      <c r="Q8" s="4"/>
      <c r="R8" s="4"/>
      <c r="S8" s="4"/>
      <c r="T8" s="4"/>
      <c r="U8" s="4"/>
      <c r="V8" s="4"/>
    </row>
    <row r="9" spans="2:23" x14ac:dyDescent="0.25">
      <c r="B9" s="6">
        <v>3</v>
      </c>
      <c r="C9" s="49"/>
      <c r="D9" s="49">
        <f ca="1">VLOOKUP(B9,'POR EMPLEADO'!L10:M61,2,FALSE)</f>
        <v>17500</v>
      </c>
      <c r="E9" s="40">
        <f ca="1">VLOOKUP(B9,'POR EMPLEADO'!N10:O61,2,FALSE)</f>
        <v>7000</v>
      </c>
      <c r="F9" s="28">
        <f t="shared" ca="1" si="1"/>
        <v>10500</v>
      </c>
      <c r="G9" s="61">
        <f ca="1">VLOOKUP(B9,'POR EMPLEADO'!P9:Q61,2,FALSE)</f>
        <v>10500</v>
      </c>
      <c r="H9" s="134">
        <f t="shared" ca="1" si="0"/>
        <v>0</v>
      </c>
      <c r="I9" s="136">
        <f>'03 SEMANA'!J25</f>
        <v>10500</v>
      </c>
      <c r="J9" s="4"/>
      <c r="K9" s="4"/>
      <c r="L9" s="4"/>
      <c r="M9" s="4"/>
      <c r="N9" s="4"/>
      <c r="O9" s="4"/>
      <c r="P9" s="4"/>
      <c r="Q9" s="4"/>
      <c r="R9" s="4"/>
      <c r="S9" s="4"/>
      <c r="T9" s="4"/>
      <c r="U9" s="4"/>
      <c r="V9" s="4"/>
    </row>
    <row r="10" spans="2:23" x14ac:dyDescent="0.25">
      <c r="B10" s="19">
        <v>4</v>
      </c>
      <c r="C10" s="49"/>
      <c r="D10" s="49">
        <f ca="1">VLOOKUP(B10,'POR EMPLEADO'!L11:M62,2,FALSE)</f>
        <v>14000</v>
      </c>
      <c r="E10" s="40">
        <f ca="1">VLOOKUP(B10,'POR EMPLEADO'!N11:O62,2,FALSE)</f>
        <v>4200</v>
      </c>
      <c r="F10" s="28">
        <f t="shared" ca="1" si="1"/>
        <v>9800</v>
      </c>
      <c r="G10" s="61">
        <f ca="1">VLOOKUP(B10,'POR EMPLEADO'!P10:Q62,2,FALSE)</f>
        <v>9800</v>
      </c>
      <c r="H10" s="134">
        <f t="shared" ca="1" si="0"/>
        <v>0</v>
      </c>
      <c r="I10" s="136">
        <f>'04 SEMANA'!J24</f>
        <v>9800</v>
      </c>
      <c r="J10" s="4"/>
      <c r="K10" s="4"/>
      <c r="L10" s="4"/>
      <c r="M10" s="4"/>
      <c r="N10" s="4"/>
      <c r="O10" s="4"/>
      <c r="P10" s="4"/>
      <c r="Q10" s="4"/>
      <c r="R10" s="4"/>
      <c r="S10" s="4"/>
      <c r="T10" s="4"/>
      <c r="U10" s="4"/>
      <c r="V10" s="4"/>
    </row>
    <row r="11" spans="2:23" x14ac:dyDescent="0.25">
      <c r="B11" s="6">
        <v>5</v>
      </c>
      <c r="C11" s="49"/>
      <c r="D11" s="49">
        <f ca="1">VLOOKUP(B11,'POR EMPLEADO'!L12:M63,2,FALSE)</f>
        <v>20250</v>
      </c>
      <c r="E11" s="40">
        <f ca="1">VLOOKUP(B11,'POR EMPLEADO'!N12:O63,2,FALSE)</f>
        <v>4200</v>
      </c>
      <c r="F11" s="28">
        <f t="shared" ca="1" si="1"/>
        <v>16050</v>
      </c>
      <c r="G11" s="61">
        <f ca="1">VLOOKUP(B11,'POR EMPLEADO'!P11:Q63,2,FALSE)</f>
        <v>16050</v>
      </c>
      <c r="H11" s="134">
        <f t="shared" ca="1" si="0"/>
        <v>0</v>
      </c>
      <c r="I11" s="136">
        <f>'05 SEMANA'!J24</f>
        <v>16050</v>
      </c>
      <c r="J11" s="4"/>
      <c r="K11" s="4"/>
      <c r="L11" s="4"/>
      <c r="M11" s="4"/>
      <c r="N11" s="4"/>
      <c r="O11" s="4"/>
      <c r="P11" s="4"/>
      <c r="Q11" s="4"/>
      <c r="R11" s="4"/>
      <c r="S11" s="4"/>
      <c r="T11" s="4"/>
      <c r="U11" s="4"/>
      <c r="V11" s="4"/>
    </row>
    <row r="12" spans="2:23" x14ac:dyDescent="0.25">
      <c r="B12" s="6">
        <v>6</v>
      </c>
      <c r="C12" s="49"/>
      <c r="D12" s="49">
        <f ca="1">VLOOKUP(B12,'POR EMPLEADO'!L13:M64,2,FALSE)</f>
        <v>8000</v>
      </c>
      <c r="E12" s="40">
        <f ca="1">VLOOKUP(B12,'POR EMPLEADO'!N13:O64,2,FALSE)</f>
        <v>800</v>
      </c>
      <c r="F12" s="28">
        <f t="shared" ca="1" si="1"/>
        <v>7200</v>
      </c>
      <c r="G12" s="61">
        <f ca="1">VLOOKUP(B12,'POR EMPLEADO'!P12:Q64,2,FALSE)</f>
        <v>7200</v>
      </c>
      <c r="H12" s="134">
        <f t="shared" ca="1" si="0"/>
        <v>0</v>
      </c>
      <c r="I12" s="136">
        <f>'06 SEMANA'!J24</f>
        <v>7200</v>
      </c>
      <c r="J12" s="4"/>
      <c r="K12" s="4"/>
      <c r="L12" s="4"/>
      <c r="M12" s="4"/>
      <c r="N12" s="4"/>
      <c r="O12" s="4"/>
      <c r="P12" s="4"/>
      <c r="Q12" s="4"/>
      <c r="R12" s="4"/>
      <c r="S12" s="4"/>
      <c r="T12" s="4"/>
      <c r="U12" s="4"/>
      <c r="V12" s="4"/>
    </row>
    <row r="13" spans="2:23" x14ac:dyDescent="0.25">
      <c r="B13" s="19">
        <v>7</v>
      </c>
      <c r="C13" s="49"/>
      <c r="D13" s="49">
        <f ca="1">VLOOKUP(B13,'POR EMPLEADO'!L14:M65,2,FALSE)</f>
        <v>3000</v>
      </c>
      <c r="E13" s="40">
        <f ca="1">VLOOKUP(B13,'POR EMPLEADO'!N14:O65,2,FALSE)</f>
        <v>0</v>
      </c>
      <c r="F13" s="28">
        <f t="shared" ca="1" si="1"/>
        <v>3000</v>
      </c>
      <c r="G13" s="61">
        <f ca="1">VLOOKUP(B13,'POR EMPLEADO'!P13:Q65,2,FALSE)</f>
        <v>3000</v>
      </c>
      <c r="H13" s="134">
        <f t="shared" ca="1" si="0"/>
        <v>0</v>
      </c>
      <c r="I13" s="136">
        <f>'07 SEMANA'!J24</f>
        <v>3000</v>
      </c>
      <c r="J13" s="4"/>
      <c r="K13" s="4"/>
      <c r="L13" s="4"/>
      <c r="M13" s="4"/>
      <c r="N13" s="4"/>
      <c r="O13" s="4"/>
      <c r="P13" s="4"/>
      <c r="Q13" s="4"/>
      <c r="R13" s="4"/>
      <c r="S13" s="4"/>
      <c r="T13" s="4"/>
      <c r="U13" s="4"/>
      <c r="V13" s="4"/>
    </row>
    <row r="14" spans="2:23" x14ac:dyDescent="0.25">
      <c r="B14" s="6">
        <v>8</v>
      </c>
      <c r="C14" s="49"/>
      <c r="D14" s="49">
        <f ca="1">VLOOKUP(B14,'POR EMPLEADO'!L15:M66,2,FALSE)</f>
        <v>9500</v>
      </c>
      <c r="E14" s="40">
        <f ca="1">VLOOKUP(B14,'POR EMPLEADO'!N15:O66,2,FALSE)</f>
        <v>0</v>
      </c>
      <c r="F14" s="28">
        <f t="shared" ca="1" si="1"/>
        <v>9500</v>
      </c>
      <c r="G14" s="61">
        <f ca="1">VLOOKUP(B14,'POR EMPLEADO'!P14:Q66,2,FALSE)</f>
        <v>9500</v>
      </c>
      <c r="H14" s="134">
        <f t="shared" ca="1" si="0"/>
        <v>0</v>
      </c>
      <c r="I14" s="136">
        <f>'08 SEMANA'!J24</f>
        <v>9500</v>
      </c>
      <c r="J14" s="4"/>
      <c r="K14" s="4"/>
      <c r="L14" s="4"/>
      <c r="M14" s="4"/>
      <c r="N14" s="4"/>
      <c r="O14" s="4"/>
      <c r="P14" s="4"/>
      <c r="Q14" s="4"/>
      <c r="R14" s="4"/>
      <c r="S14" s="4"/>
      <c r="T14" s="4"/>
      <c r="U14" s="4"/>
      <c r="V14" s="4"/>
    </row>
    <row r="15" spans="2:23" x14ac:dyDescent="0.25">
      <c r="B15" s="6">
        <v>9</v>
      </c>
      <c r="C15" s="49"/>
      <c r="D15" s="49">
        <f ca="1">VLOOKUP(B15,'POR EMPLEADO'!L16:M67,2,FALSE)</f>
        <v>0</v>
      </c>
      <c r="E15" s="40">
        <f ca="1">VLOOKUP(B15,'POR EMPLEADO'!N16:O67,2,FALSE)</f>
        <v>0</v>
      </c>
      <c r="F15" s="28">
        <f t="shared" ca="1" si="1"/>
        <v>0</v>
      </c>
      <c r="G15" s="61">
        <f ca="1">VLOOKUP(B15,'POR EMPLEADO'!P15:Q67,2,FALSE)</f>
        <v>0</v>
      </c>
      <c r="H15" s="134">
        <f t="shared" ca="1" si="0"/>
        <v>0</v>
      </c>
      <c r="I15" s="136">
        <f>'09 SEMANA'!J24</f>
        <v>0</v>
      </c>
      <c r="J15" s="4"/>
      <c r="K15" s="4"/>
      <c r="L15" s="4"/>
      <c r="M15" s="4"/>
      <c r="N15" s="4"/>
      <c r="O15" s="4"/>
      <c r="P15" s="4"/>
      <c r="Q15" s="4"/>
      <c r="R15" s="4"/>
      <c r="S15" s="4"/>
      <c r="T15" s="4"/>
      <c r="U15" s="4"/>
      <c r="V15" s="4"/>
    </row>
    <row r="16" spans="2:23" x14ac:dyDescent="0.25">
      <c r="B16" s="19">
        <v>10</v>
      </c>
      <c r="C16" s="49"/>
      <c r="D16" s="49">
        <f ca="1">VLOOKUP(B16,'POR EMPLEADO'!L17:M68,2,FALSE)</f>
        <v>0</v>
      </c>
      <c r="E16" s="40">
        <f ca="1">VLOOKUP(B16,'POR EMPLEADO'!N17:O68,2,FALSE)</f>
        <v>0</v>
      </c>
      <c r="F16" s="28">
        <f t="shared" ca="1" si="1"/>
        <v>0</v>
      </c>
      <c r="G16" s="61">
        <f ca="1">VLOOKUP(B16,'POR EMPLEADO'!P16:Q68,2,FALSE)</f>
        <v>0</v>
      </c>
      <c r="H16" s="134">
        <f t="shared" ca="1" si="0"/>
        <v>0</v>
      </c>
      <c r="I16" s="136">
        <f>'10 SEMANA '!J24</f>
        <v>0</v>
      </c>
      <c r="J16" s="4"/>
      <c r="K16" s="4"/>
      <c r="L16" s="4"/>
      <c r="M16" s="4"/>
      <c r="N16" s="4"/>
      <c r="O16" s="4"/>
      <c r="P16" s="4"/>
      <c r="Q16" s="4"/>
      <c r="R16" s="4"/>
      <c r="S16" s="4"/>
      <c r="T16" s="4"/>
      <c r="U16" s="4"/>
      <c r="V16" s="4"/>
    </row>
    <row r="17" spans="2:22" x14ac:dyDescent="0.25">
      <c r="B17" s="6">
        <v>11</v>
      </c>
      <c r="C17" s="49"/>
      <c r="D17" s="49">
        <f ca="1">VLOOKUP(B17,'POR EMPLEADO'!L18:M69,2,FALSE)</f>
        <v>0</v>
      </c>
      <c r="E17" s="40">
        <f ca="1">VLOOKUP(B17,'POR EMPLEADO'!N18:O69,2,FALSE)</f>
        <v>0</v>
      </c>
      <c r="F17" s="28">
        <f t="shared" ca="1" si="1"/>
        <v>0</v>
      </c>
      <c r="G17" s="61">
        <f ca="1">VLOOKUP(B17,'POR EMPLEADO'!P17:Q69,2,FALSE)</f>
        <v>0</v>
      </c>
      <c r="H17" s="134">
        <f t="shared" ca="1" si="0"/>
        <v>0</v>
      </c>
      <c r="I17" s="136">
        <f>'11 SEMANA'!J24</f>
        <v>0</v>
      </c>
      <c r="J17" s="4"/>
      <c r="K17" s="4"/>
      <c r="L17" s="4"/>
      <c r="M17" s="4"/>
      <c r="N17" s="4"/>
      <c r="O17" s="4"/>
      <c r="P17" s="4"/>
      <c r="Q17" s="4"/>
      <c r="R17" s="4"/>
      <c r="S17" s="4"/>
      <c r="T17" s="4"/>
      <c r="U17" s="4"/>
      <c r="V17" s="4"/>
    </row>
    <row r="18" spans="2:22" x14ac:dyDescent="0.25">
      <c r="B18" s="6">
        <v>12</v>
      </c>
      <c r="C18" s="49"/>
      <c r="D18" s="49">
        <f ca="1">VLOOKUP(B18,'POR EMPLEADO'!L19:M70,2,FALSE)</f>
        <v>0</v>
      </c>
      <c r="E18" s="40">
        <f ca="1">VLOOKUP(B18,'POR EMPLEADO'!N19:O70,2,FALSE)</f>
        <v>0</v>
      </c>
      <c r="F18" s="28">
        <f t="shared" ca="1" si="1"/>
        <v>0</v>
      </c>
      <c r="G18" s="61">
        <f ca="1">VLOOKUP(B18,'POR EMPLEADO'!P18:Q70,2,FALSE)</f>
        <v>0</v>
      </c>
      <c r="H18" s="134">
        <f t="shared" ca="1" si="0"/>
        <v>0</v>
      </c>
      <c r="I18" s="136">
        <f>'12 SEMANA'!J24</f>
        <v>0</v>
      </c>
      <c r="J18" s="4"/>
      <c r="K18" s="4"/>
      <c r="L18" s="4"/>
      <c r="M18" s="4"/>
      <c r="N18" s="4"/>
      <c r="O18" s="4"/>
      <c r="P18" s="4"/>
      <c r="Q18" s="4"/>
      <c r="R18" s="4"/>
      <c r="S18" s="4"/>
      <c r="T18" s="4"/>
      <c r="U18" s="4"/>
      <c r="V18" s="4"/>
    </row>
    <row r="19" spans="2:22" x14ac:dyDescent="0.25">
      <c r="B19" s="19">
        <v>13</v>
      </c>
      <c r="C19" s="49"/>
      <c r="D19" s="49">
        <f ca="1">VLOOKUP(B19,'POR EMPLEADO'!L20:M71,2,FALSE)</f>
        <v>0</v>
      </c>
      <c r="E19" s="40">
        <f ca="1">VLOOKUP(B19,'POR EMPLEADO'!N20:O71,2,FALSE)</f>
        <v>0</v>
      </c>
      <c r="F19" s="28">
        <f t="shared" ca="1" si="1"/>
        <v>0</v>
      </c>
      <c r="G19" s="61">
        <f ca="1">VLOOKUP(B19,'POR EMPLEADO'!P19:Q71,2,FALSE)</f>
        <v>0</v>
      </c>
      <c r="H19" s="134">
        <f t="shared" ca="1" si="0"/>
        <v>0</v>
      </c>
      <c r="I19" s="136">
        <f>'13 SEMANA'!J24</f>
        <v>0</v>
      </c>
      <c r="J19" s="4"/>
      <c r="K19" s="4"/>
      <c r="L19" s="4"/>
      <c r="M19" s="4"/>
      <c r="N19" s="4"/>
      <c r="O19" s="4"/>
      <c r="P19" s="4"/>
      <c r="Q19" s="4"/>
      <c r="R19" s="4"/>
      <c r="S19" s="4"/>
      <c r="T19" s="4"/>
      <c r="U19" s="4"/>
      <c r="V19" s="4"/>
    </row>
    <row r="20" spans="2:22" x14ac:dyDescent="0.25">
      <c r="B20" s="6">
        <v>14</v>
      </c>
      <c r="C20" s="49"/>
      <c r="D20" s="49">
        <f ca="1">VLOOKUP(B20,'POR EMPLEADO'!L21:M72,2,FALSE)</f>
        <v>0</v>
      </c>
      <c r="E20" s="40">
        <f ca="1">VLOOKUP(B20,'POR EMPLEADO'!N21:O72,2,FALSE)</f>
        <v>0</v>
      </c>
      <c r="F20" s="28">
        <f t="shared" ca="1" si="1"/>
        <v>0</v>
      </c>
      <c r="G20" s="61">
        <f ca="1">VLOOKUP(B20,'POR EMPLEADO'!P20:Q72,2,FALSE)</f>
        <v>0</v>
      </c>
      <c r="H20" s="134">
        <f t="shared" ca="1" si="0"/>
        <v>0</v>
      </c>
      <c r="I20" s="136">
        <f>'14 SEMANA '!J24</f>
        <v>0</v>
      </c>
      <c r="J20" s="4"/>
      <c r="K20" s="4"/>
      <c r="L20" s="4"/>
      <c r="M20" s="4"/>
      <c r="N20" s="4"/>
      <c r="O20" s="4"/>
      <c r="P20" s="4"/>
      <c r="Q20" s="4"/>
      <c r="R20" s="4"/>
      <c r="S20" s="4"/>
      <c r="T20" s="4"/>
      <c r="U20" s="4"/>
      <c r="V20" s="4"/>
    </row>
    <row r="21" spans="2:22" x14ac:dyDescent="0.25">
      <c r="B21" s="6">
        <v>15</v>
      </c>
      <c r="C21" s="49"/>
      <c r="D21" s="49">
        <f ca="1">VLOOKUP(B21,'POR EMPLEADO'!L22:M73,2,FALSE)</f>
        <v>0</v>
      </c>
      <c r="E21" s="40">
        <f ca="1">VLOOKUP(B21,'POR EMPLEADO'!N22:O73,2,FALSE)</f>
        <v>0</v>
      </c>
      <c r="F21" s="28">
        <f t="shared" ca="1" si="1"/>
        <v>0</v>
      </c>
      <c r="G21" s="61">
        <f ca="1">VLOOKUP(B21,'POR EMPLEADO'!P21:Q73,2,FALSE)</f>
        <v>0</v>
      </c>
      <c r="H21" s="134">
        <f t="shared" ca="1" si="0"/>
        <v>0</v>
      </c>
      <c r="I21" s="136">
        <f>'15 SEMANA'!J24</f>
        <v>0</v>
      </c>
      <c r="J21" s="4"/>
      <c r="K21" s="4"/>
      <c r="L21" s="4"/>
      <c r="M21" s="4"/>
      <c r="N21" s="4"/>
      <c r="O21" s="4"/>
      <c r="P21" s="4"/>
      <c r="Q21" s="4"/>
      <c r="R21" s="4"/>
      <c r="S21" s="4"/>
      <c r="T21" s="4"/>
      <c r="U21" s="4"/>
      <c r="V21" s="4"/>
    </row>
    <row r="22" spans="2:22" x14ac:dyDescent="0.25">
      <c r="B22" s="19">
        <v>16</v>
      </c>
      <c r="C22" s="49"/>
      <c r="D22" s="49">
        <f ca="1">VLOOKUP(B22,'POR EMPLEADO'!L23:M74,2,FALSE)</f>
        <v>0</v>
      </c>
      <c r="E22" s="40">
        <f ca="1">VLOOKUP(B22,'POR EMPLEADO'!N23:O74,2,FALSE)</f>
        <v>0</v>
      </c>
      <c r="F22" s="28">
        <f t="shared" ca="1" si="1"/>
        <v>0</v>
      </c>
      <c r="G22" s="61">
        <f ca="1">VLOOKUP(B22,'POR EMPLEADO'!P22:Q74,2,FALSE)</f>
        <v>0</v>
      </c>
      <c r="H22" s="134">
        <f t="shared" ca="1" si="0"/>
        <v>0</v>
      </c>
      <c r="I22" s="136">
        <f>'16 SEMANA '!J24</f>
        <v>0</v>
      </c>
      <c r="J22" s="4"/>
      <c r="K22" s="4"/>
      <c r="L22" s="4"/>
      <c r="M22" s="4"/>
      <c r="N22" s="4"/>
      <c r="O22" s="4"/>
      <c r="P22" s="4"/>
      <c r="Q22" s="4"/>
      <c r="R22" s="4"/>
      <c r="S22" s="4"/>
      <c r="T22" s="4"/>
      <c r="U22" s="4"/>
      <c r="V22" s="4"/>
    </row>
    <row r="23" spans="2:22" x14ac:dyDescent="0.25">
      <c r="B23" s="6">
        <v>17</v>
      </c>
      <c r="C23" s="49"/>
      <c r="D23" s="49">
        <f ca="1">VLOOKUP(B23,'POR EMPLEADO'!L24:M75,2,FALSE)</f>
        <v>0</v>
      </c>
      <c r="E23" s="40">
        <f ca="1">VLOOKUP(B23,'POR EMPLEADO'!N24:O75,2,FALSE)</f>
        <v>0</v>
      </c>
      <c r="F23" s="28">
        <f t="shared" ca="1" si="1"/>
        <v>0</v>
      </c>
      <c r="G23" s="61">
        <f ca="1">VLOOKUP(B23,'POR EMPLEADO'!P23:Q75,2,FALSE)</f>
        <v>0</v>
      </c>
      <c r="H23" s="134">
        <f t="shared" ca="1" si="0"/>
        <v>0</v>
      </c>
      <c r="I23" s="136">
        <f>'17 SEMANA '!J24</f>
        <v>0</v>
      </c>
      <c r="J23" s="4"/>
      <c r="K23" s="4"/>
      <c r="L23" s="4"/>
      <c r="M23" s="4"/>
      <c r="N23" s="4"/>
      <c r="O23" s="4"/>
      <c r="P23" s="4"/>
      <c r="Q23" s="4"/>
      <c r="R23" s="4"/>
      <c r="S23" s="4"/>
      <c r="T23" s="4"/>
      <c r="U23" s="4"/>
      <c r="V23" s="4"/>
    </row>
    <row r="24" spans="2:22" x14ac:dyDescent="0.25">
      <c r="B24" s="124">
        <v>18</v>
      </c>
      <c r="C24" s="123"/>
      <c r="D24" s="49">
        <f ca="1">VLOOKUP(B24,'POR EMPLEADO'!L25:M76,2,FALSE)</f>
        <v>0</v>
      </c>
      <c r="E24" s="40">
        <f ca="1">VLOOKUP(B24,'POR EMPLEADO'!N25:O76,2,FALSE)</f>
        <v>0</v>
      </c>
      <c r="F24" s="28">
        <f t="shared" ca="1" si="1"/>
        <v>0</v>
      </c>
      <c r="G24" s="61">
        <f ca="1">VLOOKUP(B24,'POR EMPLEADO'!P24:Q76,2,FALSE)</f>
        <v>0</v>
      </c>
      <c r="H24" s="134">
        <f t="shared" ca="1" si="0"/>
        <v>0</v>
      </c>
      <c r="I24" s="136">
        <f>'18 SEMANA '!J24</f>
        <v>0</v>
      </c>
      <c r="J24" s="4"/>
      <c r="K24" s="4"/>
      <c r="L24" s="4"/>
      <c r="M24" s="4"/>
      <c r="N24" s="4"/>
      <c r="O24" s="4"/>
      <c r="P24" s="4"/>
      <c r="Q24" s="4"/>
      <c r="R24" s="4"/>
      <c r="S24" s="4"/>
      <c r="T24" s="4"/>
      <c r="U24" s="4"/>
      <c r="V24" s="4"/>
    </row>
    <row r="25" spans="2:22" x14ac:dyDescent="0.25">
      <c r="B25" s="127">
        <v>19</v>
      </c>
      <c r="C25" s="125"/>
      <c r="D25" s="211">
        <f ca="1">VLOOKUP(B25,'POR EMPLEADO'!L26:M77,2,FALSE)</f>
        <v>0</v>
      </c>
      <c r="E25" s="126">
        <f ca="1">VLOOKUP(B25,'POR EMPLEADO'!N26:O77,2,FALSE)</f>
        <v>0</v>
      </c>
      <c r="F25" s="28">
        <f t="shared" ca="1" si="1"/>
        <v>0</v>
      </c>
      <c r="G25" s="61">
        <f ca="1">VLOOKUP(B25,'POR EMPLEADO'!P25:Q77,2,FALSE)</f>
        <v>0</v>
      </c>
      <c r="H25" s="134">
        <f t="shared" ca="1" si="0"/>
        <v>0</v>
      </c>
      <c r="I25" s="136">
        <f>'19 SEMANA '!J24</f>
        <v>0</v>
      </c>
      <c r="J25" s="4"/>
      <c r="K25" s="4"/>
      <c r="L25" s="4"/>
      <c r="M25" s="4"/>
      <c r="N25" s="4"/>
      <c r="O25" s="4"/>
      <c r="P25" s="4"/>
      <c r="Q25" s="4"/>
      <c r="R25" s="4"/>
      <c r="S25" s="4"/>
      <c r="T25" s="4"/>
      <c r="U25" s="4"/>
      <c r="V25" s="4"/>
    </row>
    <row r="26" spans="2:22" x14ac:dyDescent="0.25">
      <c r="B26" s="6">
        <v>20</v>
      </c>
      <c r="C26" s="49"/>
      <c r="D26" s="49">
        <f ca="1">VLOOKUP(B26,'POR EMPLEADO'!L27:M78,2,FALSE)</f>
        <v>0</v>
      </c>
      <c r="E26" s="40">
        <f ca="1">VLOOKUP(B26,'POR EMPLEADO'!N27:O78,2,FALSE)</f>
        <v>0</v>
      </c>
      <c r="F26" s="28">
        <f ca="1">+D26-E26</f>
        <v>0</v>
      </c>
      <c r="G26" s="61">
        <f ca="1">VLOOKUP(B26,'POR EMPLEADO'!P26:Q78,2,FALSE)</f>
        <v>0</v>
      </c>
      <c r="H26" s="134">
        <f t="shared" ca="1" si="0"/>
        <v>0</v>
      </c>
      <c r="I26" s="136">
        <f>'20 SEMANA'!J24</f>
        <v>0</v>
      </c>
      <c r="J26" s="4"/>
      <c r="K26" s="4"/>
      <c r="L26" s="4"/>
      <c r="M26" s="4"/>
      <c r="N26" s="4"/>
      <c r="O26" s="4"/>
      <c r="P26" s="4"/>
      <c r="Q26" s="4"/>
      <c r="R26" s="4"/>
      <c r="S26" s="4"/>
      <c r="T26" s="4"/>
      <c r="U26" s="4"/>
      <c r="V26" s="4"/>
    </row>
    <row r="27" spans="2:22" x14ac:dyDescent="0.25">
      <c r="B27" s="6">
        <v>21</v>
      </c>
      <c r="C27" s="49"/>
      <c r="D27" s="49">
        <f ca="1">VLOOKUP(B27,'POR EMPLEADO'!L28:M79,2,FALSE)</f>
        <v>0</v>
      </c>
      <c r="E27" s="40">
        <f ca="1">VLOOKUP(B27,'POR EMPLEADO'!N28:O79,2,FALSE)</f>
        <v>0</v>
      </c>
      <c r="F27" s="28">
        <f ca="1">+D27-E27</f>
        <v>0</v>
      </c>
      <c r="G27" s="61">
        <f ca="1">VLOOKUP(B27,'POR EMPLEADO'!P27:Q79,2,FALSE)</f>
        <v>0</v>
      </c>
      <c r="H27" s="134">
        <f t="shared" ca="1" si="0"/>
        <v>0</v>
      </c>
      <c r="I27" s="136">
        <f>'21 SEMANA'!J24</f>
        <v>0</v>
      </c>
      <c r="J27" s="4"/>
      <c r="K27" s="4"/>
      <c r="L27" s="4"/>
      <c r="M27" s="4"/>
      <c r="N27" s="4"/>
      <c r="O27" s="4"/>
      <c r="P27" s="4"/>
      <c r="Q27" s="4"/>
      <c r="R27" s="4"/>
      <c r="S27" s="4"/>
      <c r="T27" s="4"/>
      <c r="U27" s="4"/>
      <c r="V27" s="4"/>
    </row>
    <row r="28" spans="2:22" x14ac:dyDescent="0.25">
      <c r="B28" s="19">
        <v>22</v>
      </c>
      <c r="C28" s="49"/>
      <c r="D28" s="49">
        <f ca="1">VLOOKUP(B28,'POR EMPLEADO'!L29:M80,2,FALSE)</f>
        <v>0</v>
      </c>
      <c r="E28" s="40">
        <f ca="1">VLOOKUP(B28,'POR EMPLEADO'!N29:O80,2,FALSE)</f>
        <v>0</v>
      </c>
      <c r="F28" s="28">
        <f t="shared" ref="F28:F58" ca="1" si="2">+D28-E28</f>
        <v>0</v>
      </c>
      <c r="G28" s="61">
        <f ca="1">VLOOKUP(B28,'POR EMPLEADO'!P28:Q80,2,FALSE)</f>
        <v>0</v>
      </c>
      <c r="H28" s="134">
        <f t="shared" ca="1" si="0"/>
        <v>0</v>
      </c>
      <c r="I28" s="136">
        <f>'22 SEMANA'!J24</f>
        <v>0</v>
      </c>
      <c r="J28" s="4"/>
      <c r="K28" s="4"/>
      <c r="L28" s="4"/>
      <c r="M28" s="4"/>
      <c r="N28" s="4"/>
      <c r="O28" s="4"/>
      <c r="P28" s="4"/>
      <c r="Q28" s="4"/>
      <c r="R28" s="4"/>
      <c r="S28" s="4"/>
      <c r="T28" s="4"/>
      <c r="U28" s="4"/>
      <c r="V28" s="4"/>
    </row>
    <row r="29" spans="2:22" x14ac:dyDescent="0.25">
      <c r="B29" s="6">
        <v>23</v>
      </c>
      <c r="C29" s="49"/>
      <c r="D29" s="49">
        <f ca="1">VLOOKUP(B29,'POR EMPLEADO'!L30:M81,2,FALSE)</f>
        <v>0</v>
      </c>
      <c r="E29" s="40">
        <f ca="1">VLOOKUP(B29,'POR EMPLEADO'!N30:O81,2,FALSE)</f>
        <v>0</v>
      </c>
      <c r="F29" s="28">
        <f t="shared" ca="1" si="2"/>
        <v>0</v>
      </c>
      <c r="G29" s="61">
        <f ca="1">VLOOKUP(B29,'POR EMPLEADO'!P29:Q81,2,FALSE)</f>
        <v>0</v>
      </c>
      <c r="H29" s="134">
        <f t="shared" ca="1" si="0"/>
        <v>0</v>
      </c>
      <c r="I29" s="136">
        <f>'23 SEMANA '!J24</f>
        <v>0</v>
      </c>
      <c r="J29" s="4"/>
      <c r="K29" s="4"/>
      <c r="L29" s="4"/>
      <c r="M29" s="4"/>
      <c r="N29" s="4"/>
      <c r="O29" s="4"/>
      <c r="P29" s="4"/>
      <c r="Q29" s="4"/>
      <c r="R29" s="4"/>
      <c r="S29" s="4"/>
      <c r="T29" s="4"/>
      <c r="U29" s="4"/>
      <c r="V29" s="4"/>
    </row>
    <row r="30" spans="2:22" x14ac:dyDescent="0.25">
      <c r="B30" s="6">
        <v>24</v>
      </c>
      <c r="C30" s="49"/>
      <c r="D30" s="49">
        <f ca="1">VLOOKUP(B30,'POR EMPLEADO'!L31:M82,2,FALSE)</f>
        <v>0</v>
      </c>
      <c r="E30" s="40">
        <f ca="1">VLOOKUP(B30,'POR EMPLEADO'!N31:O82,2,FALSE)</f>
        <v>0</v>
      </c>
      <c r="F30" s="28">
        <f t="shared" ca="1" si="2"/>
        <v>0</v>
      </c>
      <c r="G30" s="61">
        <f ca="1">VLOOKUP(B30,'POR EMPLEADO'!P30:Q82,2,FALSE)</f>
        <v>0</v>
      </c>
      <c r="H30" s="134">
        <f t="shared" ca="1" si="0"/>
        <v>0</v>
      </c>
      <c r="I30" s="136">
        <f>'24 SEMANA '!J24</f>
        <v>0</v>
      </c>
      <c r="J30" s="4"/>
      <c r="K30" s="4"/>
      <c r="L30" s="4"/>
      <c r="M30" s="4"/>
      <c r="N30" s="4"/>
      <c r="O30" s="4"/>
      <c r="P30" s="4"/>
      <c r="Q30" s="4"/>
      <c r="R30" s="4"/>
      <c r="S30" s="4"/>
      <c r="T30" s="4"/>
      <c r="U30" s="4"/>
      <c r="V30" s="4"/>
    </row>
    <row r="31" spans="2:22" x14ac:dyDescent="0.25">
      <c r="B31" s="19">
        <v>25</v>
      </c>
      <c r="C31" s="49"/>
      <c r="D31" s="49">
        <f ca="1">VLOOKUP(B31,'POR EMPLEADO'!L32:M83,2,FALSE)</f>
        <v>0</v>
      </c>
      <c r="E31" s="40">
        <f ca="1">VLOOKUP(B31,'POR EMPLEADO'!N32:O83,2,FALSE)</f>
        <v>0</v>
      </c>
      <c r="F31" s="28">
        <f t="shared" ca="1" si="2"/>
        <v>0</v>
      </c>
      <c r="G31" s="61">
        <f ca="1">VLOOKUP(B31,'POR EMPLEADO'!P31:Q83,2,FALSE)</f>
        <v>0</v>
      </c>
      <c r="H31" s="134">
        <f t="shared" ca="1" si="0"/>
        <v>0</v>
      </c>
      <c r="I31" s="136">
        <f>'25 SEMANA '!J24</f>
        <v>0</v>
      </c>
      <c r="J31" s="4"/>
      <c r="K31" s="4"/>
      <c r="L31" s="4"/>
      <c r="M31" s="4"/>
      <c r="N31" s="4"/>
      <c r="O31" s="4"/>
      <c r="P31" s="4"/>
      <c r="Q31" s="4"/>
      <c r="R31" s="4"/>
      <c r="S31" s="4"/>
      <c r="T31" s="4"/>
      <c r="U31" s="4"/>
      <c r="V31" s="4"/>
    </row>
    <row r="32" spans="2:22" x14ac:dyDescent="0.25">
      <c r="B32" s="6">
        <v>26</v>
      </c>
      <c r="C32" s="49"/>
      <c r="D32" s="49">
        <f ca="1">VLOOKUP(B32,'POR EMPLEADO'!L33:M84,2,FALSE)</f>
        <v>0</v>
      </c>
      <c r="E32" s="40">
        <f ca="1">VLOOKUP(B32,'POR EMPLEADO'!N33:O84,2,FALSE)</f>
        <v>0</v>
      </c>
      <c r="F32" s="28">
        <f t="shared" ca="1" si="2"/>
        <v>0</v>
      </c>
      <c r="G32" s="61">
        <f ca="1">VLOOKUP(B32,'POR EMPLEADO'!P32:Q84,2,FALSE)</f>
        <v>0</v>
      </c>
      <c r="H32" s="134">
        <f t="shared" ca="1" si="0"/>
        <v>0</v>
      </c>
      <c r="I32" s="136">
        <f>'26 SEMANA'!J24</f>
        <v>0</v>
      </c>
      <c r="J32" s="4"/>
      <c r="K32" s="4"/>
      <c r="L32" s="4"/>
      <c r="M32" s="4"/>
      <c r="N32" s="4"/>
      <c r="O32" s="4"/>
      <c r="P32" s="4"/>
      <c r="Q32" s="4"/>
      <c r="R32" s="4"/>
      <c r="S32" s="4"/>
      <c r="T32" s="4"/>
      <c r="U32" s="4"/>
      <c r="V32" s="4"/>
    </row>
    <row r="33" spans="2:22" x14ac:dyDescent="0.25">
      <c r="B33" s="6">
        <v>27</v>
      </c>
      <c r="C33" s="49"/>
      <c r="D33" s="49">
        <f ca="1">VLOOKUP(B33,'POR EMPLEADO'!L34:M85,2,FALSE)</f>
        <v>0</v>
      </c>
      <c r="E33" s="40">
        <f ca="1">VLOOKUP(B33,'POR EMPLEADO'!N34:O85,2,FALSE)</f>
        <v>0</v>
      </c>
      <c r="F33" s="28">
        <f t="shared" ca="1" si="2"/>
        <v>0</v>
      </c>
      <c r="G33" s="61">
        <f ca="1">VLOOKUP(B33,'POR EMPLEADO'!P33:Q85,2,FALSE)</f>
        <v>0</v>
      </c>
      <c r="H33" s="134">
        <f t="shared" ca="1" si="0"/>
        <v>0</v>
      </c>
      <c r="I33" s="136">
        <f>'27 SEMANA'!J24</f>
        <v>0</v>
      </c>
      <c r="J33" s="4"/>
      <c r="K33" s="4"/>
      <c r="L33" s="4"/>
      <c r="M33" s="4"/>
      <c r="N33" s="4"/>
      <c r="O33" s="4"/>
      <c r="P33" s="4"/>
      <c r="Q33" s="4"/>
      <c r="R33" s="4"/>
      <c r="S33" s="4"/>
      <c r="T33" s="4"/>
      <c r="U33" s="4"/>
      <c r="V33" s="4"/>
    </row>
    <row r="34" spans="2:22" x14ac:dyDescent="0.25">
      <c r="B34" s="19">
        <v>28</v>
      </c>
      <c r="C34" s="49"/>
      <c r="D34" s="49">
        <f ca="1">VLOOKUP(B34,'POR EMPLEADO'!L35:M86,2,FALSE)</f>
        <v>0</v>
      </c>
      <c r="E34" s="40">
        <f ca="1">VLOOKUP(B34,'POR EMPLEADO'!N35:O86,2,FALSE)</f>
        <v>0</v>
      </c>
      <c r="F34" s="28">
        <f t="shared" ca="1" si="2"/>
        <v>0</v>
      </c>
      <c r="G34" s="61">
        <f ca="1">VLOOKUP(B34,'POR EMPLEADO'!P34:Q86,2,FALSE)</f>
        <v>0</v>
      </c>
      <c r="H34" s="134">
        <f t="shared" ca="1" si="0"/>
        <v>0</v>
      </c>
      <c r="I34" s="136">
        <f>'28 SEMANA '!J24</f>
        <v>0</v>
      </c>
      <c r="J34" s="4"/>
      <c r="K34" s="4"/>
      <c r="L34" s="4"/>
      <c r="M34" s="4"/>
      <c r="N34" s="4"/>
      <c r="O34" s="4"/>
      <c r="P34" s="4"/>
      <c r="Q34" s="4"/>
      <c r="R34" s="4"/>
      <c r="S34" s="4"/>
      <c r="T34" s="4"/>
      <c r="U34" s="4"/>
      <c r="V34" s="4"/>
    </row>
    <row r="35" spans="2:22" x14ac:dyDescent="0.25">
      <c r="B35" s="6">
        <v>29</v>
      </c>
      <c r="C35" s="49"/>
      <c r="D35" s="49">
        <f ca="1">VLOOKUP(B35,'POR EMPLEADO'!L36:M87,2,FALSE)</f>
        <v>0</v>
      </c>
      <c r="E35" s="40">
        <f ca="1">VLOOKUP(B35,'POR EMPLEADO'!N36:O87,2,FALSE)</f>
        <v>0</v>
      </c>
      <c r="F35" s="28">
        <f t="shared" ca="1" si="2"/>
        <v>0</v>
      </c>
      <c r="G35" s="61">
        <f ca="1">VLOOKUP(B35,'POR EMPLEADO'!P35:Q87,2,FALSE)</f>
        <v>0</v>
      </c>
      <c r="H35" s="134">
        <f t="shared" ca="1" si="0"/>
        <v>0</v>
      </c>
      <c r="I35" s="136">
        <f>'29 SEMANA '!J24</f>
        <v>0</v>
      </c>
      <c r="J35" s="4"/>
      <c r="K35" s="4"/>
      <c r="L35" s="4"/>
      <c r="M35" s="4"/>
      <c r="N35" s="4"/>
      <c r="O35" s="4"/>
      <c r="P35" s="4"/>
      <c r="Q35" s="4"/>
      <c r="R35" s="4"/>
      <c r="S35" s="4"/>
      <c r="T35" s="4"/>
      <c r="U35" s="4"/>
      <c r="V35" s="4"/>
    </row>
    <row r="36" spans="2:22" x14ac:dyDescent="0.25">
      <c r="B36" s="6">
        <v>30</v>
      </c>
      <c r="C36" s="49"/>
      <c r="D36" s="49">
        <f ca="1">VLOOKUP(B36,'POR EMPLEADO'!L37:M88,2,FALSE)</f>
        <v>0</v>
      </c>
      <c r="E36" s="40">
        <f ca="1">VLOOKUP(B36,'POR EMPLEADO'!N37:O88,2,FALSE)</f>
        <v>0</v>
      </c>
      <c r="F36" s="28">
        <f t="shared" ca="1" si="2"/>
        <v>0</v>
      </c>
      <c r="G36" s="61">
        <f ca="1">VLOOKUP(B36,'POR EMPLEADO'!P36:Q88,2,FALSE)</f>
        <v>0</v>
      </c>
      <c r="H36" s="134">
        <f t="shared" ca="1" si="0"/>
        <v>0</v>
      </c>
      <c r="I36" s="136">
        <f>'30 SEMANA '!J24</f>
        <v>0</v>
      </c>
      <c r="J36" s="4"/>
      <c r="K36" s="4"/>
      <c r="L36" s="4"/>
      <c r="M36" s="4"/>
      <c r="N36" s="4"/>
      <c r="O36" s="4"/>
      <c r="P36" s="4"/>
      <c r="Q36" s="4"/>
      <c r="R36" s="4"/>
      <c r="S36" s="4"/>
      <c r="T36" s="4"/>
      <c r="U36" s="4"/>
      <c r="V36" s="4"/>
    </row>
    <row r="37" spans="2:22" x14ac:dyDescent="0.25">
      <c r="B37" s="19">
        <v>31</v>
      </c>
      <c r="C37" s="49"/>
      <c r="D37" s="49">
        <f ca="1">VLOOKUP(B37,'POR EMPLEADO'!L38:M89,2,FALSE)</f>
        <v>0</v>
      </c>
      <c r="E37" s="40">
        <f ca="1">VLOOKUP(B37,'POR EMPLEADO'!N38:O89,2,FALSE)</f>
        <v>0</v>
      </c>
      <c r="F37" s="28">
        <f t="shared" ca="1" si="2"/>
        <v>0</v>
      </c>
      <c r="G37" s="61">
        <f ca="1">VLOOKUP(B37,'POR EMPLEADO'!P37:Q89,2,FALSE)</f>
        <v>0</v>
      </c>
      <c r="H37" s="134">
        <f t="shared" ca="1" si="0"/>
        <v>0</v>
      </c>
      <c r="I37" s="136">
        <f>'31 SEMANA '!J24</f>
        <v>0</v>
      </c>
      <c r="J37" s="4"/>
      <c r="K37" s="4"/>
      <c r="L37" s="4"/>
      <c r="M37" s="4"/>
      <c r="N37" s="4"/>
      <c r="O37" s="4"/>
      <c r="P37" s="4"/>
      <c r="Q37" s="4"/>
      <c r="R37" s="4"/>
      <c r="S37" s="4"/>
      <c r="T37" s="4"/>
      <c r="U37" s="4"/>
      <c r="V37" s="4"/>
    </row>
    <row r="38" spans="2:22" x14ac:dyDescent="0.25">
      <c r="B38" s="6">
        <v>32</v>
      </c>
      <c r="C38" s="49"/>
      <c r="D38" s="49">
        <f ca="1">VLOOKUP(B38,'POR EMPLEADO'!L39:M90,2,FALSE)</f>
        <v>0</v>
      </c>
      <c r="E38" s="40">
        <f ca="1">VLOOKUP(B38,'POR EMPLEADO'!N39:O90,2,FALSE)</f>
        <v>0</v>
      </c>
      <c r="F38" s="28">
        <f t="shared" ca="1" si="2"/>
        <v>0</v>
      </c>
      <c r="G38" s="61">
        <f ca="1">VLOOKUP(B38,'POR EMPLEADO'!P38:Q90,2,FALSE)</f>
        <v>0</v>
      </c>
      <c r="H38" s="134">
        <f t="shared" ca="1" si="0"/>
        <v>0</v>
      </c>
      <c r="I38" s="136">
        <f>'32 SEMANA '!J24</f>
        <v>0</v>
      </c>
      <c r="J38" s="4"/>
      <c r="K38" s="4"/>
      <c r="L38" s="4"/>
      <c r="M38" s="4"/>
      <c r="N38" s="4"/>
      <c r="O38" s="4"/>
      <c r="P38" s="4"/>
      <c r="Q38" s="4"/>
      <c r="R38" s="4"/>
      <c r="S38" s="4"/>
      <c r="T38" s="4"/>
      <c r="U38" s="4"/>
      <c r="V38" s="4"/>
    </row>
    <row r="39" spans="2:22" x14ac:dyDescent="0.25">
      <c r="B39" s="6">
        <v>33</v>
      </c>
      <c r="C39" s="49"/>
      <c r="D39" s="49">
        <f ca="1">VLOOKUP(B39,'POR EMPLEADO'!L40:M91,2,FALSE)</f>
        <v>0</v>
      </c>
      <c r="E39" s="40">
        <f ca="1">VLOOKUP(B39,'POR EMPLEADO'!N40:O91,2,FALSE)</f>
        <v>0</v>
      </c>
      <c r="F39" s="28">
        <f t="shared" ca="1" si="2"/>
        <v>0</v>
      </c>
      <c r="G39" s="61">
        <f ca="1">VLOOKUP(B39,'POR EMPLEADO'!P39:Q91,2,FALSE)</f>
        <v>0</v>
      </c>
      <c r="H39" s="134">
        <f t="shared" ca="1" si="0"/>
        <v>0</v>
      </c>
      <c r="I39" s="136">
        <f>'33 SEMANA '!J24</f>
        <v>0</v>
      </c>
      <c r="J39" s="4"/>
      <c r="K39" s="4"/>
      <c r="L39" s="4"/>
      <c r="M39" s="4"/>
      <c r="N39" s="4"/>
      <c r="O39" s="4"/>
      <c r="P39" s="4"/>
      <c r="Q39" s="4"/>
      <c r="R39" s="4"/>
      <c r="S39" s="4"/>
      <c r="T39" s="4"/>
      <c r="U39" s="4"/>
      <c r="V39" s="4"/>
    </row>
    <row r="40" spans="2:22" x14ac:dyDescent="0.25">
      <c r="B40" s="19">
        <v>34</v>
      </c>
      <c r="C40" s="49"/>
      <c r="D40" s="49">
        <f ca="1">VLOOKUP(B40,'POR EMPLEADO'!L41:M92,2,FALSE)</f>
        <v>0</v>
      </c>
      <c r="E40" s="40">
        <f ca="1">VLOOKUP(B40,'POR EMPLEADO'!N41:O92,2,FALSE)</f>
        <v>0</v>
      </c>
      <c r="F40" s="28">
        <f t="shared" ca="1" si="2"/>
        <v>0</v>
      </c>
      <c r="G40" s="61">
        <f ca="1">VLOOKUP(B40,'POR EMPLEADO'!P40:Q92,2,FALSE)</f>
        <v>0</v>
      </c>
      <c r="H40" s="134">
        <f t="shared" ca="1" si="0"/>
        <v>0</v>
      </c>
      <c r="I40" s="136">
        <f>'34 SEMANA'!J24</f>
        <v>0</v>
      </c>
      <c r="J40" s="4"/>
      <c r="K40" s="4"/>
      <c r="L40" s="4"/>
      <c r="M40" s="4"/>
      <c r="N40" s="4"/>
      <c r="O40" s="4"/>
      <c r="P40" s="4"/>
      <c r="Q40" s="4"/>
      <c r="R40" s="4"/>
      <c r="S40" s="4"/>
      <c r="T40" s="4"/>
      <c r="U40" s="4"/>
      <c r="V40" s="4"/>
    </row>
    <row r="41" spans="2:22" x14ac:dyDescent="0.25">
      <c r="B41" s="6">
        <v>35</v>
      </c>
      <c r="C41" s="49"/>
      <c r="D41" s="49">
        <f ca="1">VLOOKUP(B41,'POR EMPLEADO'!L42:M93,2,FALSE)</f>
        <v>0</v>
      </c>
      <c r="E41" s="40">
        <f ca="1">VLOOKUP(B41,'POR EMPLEADO'!N42:O93,2,FALSE)</f>
        <v>0</v>
      </c>
      <c r="F41" s="28">
        <f t="shared" ca="1" si="2"/>
        <v>0</v>
      </c>
      <c r="G41" s="61">
        <f ca="1">VLOOKUP(B41,'POR EMPLEADO'!P41:Q93,2,FALSE)</f>
        <v>0</v>
      </c>
      <c r="H41" s="134">
        <f t="shared" ca="1" si="0"/>
        <v>0</v>
      </c>
      <c r="I41" s="136">
        <f>'35 SEMANA '!J24</f>
        <v>0</v>
      </c>
      <c r="J41" s="4"/>
      <c r="K41" s="4"/>
      <c r="L41" s="4"/>
      <c r="M41" s="4"/>
      <c r="N41" s="4"/>
      <c r="O41" s="4"/>
      <c r="P41" s="4"/>
      <c r="Q41" s="4"/>
      <c r="R41" s="4"/>
      <c r="S41" s="4"/>
      <c r="T41" s="4"/>
      <c r="U41" s="4"/>
      <c r="V41" s="4"/>
    </row>
    <row r="42" spans="2:22" x14ac:dyDescent="0.25">
      <c r="B42" s="6">
        <v>36</v>
      </c>
      <c r="C42" s="49"/>
      <c r="D42" s="49">
        <f ca="1">VLOOKUP(B42,'POR EMPLEADO'!L43:M94,2,FALSE)</f>
        <v>0</v>
      </c>
      <c r="E42" s="40">
        <f ca="1">VLOOKUP(B42,'POR EMPLEADO'!N43:O94,2,FALSE)</f>
        <v>0</v>
      </c>
      <c r="F42" s="28">
        <f t="shared" ca="1" si="2"/>
        <v>0</v>
      </c>
      <c r="G42" s="61">
        <f ca="1">VLOOKUP(B42,'POR EMPLEADO'!P42:Q94,2,FALSE)</f>
        <v>0</v>
      </c>
      <c r="H42" s="134">
        <f t="shared" ca="1" si="0"/>
        <v>0</v>
      </c>
      <c r="I42" s="136">
        <f>'36 SEMANA '!J24</f>
        <v>0</v>
      </c>
      <c r="J42" s="4"/>
      <c r="K42" s="4"/>
      <c r="L42" s="4"/>
      <c r="M42" s="4"/>
      <c r="N42" s="4"/>
      <c r="O42" s="4"/>
      <c r="P42" s="4"/>
      <c r="Q42" s="4"/>
      <c r="R42" s="4"/>
      <c r="S42" s="4"/>
      <c r="T42" s="4"/>
      <c r="U42" s="4"/>
      <c r="V42" s="4"/>
    </row>
    <row r="43" spans="2:22" x14ac:dyDescent="0.25">
      <c r="B43" s="19">
        <v>37</v>
      </c>
      <c r="C43" s="49"/>
      <c r="D43" s="49">
        <f ca="1">VLOOKUP(B43,'POR EMPLEADO'!L44:M95,2,FALSE)</f>
        <v>0</v>
      </c>
      <c r="E43" s="40">
        <f ca="1">VLOOKUP(B43,'POR EMPLEADO'!N44:O95,2,FALSE)</f>
        <v>0</v>
      </c>
      <c r="F43" s="28">
        <f t="shared" ca="1" si="2"/>
        <v>0</v>
      </c>
      <c r="G43" s="61">
        <f ca="1">VLOOKUP(B43,'POR EMPLEADO'!P43:Q95,2,FALSE)</f>
        <v>0</v>
      </c>
      <c r="H43" s="134">
        <f t="shared" ca="1" si="0"/>
        <v>0</v>
      </c>
      <c r="I43" s="136">
        <f>'37 SEMANA'!J24</f>
        <v>0</v>
      </c>
      <c r="J43" s="4"/>
      <c r="K43" s="4"/>
      <c r="L43" s="4"/>
      <c r="M43" s="4"/>
      <c r="N43" s="4"/>
      <c r="O43" s="4"/>
      <c r="P43" s="4"/>
      <c r="Q43" s="4"/>
      <c r="R43" s="4"/>
      <c r="S43" s="4"/>
      <c r="T43" s="4"/>
      <c r="U43" s="4"/>
      <c r="V43" s="4"/>
    </row>
    <row r="44" spans="2:22" x14ac:dyDescent="0.25">
      <c r="B44" s="6">
        <v>38</v>
      </c>
      <c r="C44" s="49"/>
      <c r="D44" s="49">
        <f ca="1">VLOOKUP(B44,'POR EMPLEADO'!L45:M97,2,FALSE)</f>
        <v>0</v>
      </c>
      <c r="E44" s="40">
        <f ca="1">VLOOKUP(B44,'POR EMPLEADO'!N45:O97,2,FALSE)</f>
        <v>0</v>
      </c>
      <c r="F44" s="28">
        <f t="shared" ca="1" si="2"/>
        <v>0</v>
      </c>
      <c r="G44" s="61">
        <f ca="1">VLOOKUP(B44,'POR EMPLEADO'!P44:Q97,2,FALSE)</f>
        <v>0</v>
      </c>
      <c r="H44" s="134">
        <f t="shared" ca="1" si="0"/>
        <v>0</v>
      </c>
      <c r="I44" s="136">
        <f>'38 SEMANA'!J23</f>
        <v>0</v>
      </c>
      <c r="J44" s="4"/>
      <c r="K44" s="4"/>
      <c r="L44" s="4"/>
      <c r="M44" s="4"/>
      <c r="N44" s="4"/>
      <c r="O44" s="4"/>
      <c r="P44" s="4"/>
      <c r="Q44" s="4"/>
      <c r="R44" s="4"/>
      <c r="S44" s="4"/>
      <c r="T44" s="4"/>
      <c r="U44" s="4"/>
      <c r="V44" s="4"/>
    </row>
    <row r="45" spans="2:22" x14ac:dyDescent="0.25">
      <c r="B45" s="6">
        <v>39</v>
      </c>
      <c r="C45" s="49"/>
      <c r="D45" s="49">
        <f ca="1">VLOOKUP(B45,'POR EMPLEADO'!L46:M98,2,FALSE)</f>
        <v>0</v>
      </c>
      <c r="E45" s="40">
        <f ca="1">VLOOKUP(B45,'POR EMPLEADO'!N46:O98,2,FALSE)</f>
        <v>0</v>
      </c>
      <c r="F45" s="28">
        <f t="shared" ca="1" si="2"/>
        <v>0</v>
      </c>
      <c r="G45" s="61">
        <f ca="1">VLOOKUP(B45,'POR EMPLEADO'!P45:Q98,2,FALSE)</f>
        <v>0</v>
      </c>
      <c r="H45" s="134">
        <f t="shared" ca="1" si="0"/>
        <v>0</v>
      </c>
      <c r="I45" s="136">
        <f>'39 SEMANA'!J23</f>
        <v>0</v>
      </c>
      <c r="J45" s="4"/>
      <c r="K45" s="4"/>
      <c r="L45" s="4"/>
      <c r="M45" s="4"/>
      <c r="N45" s="4"/>
      <c r="O45" s="4"/>
      <c r="P45" s="4"/>
      <c r="Q45" s="4"/>
      <c r="R45" s="4"/>
      <c r="S45" s="4"/>
      <c r="T45" s="4"/>
      <c r="U45" s="4"/>
      <c r="V45" s="4"/>
    </row>
    <row r="46" spans="2:22" x14ac:dyDescent="0.25">
      <c r="B46" s="19">
        <v>40</v>
      </c>
      <c r="C46" s="49"/>
      <c r="D46" s="49">
        <f ca="1">VLOOKUP(B46,'POR EMPLEADO'!L47:M99,2,FALSE)</f>
        <v>0</v>
      </c>
      <c r="E46" s="40">
        <f ca="1">VLOOKUP(B46,'POR EMPLEADO'!N47:O99,2,FALSE)</f>
        <v>0</v>
      </c>
      <c r="F46" s="28">
        <f t="shared" ca="1" si="2"/>
        <v>0</v>
      </c>
      <c r="G46" s="61">
        <f ca="1">VLOOKUP(B46,'POR EMPLEADO'!P46:Q99,2,FALSE)</f>
        <v>0</v>
      </c>
      <c r="H46" s="134">
        <f t="shared" ca="1" si="0"/>
        <v>0</v>
      </c>
      <c r="I46" s="136">
        <f>'40 SEMANA'!J24</f>
        <v>0</v>
      </c>
      <c r="J46" s="4"/>
      <c r="K46" s="4"/>
      <c r="L46" s="4"/>
      <c r="M46" s="4"/>
      <c r="N46" s="4"/>
      <c r="O46" s="4"/>
      <c r="P46" s="4"/>
      <c r="Q46" s="4"/>
      <c r="R46" s="4"/>
      <c r="S46" s="4"/>
      <c r="T46" s="4"/>
      <c r="U46" s="4"/>
      <c r="V46" s="4"/>
    </row>
    <row r="47" spans="2:22" x14ac:dyDescent="0.25">
      <c r="B47" s="6">
        <v>41</v>
      </c>
      <c r="C47" s="49"/>
      <c r="D47" s="49">
        <f ca="1">VLOOKUP(B47,'POR EMPLEADO'!L48:M100,2,FALSE)</f>
        <v>0</v>
      </c>
      <c r="E47" s="40">
        <f ca="1">VLOOKUP(B47,'POR EMPLEADO'!N48:O100,2,FALSE)</f>
        <v>0</v>
      </c>
      <c r="F47" s="28">
        <f t="shared" ca="1" si="2"/>
        <v>0</v>
      </c>
      <c r="G47" s="61">
        <f ca="1">VLOOKUP(B47,'POR EMPLEADO'!P47:Q100,2,FALSE)</f>
        <v>0</v>
      </c>
      <c r="H47" s="134">
        <f t="shared" ca="1" si="0"/>
        <v>0</v>
      </c>
      <c r="I47" s="136">
        <f>'41 SEMANA'!J24</f>
        <v>0</v>
      </c>
      <c r="J47" s="4"/>
      <c r="K47" s="4"/>
      <c r="L47" s="4"/>
      <c r="M47" s="4"/>
      <c r="N47" s="4"/>
      <c r="O47" s="4"/>
      <c r="P47" s="4"/>
      <c r="Q47" s="4"/>
      <c r="R47" s="4"/>
      <c r="S47" s="4"/>
      <c r="T47" s="4"/>
      <c r="U47" s="4"/>
      <c r="V47" s="4"/>
    </row>
    <row r="48" spans="2:22" x14ac:dyDescent="0.25">
      <c r="B48" s="6">
        <v>42</v>
      </c>
      <c r="C48" s="49"/>
      <c r="D48" s="49">
        <f ca="1">VLOOKUP(B48,'POR EMPLEADO'!L49:M101,2,FALSE)</f>
        <v>0</v>
      </c>
      <c r="E48" s="40">
        <f ca="1">VLOOKUP(B48,'POR EMPLEADO'!N49:O101,2,FALSE)</f>
        <v>0</v>
      </c>
      <c r="F48" s="28">
        <f t="shared" ca="1" si="2"/>
        <v>0</v>
      </c>
      <c r="G48" s="61">
        <f ca="1">VLOOKUP(B48,'POR EMPLEADO'!P48:Q101,2,FALSE)</f>
        <v>0</v>
      </c>
      <c r="H48" s="134">
        <f t="shared" ca="1" si="0"/>
        <v>0</v>
      </c>
      <c r="I48" s="136">
        <f>'42 SEMANA '!J24</f>
        <v>0</v>
      </c>
      <c r="J48" s="4"/>
      <c r="K48" s="4"/>
      <c r="L48" s="4"/>
      <c r="M48" s="4"/>
      <c r="N48" s="4"/>
      <c r="O48" s="4"/>
      <c r="P48" s="4"/>
      <c r="Q48" s="4"/>
      <c r="R48" s="4"/>
      <c r="S48" s="4"/>
      <c r="T48" s="4"/>
      <c r="U48" s="4"/>
      <c r="V48" s="4"/>
    </row>
    <row r="49" spans="2:22" x14ac:dyDescent="0.25">
      <c r="B49" s="19">
        <v>43</v>
      </c>
      <c r="C49" s="49"/>
      <c r="D49" s="49">
        <f ca="1">VLOOKUP(B49,'POR EMPLEADO'!L50:M102,2,FALSE)</f>
        <v>0</v>
      </c>
      <c r="E49" s="40">
        <f ca="1">VLOOKUP(B49,'POR EMPLEADO'!N50:O102,2,FALSE)</f>
        <v>0</v>
      </c>
      <c r="F49" s="28">
        <f t="shared" ca="1" si="2"/>
        <v>0</v>
      </c>
      <c r="G49" s="61">
        <f ca="1">VLOOKUP(B49,'POR EMPLEADO'!P49:Q102,2,FALSE)</f>
        <v>0</v>
      </c>
      <c r="H49" s="134">
        <f t="shared" ca="1" si="0"/>
        <v>0</v>
      </c>
      <c r="I49" s="136">
        <f>'43 SEMANA '!J24</f>
        <v>0</v>
      </c>
      <c r="J49" s="4"/>
      <c r="K49" s="4"/>
      <c r="L49" s="4"/>
      <c r="M49" s="4"/>
      <c r="N49" s="4"/>
      <c r="O49" s="4"/>
      <c r="P49" s="4"/>
      <c r="Q49" s="4"/>
      <c r="R49" s="4"/>
      <c r="S49" s="4"/>
      <c r="T49" s="4"/>
      <c r="U49" s="4"/>
      <c r="V49" s="4"/>
    </row>
    <row r="50" spans="2:22" x14ac:dyDescent="0.25">
      <c r="B50" s="6">
        <v>44</v>
      </c>
      <c r="C50" s="49"/>
      <c r="D50" s="49">
        <f ca="1">VLOOKUP(B50,'POR EMPLEADO'!L51:M103,2,FALSE)</f>
        <v>0</v>
      </c>
      <c r="E50" s="40">
        <f ca="1">VLOOKUP(B50,'POR EMPLEADO'!N51:O103,2,FALSE)</f>
        <v>0</v>
      </c>
      <c r="F50" s="28">
        <f t="shared" ca="1" si="2"/>
        <v>0</v>
      </c>
      <c r="G50" s="61">
        <f ca="1">VLOOKUP(B50,'POR EMPLEADO'!P50:Q103,2,FALSE)</f>
        <v>0</v>
      </c>
      <c r="H50" s="134">
        <f t="shared" ca="1" si="0"/>
        <v>0</v>
      </c>
      <c r="I50" s="136">
        <f>'44 SEMANA'!J24</f>
        <v>0</v>
      </c>
      <c r="J50" s="4"/>
      <c r="K50" s="4"/>
      <c r="L50" s="4"/>
      <c r="M50" s="4"/>
      <c r="N50" s="4"/>
      <c r="O50" s="4"/>
      <c r="P50" s="4"/>
      <c r="Q50" s="4"/>
      <c r="R50" s="4"/>
      <c r="S50" s="4"/>
      <c r="T50" s="4"/>
      <c r="U50" s="4"/>
      <c r="V50" s="4"/>
    </row>
    <row r="51" spans="2:22" x14ac:dyDescent="0.25">
      <c r="B51" s="6">
        <v>45</v>
      </c>
      <c r="C51" s="49"/>
      <c r="D51" s="49">
        <f ca="1">VLOOKUP(B51,'POR EMPLEADO'!L52:M104,2,FALSE)</f>
        <v>0</v>
      </c>
      <c r="E51" s="40">
        <f ca="1">VLOOKUP(B51,'POR EMPLEADO'!N52:O104,2,FALSE)</f>
        <v>0</v>
      </c>
      <c r="F51" s="28">
        <f t="shared" ca="1" si="2"/>
        <v>0</v>
      </c>
      <c r="G51" s="61">
        <f ca="1">VLOOKUP(B51,'POR EMPLEADO'!P51:Q104,2,FALSE)</f>
        <v>0</v>
      </c>
      <c r="H51" s="134">
        <f t="shared" ca="1" si="0"/>
        <v>0</v>
      </c>
      <c r="I51" s="136">
        <f>'45 SEMANA'!J24</f>
        <v>0</v>
      </c>
      <c r="J51" s="4"/>
      <c r="K51" s="4"/>
      <c r="L51" s="4"/>
      <c r="M51" s="4"/>
      <c r="N51" s="4"/>
      <c r="O51" s="4"/>
      <c r="P51" s="4"/>
      <c r="Q51" s="4"/>
      <c r="R51" s="4"/>
      <c r="S51" s="4"/>
      <c r="T51" s="4"/>
      <c r="U51" s="4"/>
      <c r="V51" s="4"/>
    </row>
    <row r="52" spans="2:22" x14ac:dyDescent="0.25">
      <c r="B52" s="19">
        <v>46</v>
      </c>
      <c r="C52" s="49"/>
      <c r="D52" s="49">
        <f ca="1">VLOOKUP(B52,'POR EMPLEADO'!L53:M105,2,FALSE)</f>
        <v>0</v>
      </c>
      <c r="E52" s="40">
        <f ca="1">VLOOKUP(B52,'POR EMPLEADO'!N53:O105,2,FALSE)</f>
        <v>0</v>
      </c>
      <c r="F52" s="28">
        <f t="shared" ca="1" si="2"/>
        <v>0</v>
      </c>
      <c r="G52" s="61">
        <f ca="1">VLOOKUP(B52,'POR EMPLEADO'!P52:Q105,2,FALSE)</f>
        <v>0</v>
      </c>
      <c r="H52" s="134">
        <f t="shared" ca="1" si="0"/>
        <v>0</v>
      </c>
      <c r="I52" s="136">
        <f>'46 SEMANA '!J24</f>
        <v>0</v>
      </c>
      <c r="J52" s="4"/>
      <c r="K52" s="4"/>
      <c r="L52" s="4"/>
      <c r="M52" s="4"/>
      <c r="N52" s="4"/>
      <c r="O52" s="4"/>
      <c r="P52" s="4"/>
      <c r="Q52" s="4"/>
      <c r="R52" s="4"/>
      <c r="S52" s="4"/>
      <c r="T52" s="4"/>
      <c r="U52" s="4"/>
      <c r="V52" s="4"/>
    </row>
    <row r="53" spans="2:22" x14ac:dyDescent="0.25">
      <c r="B53" s="6">
        <v>47</v>
      </c>
      <c r="C53" s="49"/>
      <c r="D53" s="49">
        <f ca="1">VLOOKUP(B53,'POR EMPLEADO'!L54:M106,2,FALSE)</f>
        <v>0</v>
      </c>
      <c r="E53" s="40">
        <f ca="1">VLOOKUP(B53,'POR EMPLEADO'!N54:O106,2,FALSE)</f>
        <v>0</v>
      </c>
      <c r="F53" s="28">
        <f t="shared" ca="1" si="2"/>
        <v>0</v>
      </c>
      <c r="G53" s="61">
        <f ca="1">VLOOKUP(B53,'POR EMPLEADO'!P53:Q106,2,FALSE)</f>
        <v>0</v>
      </c>
      <c r="H53" s="134">
        <f t="shared" ca="1" si="0"/>
        <v>0</v>
      </c>
      <c r="I53" s="136">
        <f>'47 SEMANA '!J25</f>
        <v>0</v>
      </c>
      <c r="J53" s="4"/>
      <c r="K53" s="4"/>
      <c r="L53" s="4"/>
      <c r="M53" s="4"/>
      <c r="N53" s="4"/>
      <c r="O53" s="4"/>
      <c r="P53" s="4"/>
      <c r="Q53" s="4"/>
      <c r="R53" s="4"/>
      <c r="S53" s="4"/>
      <c r="T53" s="4"/>
      <c r="U53" s="4"/>
      <c r="V53" s="4"/>
    </row>
    <row r="54" spans="2:22" x14ac:dyDescent="0.25">
      <c r="B54" s="6">
        <v>48</v>
      </c>
      <c r="C54" s="49"/>
      <c r="D54" s="49">
        <f ca="1">VLOOKUP(B54,'POR EMPLEADO'!L55:M107,2,FALSE)</f>
        <v>0</v>
      </c>
      <c r="E54" s="40">
        <f ca="1">VLOOKUP(B54,'POR EMPLEADO'!N55:O107,2,FALSE)</f>
        <v>0</v>
      </c>
      <c r="F54" s="28">
        <f t="shared" ca="1" si="2"/>
        <v>0</v>
      </c>
      <c r="G54" s="61">
        <f ca="1">VLOOKUP(B54,'POR EMPLEADO'!P54:Q107,2,FALSE)</f>
        <v>0</v>
      </c>
      <c r="H54" s="134">
        <f t="shared" ca="1" si="0"/>
        <v>0</v>
      </c>
      <c r="I54" s="136">
        <f>'48 SEMANA '!J24</f>
        <v>0</v>
      </c>
      <c r="J54" s="4"/>
      <c r="K54" s="4"/>
      <c r="L54" s="4"/>
      <c r="M54" s="4"/>
      <c r="N54" s="4"/>
      <c r="O54" s="4"/>
      <c r="P54" s="4"/>
      <c r="Q54" s="4"/>
      <c r="R54" s="4"/>
      <c r="S54" s="4"/>
      <c r="T54" s="4"/>
      <c r="U54" s="4"/>
      <c r="V54" s="4"/>
    </row>
    <row r="55" spans="2:22" x14ac:dyDescent="0.25">
      <c r="B55" s="19">
        <v>49</v>
      </c>
      <c r="C55" s="49"/>
      <c r="D55" s="49">
        <f ca="1">VLOOKUP(B55,'POR EMPLEADO'!L56:M108,2,FALSE)</f>
        <v>0</v>
      </c>
      <c r="E55" s="40">
        <f ca="1">VLOOKUP(B55,'POR EMPLEADO'!N56:O108,2,FALSE)</f>
        <v>0</v>
      </c>
      <c r="F55" s="28">
        <f t="shared" ca="1" si="2"/>
        <v>0</v>
      </c>
      <c r="G55" s="61">
        <f ca="1">VLOOKUP(B55,'POR EMPLEADO'!P55:Q108,2,FALSE)</f>
        <v>0</v>
      </c>
      <c r="H55" s="134">
        <f t="shared" ca="1" si="0"/>
        <v>0</v>
      </c>
      <c r="I55" s="136">
        <f>'49 SEMANA'!J24</f>
        <v>0</v>
      </c>
      <c r="J55" s="4"/>
      <c r="K55" s="4"/>
      <c r="L55" s="4"/>
      <c r="M55" s="4"/>
      <c r="N55" s="4"/>
      <c r="O55" s="4"/>
      <c r="P55" s="4"/>
      <c r="Q55" s="4"/>
      <c r="R55" s="4"/>
      <c r="S55" s="4"/>
      <c r="T55" s="4"/>
      <c r="U55" s="4"/>
      <c r="V55" s="4"/>
    </row>
    <row r="56" spans="2:22" x14ac:dyDescent="0.25">
      <c r="B56" s="6">
        <v>50</v>
      </c>
      <c r="C56" s="49"/>
      <c r="D56" s="49">
        <f ca="1">VLOOKUP(B56,'POR EMPLEADO'!L57:M109,2,FALSE)</f>
        <v>0</v>
      </c>
      <c r="E56" s="40">
        <f ca="1">VLOOKUP(B56,'POR EMPLEADO'!N57:O109,2,FALSE)</f>
        <v>0</v>
      </c>
      <c r="F56" s="28">
        <f t="shared" ca="1" si="2"/>
        <v>0</v>
      </c>
      <c r="G56" s="61">
        <f ca="1">VLOOKUP(B56,'POR EMPLEADO'!P56:Q109,2,FALSE)</f>
        <v>0</v>
      </c>
      <c r="H56" s="134">
        <f t="shared" ca="1" si="0"/>
        <v>0</v>
      </c>
      <c r="I56" s="136">
        <f>'50 SEMANA'!J24</f>
        <v>0</v>
      </c>
      <c r="J56" s="4"/>
      <c r="K56" s="4"/>
      <c r="L56" s="4"/>
      <c r="M56" s="4"/>
      <c r="N56" s="4"/>
      <c r="O56" s="4"/>
      <c r="P56" s="4"/>
      <c r="Q56" s="4"/>
      <c r="R56" s="4"/>
      <c r="S56" s="4"/>
      <c r="T56" s="4"/>
      <c r="U56" s="4"/>
      <c r="V56" s="4"/>
    </row>
    <row r="57" spans="2:22" x14ac:dyDescent="0.25">
      <c r="B57" s="6">
        <v>51</v>
      </c>
      <c r="C57" s="49"/>
      <c r="D57" s="49">
        <f ca="1">VLOOKUP(B57,'POR EMPLEADO'!L58:M110,2,FALSE)</f>
        <v>0</v>
      </c>
      <c r="E57" s="40">
        <f ca="1">VLOOKUP(B57,'POR EMPLEADO'!N58:O110,2,FALSE)</f>
        <v>0</v>
      </c>
      <c r="F57" s="28">
        <f t="shared" ca="1" si="2"/>
        <v>0</v>
      </c>
      <c r="G57" s="61">
        <f ca="1">VLOOKUP(B57,'POR EMPLEADO'!P57:Q110,2,FALSE)</f>
        <v>0</v>
      </c>
      <c r="H57" s="134">
        <f t="shared" ca="1" si="0"/>
        <v>0</v>
      </c>
      <c r="I57" s="136">
        <f>'51 SEMANA'!J24</f>
        <v>0</v>
      </c>
      <c r="J57" s="4"/>
      <c r="K57" s="4"/>
      <c r="L57" s="4"/>
      <c r="M57" s="4"/>
      <c r="N57" s="4"/>
      <c r="O57" s="4"/>
      <c r="P57" s="4"/>
      <c r="Q57" s="4"/>
      <c r="R57" s="4"/>
      <c r="S57" s="4"/>
      <c r="T57" s="4"/>
      <c r="U57" s="4"/>
      <c r="V57" s="4"/>
    </row>
    <row r="58" spans="2:22" x14ac:dyDescent="0.25">
      <c r="B58" s="19">
        <v>52</v>
      </c>
      <c r="C58" s="49"/>
      <c r="D58" s="49">
        <f ca="1">VLOOKUP(B58,'POR EMPLEADO'!L59:M111,2,FALSE)</f>
        <v>0</v>
      </c>
      <c r="E58" s="40">
        <f ca="1">VLOOKUP(B58,'POR EMPLEADO'!N59:O111,2,FALSE)</f>
        <v>0</v>
      </c>
      <c r="F58" s="28">
        <f t="shared" ca="1" si="2"/>
        <v>0</v>
      </c>
      <c r="G58" s="61">
        <f ca="1">VLOOKUP(B58,'POR EMPLEADO'!P58:Q111,2,FALSE)</f>
        <v>0</v>
      </c>
      <c r="H58" s="134">
        <f t="shared" ca="1" si="0"/>
        <v>0</v>
      </c>
      <c r="I58" s="136">
        <f>'52 SEMANA '!J24</f>
        <v>0</v>
      </c>
      <c r="J58" s="4"/>
      <c r="K58" s="4"/>
      <c r="L58" s="4"/>
      <c r="M58" s="4"/>
      <c r="N58" s="4"/>
      <c r="O58" s="4"/>
      <c r="P58" s="4"/>
      <c r="Q58" s="4"/>
      <c r="R58" s="4"/>
      <c r="S58" s="4"/>
      <c r="T58" s="4"/>
      <c r="U58" s="4"/>
      <c r="V58" s="4"/>
    </row>
    <row r="59" spans="2:22" x14ac:dyDescent="0.25">
      <c r="C59" s="46">
        <f>SUM(C7:C58)</f>
        <v>0</v>
      </c>
      <c r="D59" s="60">
        <f t="shared" ref="D59:I59" ca="1" si="3">_xlfn.AGGREGATE(9,6,D6:D58)</f>
        <v>171461</v>
      </c>
      <c r="E59" s="60">
        <f t="shared" ca="1" si="3"/>
        <v>79111</v>
      </c>
      <c r="F59" s="60">
        <f t="shared" ca="1" si="3"/>
        <v>92350</v>
      </c>
      <c r="G59" s="60">
        <f t="shared" ca="1" si="3"/>
        <v>92350</v>
      </c>
      <c r="H59" s="60">
        <f t="shared" ca="1" si="3"/>
        <v>0</v>
      </c>
      <c r="I59" s="60">
        <f t="shared" si="3"/>
        <v>92350</v>
      </c>
      <c r="J59" s="4"/>
      <c r="K59" s="4"/>
      <c r="L59" s="4"/>
      <c r="M59" s="4"/>
      <c r="N59" s="4"/>
      <c r="O59" s="4"/>
      <c r="P59" s="4"/>
      <c r="Q59" s="4"/>
      <c r="R59" s="4"/>
      <c r="S59" s="4"/>
      <c r="T59" s="4"/>
      <c r="U59" s="4"/>
      <c r="V59" s="4"/>
    </row>
    <row r="60" spans="2:22" ht="10.5" customHeight="1" x14ac:dyDescent="0.25">
      <c r="E60" s="5"/>
      <c r="F60" s="4"/>
      <c r="G60" s="4"/>
      <c r="H60" s="4"/>
      <c r="I60" s="4"/>
      <c r="J60" s="4"/>
      <c r="K60" s="4"/>
      <c r="L60" s="4"/>
      <c r="M60" s="4"/>
      <c r="N60" s="4"/>
      <c r="O60" s="4"/>
      <c r="P60" s="4"/>
      <c r="Q60" s="4"/>
      <c r="R60" s="4"/>
      <c r="S60" s="4"/>
      <c r="T60" s="4"/>
      <c r="U60" s="4"/>
      <c r="V60" s="4"/>
    </row>
    <row r="61" spans="2:22" x14ac:dyDescent="0.25">
      <c r="E61" s="58" t="s">
        <v>5</v>
      </c>
      <c r="F61" s="59">
        <f ca="1">+D59</f>
        <v>171461</v>
      </c>
      <c r="G61" s="4"/>
      <c r="H61" s="4"/>
      <c r="I61" s="4"/>
      <c r="J61" s="4"/>
      <c r="K61" s="4"/>
      <c r="L61" s="4"/>
      <c r="M61" s="4"/>
      <c r="N61" s="4"/>
      <c r="O61" s="4"/>
      <c r="P61" s="4"/>
      <c r="Q61" s="4"/>
      <c r="R61" s="4"/>
      <c r="S61" s="4"/>
      <c r="T61" s="4"/>
      <c r="U61" s="4"/>
      <c r="V61" s="4"/>
    </row>
    <row r="62" spans="2:22" x14ac:dyDescent="0.25">
      <c r="E62" s="33" t="s">
        <v>6</v>
      </c>
      <c r="F62" s="35">
        <f ca="1">+E59</f>
        <v>79111</v>
      </c>
      <c r="G62" s="4"/>
      <c r="H62" s="4"/>
      <c r="I62" s="4"/>
      <c r="J62" s="4"/>
      <c r="K62" s="4"/>
      <c r="L62" s="4"/>
      <c r="M62" s="4"/>
      <c r="N62" s="4"/>
      <c r="O62" s="4"/>
      <c r="P62" s="4"/>
      <c r="Q62" s="4"/>
      <c r="R62" s="4"/>
      <c r="S62" s="4"/>
      <c r="T62" s="4"/>
      <c r="U62" s="4"/>
      <c r="V62" s="4"/>
    </row>
    <row r="63" spans="2:22" ht="15" customHeight="1" thickBot="1" x14ac:dyDescent="0.3">
      <c r="E63" s="39" t="s">
        <v>7</v>
      </c>
      <c r="F63" s="36">
        <f ca="1">+F59</f>
        <v>92350</v>
      </c>
      <c r="G63" s="4"/>
      <c r="H63" s="4"/>
      <c r="I63" s="4"/>
      <c r="J63" s="4"/>
      <c r="K63" s="4"/>
      <c r="L63" s="4"/>
      <c r="M63" s="4"/>
      <c r="N63" s="4"/>
      <c r="O63" s="4"/>
      <c r="P63" s="4"/>
      <c r="Q63" s="4"/>
      <c r="R63" s="4"/>
      <c r="S63" s="4"/>
      <c r="T63" s="4"/>
      <c r="U63" s="4"/>
      <c r="V63" s="4"/>
    </row>
    <row r="64" spans="2:22" ht="21.75" customHeight="1" x14ac:dyDescent="0.25">
      <c r="E64" s="121" t="s">
        <v>12</v>
      </c>
      <c r="F64" s="122">
        <f>+F84</f>
        <v>9250</v>
      </c>
      <c r="G64" s="70"/>
      <c r="H64" s="4"/>
      <c r="I64" s="4"/>
      <c r="J64" s="4"/>
      <c r="K64" s="4"/>
      <c r="L64" s="4"/>
      <c r="M64" s="4"/>
      <c r="N64" s="4"/>
      <c r="O64" s="4"/>
      <c r="P64" s="4"/>
      <c r="Q64" s="4"/>
      <c r="R64" s="4"/>
      <c r="S64" s="4"/>
      <c r="T64" s="4"/>
      <c r="U64" s="4"/>
      <c r="V64" s="4"/>
    </row>
    <row r="65" spans="2:23" ht="15.75" thickBot="1" x14ac:dyDescent="0.3">
      <c r="E65" t="s">
        <v>4</v>
      </c>
      <c r="F65" s="21">
        <f ca="1">+F63+F64</f>
        <v>101600</v>
      </c>
      <c r="G65" s="4"/>
      <c r="H65" s="4"/>
      <c r="I65" s="4"/>
      <c r="J65" s="4"/>
      <c r="K65" s="4"/>
      <c r="L65" s="4"/>
      <c r="M65" s="4"/>
      <c r="N65" s="4"/>
      <c r="O65" s="4"/>
      <c r="P65" s="4"/>
      <c r="Q65" s="4"/>
      <c r="R65" s="4"/>
      <c r="S65" s="4"/>
      <c r="T65" s="4"/>
      <c r="U65" s="4"/>
      <c r="V65" s="4"/>
    </row>
    <row r="66" spans="2:23" ht="15.75" thickTop="1" x14ac:dyDescent="0.25">
      <c r="F66" s="4"/>
      <c r="G66" s="4"/>
      <c r="H66" s="4"/>
      <c r="I66" s="4"/>
      <c r="J66" s="4"/>
      <c r="K66" s="4"/>
      <c r="L66" s="4"/>
      <c r="M66" s="4"/>
      <c r="N66" s="4"/>
      <c r="O66" s="4"/>
      <c r="P66" s="4"/>
      <c r="Q66" s="4"/>
      <c r="R66" s="4"/>
      <c r="S66" s="4"/>
      <c r="T66" s="4"/>
      <c r="U66" s="4"/>
      <c r="V66" s="4"/>
    </row>
    <row r="67" spans="2:23" x14ac:dyDescent="0.25">
      <c r="C67" s="34"/>
      <c r="D67" s="34"/>
      <c r="E67" s="56" t="s">
        <v>113</v>
      </c>
      <c r="F67" s="57">
        <v>100000</v>
      </c>
      <c r="G67" s="4"/>
      <c r="H67" s="4"/>
      <c r="I67" s="4"/>
      <c r="J67" s="4"/>
      <c r="K67" s="4"/>
      <c r="L67" s="4"/>
      <c r="M67" s="4"/>
      <c r="N67" s="4"/>
      <c r="O67" s="4"/>
      <c r="P67" s="4"/>
      <c r="Q67" s="4"/>
      <c r="R67" s="4"/>
      <c r="S67" s="4"/>
      <c r="T67" s="4"/>
      <c r="U67" s="4"/>
      <c r="V67" s="4"/>
    </row>
    <row r="68" spans="2:23" ht="15.75" thickBot="1" x14ac:dyDescent="0.3">
      <c r="E68" s="24" t="s">
        <v>22</v>
      </c>
      <c r="F68" s="25">
        <f ca="1">+F65-F67</f>
        <v>1600</v>
      </c>
      <c r="G68" s="4"/>
      <c r="H68" s="4"/>
      <c r="I68" s="4"/>
      <c r="J68" s="4"/>
      <c r="K68" s="4"/>
      <c r="L68" s="4"/>
      <c r="M68" s="4"/>
      <c r="N68" s="4"/>
      <c r="O68" s="4"/>
      <c r="P68" s="4"/>
      <c r="Q68" s="4"/>
      <c r="R68" s="4"/>
      <c r="S68" s="4"/>
      <c r="T68" s="4"/>
      <c r="U68" s="4"/>
      <c r="V68" s="4"/>
    </row>
    <row r="69" spans="2:23" ht="15.75" thickTop="1" x14ac:dyDescent="0.25">
      <c r="F69" s="4"/>
      <c r="H69" s="4"/>
      <c r="I69" s="4"/>
      <c r="J69" s="4"/>
      <c r="K69" s="4"/>
      <c r="L69" s="4"/>
      <c r="M69" s="4"/>
      <c r="N69" s="4"/>
      <c r="O69" s="4"/>
      <c r="P69" s="4"/>
      <c r="Q69" s="4"/>
      <c r="R69" s="4"/>
      <c r="S69" s="4"/>
      <c r="T69" s="4"/>
      <c r="U69" s="4"/>
      <c r="V69" s="4"/>
    </row>
    <row r="70" spans="2:23" x14ac:dyDescent="0.25">
      <c r="F70" s="4"/>
      <c r="G70" s="4"/>
      <c r="H70" s="4"/>
      <c r="I70" s="4"/>
      <c r="J70" s="4"/>
      <c r="K70" s="4"/>
      <c r="L70" s="4"/>
      <c r="M70" s="4"/>
      <c r="N70" s="4"/>
      <c r="O70" s="4"/>
      <c r="P70" s="4"/>
      <c r="Q70" s="4"/>
      <c r="R70" s="4"/>
      <c r="S70" s="4"/>
      <c r="T70" s="4"/>
      <c r="U70" s="4"/>
      <c r="V70" s="4"/>
      <c r="W70" s="4"/>
    </row>
    <row r="71" spans="2:23" x14ac:dyDescent="0.25">
      <c r="B71" s="265" t="s">
        <v>26</v>
      </c>
      <c r="C71" s="265"/>
      <c r="D71" s="265"/>
      <c r="E71" s="265"/>
      <c r="F71" s="265"/>
      <c r="G71" s="265"/>
      <c r="H71" s="4"/>
    </row>
    <row r="72" spans="2:23" x14ac:dyDescent="0.25">
      <c r="C72" s="22" t="s">
        <v>24</v>
      </c>
      <c r="D72" s="22" t="s">
        <v>24</v>
      </c>
      <c r="E72" s="55" t="s">
        <v>25</v>
      </c>
      <c r="F72" s="55" t="s">
        <v>4</v>
      </c>
      <c r="H72" s="4"/>
    </row>
    <row r="73" spans="2:23" x14ac:dyDescent="0.25">
      <c r="C73" s="23">
        <v>1000</v>
      </c>
      <c r="D73" s="76">
        <v>1000</v>
      </c>
      <c r="E73" s="54">
        <v>7</v>
      </c>
      <c r="F73" s="76">
        <f>+D73*E73</f>
        <v>7000</v>
      </c>
      <c r="H73" s="4"/>
    </row>
    <row r="74" spans="2:23" x14ac:dyDescent="0.25">
      <c r="C74" s="23">
        <v>500</v>
      </c>
      <c r="D74" s="76">
        <v>500</v>
      </c>
      <c r="E74" s="54">
        <v>4</v>
      </c>
      <c r="F74" s="76">
        <f t="shared" ref="F74:F83" si="4">+D74*E74</f>
        <v>2000</v>
      </c>
    </row>
    <row r="75" spans="2:23" x14ac:dyDescent="0.25">
      <c r="C75" s="23">
        <v>200</v>
      </c>
      <c r="D75" s="76">
        <v>200</v>
      </c>
      <c r="E75" s="54"/>
      <c r="F75" s="76">
        <f>+D75*E75</f>
        <v>0</v>
      </c>
    </row>
    <row r="76" spans="2:23" x14ac:dyDescent="0.25">
      <c r="C76" s="23">
        <v>100</v>
      </c>
      <c r="D76" s="76">
        <v>100</v>
      </c>
      <c r="E76" s="54">
        <v>1</v>
      </c>
      <c r="F76" s="76">
        <f>+D76*E76</f>
        <v>100</v>
      </c>
    </row>
    <row r="77" spans="2:23" x14ac:dyDescent="0.25">
      <c r="C77" s="23">
        <v>50</v>
      </c>
      <c r="D77" s="76">
        <v>50</v>
      </c>
      <c r="E77" s="54">
        <v>1</v>
      </c>
      <c r="F77" s="76">
        <f t="shared" si="4"/>
        <v>50</v>
      </c>
      <c r="M77" s="6"/>
    </row>
    <row r="78" spans="2:23" x14ac:dyDescent="0.25">
      <c r="C78" s="23">
        <v>20</v>
      </c>
      <c r="D78" s="76">
        <v>20</v>
      </c>
      <c r="E78" s="54">
        <v>5</v>
      </c>
      <c r="F78" s="76">
        <f t="shared" si="4"/>
        <v>100</v>
      </c>
    </row>
    <row r="79" spans="2:23" x14ac:dyDescent="0.25">
      <c r="C79" s="23">
        <v>10</v>
      </c>
      <c r="D79" s="76">
        <v>10</v>
      </c>
      <c r="E79" s="54"/>
      <c r="F79" s="76">
        <f t="shared" si="4"/>
        <v>0</v>
      </c>
    </row>
    <row r="80" spans="2:23" x14ac:dyDescent="0.25">
      <c r="C80" s="23">
        <v>5</v>
      </c>
      <c r="D80" s="76">
        <v>5</v>
      </c>
      <c r="E80" s="54"/>
      <c r="F80" s="76">
        <f t="shared" si="4"/>
        <v>0</v>
      </c>
    </row>
    <row r="81" spans="3:6" x14ac:dyDescent="0.25">
      <c r="C81" s="23">
        <v>1</v>
      </c>
      <c r="D81" s="76">
        <v>2</v>
      </c>
      <c r="E81" s="54"/>
      <c r="F81" s="76">
        <f t="shared" si="4"/>
        <v>0</v>
      </c>
    </row>
    <row r="82" spans="3:6" x14ac:dyDescent="0.25">
      <c r="D82" s="76">
        <v>1</v>
      </c>
      <c r="E82" s="54"/>
      <c r="F82" s="76">
        <f t="shared" si="4"/>
        <v>0</v>
      </c>
    </row>
    <row r="83" spans="3:6" x14ac:dyDescent="0.25">
      <c r="D83" s="53"/>
      <c r="E83" s="153"/>
      <c r="F83" s="76">
        <f t="shared" si="4"/>
        <v>0</v>
      </c>
    </row>
    <row r="84" spans="3:6" ht="15.75" thickBot="1" x14ac:dyDescent="0.3">
      <c r="F84" s="77">
        <f>SUM(F73:F83)</f>
        <v>9250</v>
      </c>
    </row>
    <row r="85" spans="3:6" ht="15.75" thickTop="1" x14ac:dyDescent="0.25"/>
  </sheetData>
  <sheetProtection algorithmName="SHA-512" hashValue="eK78ZkbTLNb9QiVEUkOwQa7i6cHLk7y6Bt1OXvasPUoyyE9ZMdRgzSVXGt4QRl/R1zXHUxOkvuFIpt7zw5decw==" saltValue="ktuX1fVFEKmvzZbYwpXezQ==" spinCount="100000" sheet="1" formatCells="0" formatColumns="0" formatRows="0" insertColumns="0" insertRows="0" insertHyperlinks="0" deleteColumns="0" deleteRows="0" sort="0"/>
  <autoFilter ref="B5:I59" xr:uid="{00000000-0001-0000-0000-000000000000}"/>
  <mergeCells count="3">
    <mergeCell ref="C1:G2"/>
    <mergeCell ref="C3:E3"/>
    <mergeCell ref="B71:G71"/>
  </mergeCells>
  <phoneticPr fontId="18" type="noConversion"/>
  <pageMargins left="0.70866141732283472" right="0.70866141732283472" top="0.15748031496062992" bottom="0.15748031496062992" header="0.19685039370078741" footer="0.15748031496062992"/>
  <pageSetup scale="70" orientation="portrait" r:id="rId1"/>
  <ignoredErrors>
    <ignoredError sqref="G7"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FF00"/>
  </sheetPr>
  <dimension ref="A1:Q380"/>
  <sheetViews>
    <sheetView topLeftCell="A5" zoomScale="90" zoomScaleNormal="90" workbookViewId="0">
      <selection activeCell="J27" sqref="J27"/>
    </sheetView>
  </sheetViews>
  <sheetFormatPr baseColWidth="10" defaultRowHeight="15" x14ac:dyDescent="0.25"/>
  <cols>
    <col min="1" max="1" width="16" customWidth="1"/>
    <col min="2" max="2" width="15.7109375" customWidth="1"/>
    <col min="3" max="3" width="61.42578125" bestFit="1" customWidth="1"/>
    <col min="4" max="4" width="14.140625" customWidth="1"/>
    <col min="5" max="5" width="22" bestFit="1" customWidth="1"/>
    <col min="6" max="6" width="14.5703125" style="53" customWidth="1"/>
    <col min="7" max="7" width="21.42578125" bestFit="1" customWidth="1"/>
    <col min="8" max="8" width="14.5703125" customWidth="1"/>
    <col min="10" max="10" width="20.140625" bestFit="1" customWidth="1"/>
    <col min="12" max="12" width="11.5703125" bestFit="1" customWidth="1"/>
    <col min="13" max="13" width="19.7109375" customWidth="1"/>
    <col min="14" max="14" width="16.85546875" bestFit="1" customWidth="1"/>
    <col min="15" max="15" width="14.42578125" bestFit="1" customWidth="1"/>
    <col min="16" max="16" width="12.42578125" bestFit="1" customWidth="1"/>
    <col min="17" max="17" width="11.5703125" bestFit="1" customWidth="1"/>
  </cols>
  <sheetData>
    <row r="1" spans="1:17" ht="27.75" customHeight="1" x14ac:dyDescent="0.6">
      <c r="A1" s="268"/>
      <c r="B1" s="268"/>
      <c r="C1" s="7" t="s">
        <v>8</v>
      </c>
      <c r="D1" s="50"/>
      <c r="E1" s="50"/>
      <c r="F1"/>
    </row>
    <row r="2" spans="1:17" ht="15.75" customHeight="1" thickBot="1" x14ac:dyDescent="0.65">
      <c r="A2" s="268"/>
      <c r="B2" s="268"/>
      <c r="C2" s="8"/>
      <c r="D2" s="51"/>
      <c r="E2" s="51"/>
      <c r="F2"/>
    </row>
    <row r="3" spans="1:17" x14ac:dyDescent="0.25">
      <c r="A3" s="268"/>
      <c r="B3" s="268"/>
      <c r="F3"/>
    </row>
    <row r="4" spans="1:17" ht="23.25" customHeight="1" x14ac:dyDescent="0.35">
      <c r="A4" s="268"/>
      <c r="B4" s="268"/>
      <c r="C4" s="209" t="s">
        <v>9</v>
      </c>
      <c r="D4" s="209"/>
      <c r="E4" s="210">
        <f>+'PRESTAMOS AL PERSONAL '!F67</f>
        <v>100000</v>
      </c>
      <c r="F4"/>
      <c r="L4" s="266" t="s">
        <v>2</v>
      </c>
      <c r="M4" s="267"/>
      <c r="N4" s="275" t="s">
        <v>40</v>
      </c>
      <c r="O4" s="276"/>
      <c r="P4" s="269" t="s">
        <v>18</v>
      </c>
      <c r="Q4" s="270"/>
    </row>
    <row r="5" spans="1:17" ht="22.5" customHeight="1" x14ac:dyDescent="0.35">
      <c r="A5" s="268"/>
      <c r="B5" s="268"/>
      <c r="C5" s="209" t="s">
        <v>12</v>
      </c>
      <c r="D5" s="209"/>
      <c r="E5" s="210">
        <f>+'PRESTAMOS AL PERSONAL '!F84</f>
        <v>9250</v>
      </c>
      <c r="F5"/>
      <c r="L5" s="266"/>
      <c r="M5" s="267"/>
      <c r="N5" s="277"/>
      <c r="O5" s="278"/>
      <c r="P5" s="271"/>
      <c r="Q5" s="272"/>
    </row>
    <row r="6" spans="1:17" ht="26.25" customHeight="1" x14ac:dyDescent="0.5">
      <c r="A6" s="273" t="s">
        <v>10</v>
      </c>
      <c r="B6" s="273"/>
      <c r="C6" s="209" t="s">
        <v>13</v>
      </c>
      <c r="D6" s="209"/>
      <c r="E6" s="210">
        <f>SUM(F9:F380)</f>
        <v>171461</v>
      </c>
      <c r="F6"/>
      <c r="L6" s="71" t="s">
        <v>10</v>
      </c>
      <c r="M6" s="71" t="s">
        <v>11</v>
      </c>
      <c r="N6" s="66" t="s">
        <v>10</v>
      </c>
      <c r="O6" s="66" t="s">
        <v>11</v>
      </c>
      <c r="P6" s="65" t="s">
        <v>10</v>
      </c>
      <c r="Q6" s="65" t="s">
        <v>11</v>
      </c>
    </row>
    <row r="7" spans="1:17" ht="27.75" thickBot="1" x14ac:dyDescent="0.55000000000000004">
      <c r="A7" s="274"/>
      <c r="B7" s="274"/>
      <c r="C7" s="9"/>
      <c r="F7" s="9"/>
      <c r="L7" s="84">
        <v>0</v>
      </c>
      <c r="M7" s="85">
        <f t="shared" ref="M7:M38" ca="1" si="0">SUMIFS(F:F,E:E,L7)</f>
        <v>78211</v>
      </c>
      <c r="N7" s="47">
        <v>0</v>
      </c>
      <c r="O7" s="48">
        <f t="shared" ref="O7:O38" ca="1" si="1">SUMIFS(H:H,G:G,N7)</f>
        <v>53211</v>
      </c>
      <c r="P7" s="26">
        <v>0</v>
      </c>
      <c r="Q7" s="27">
        <f ca="1">SUMIFS(I1:I380,J1:J380,P7)</f>
        <v>25000</v>
      </c>
    </row>
    <row r="8" spans="1:17" x14ac:dyDescent="0.25">
      <c r="A8" s="67" t="s">
        <v>14</v>
      </c>
      <c r="B8" s="67" t="s">
        <v>15</v>
      </c>
      <c r="C8" s="67" t="s">
        <v>16</v>
      </c>
      <c r="D8" s="67" t="s">
        <v>114</v>
      </c>
      <c r="E8" s="44" t="s">
        <v>48</v>
      </c>
      <c r="F8" s="150" t="s">
        <v>17</v>
      </c>
      <c r="G8" s="44" t="s">
        <v>49</v>
      </c>
      <c r="H8" s="146" t="s">
        <v>40</v>
      </c>
      <c r="I8" s="148" t="s">
        <v>18</v>
      </c>
      <c r="J8" s="44" t="s">
        <v>50</v>
      </c>
      <c r="L8" s="84">
        <v>1</v>
      </c>
      <c r="M8" s="85">
        <f t="shared" ca="1" si="0"/>
        <v>16000</v>
      </c>
      <c r="N8" s="47">
        <v>1</v>
      </c>
      <c r="O8" s="48">
        <f t="shared" ca="1" si="1"/>
        <v>7200</v>
      </c>
      <c r="P8" s="26">
        <v>1</v>
      </c>
      <c r="Q8" s="27">
        <f t="shared" ref="Q8:Q39" ca="1" si="2">SUMIFS(I1:I380,J1:J380,P8)</f>
        <v>8800</v>
      </c>
    </row>
    <row r="9" spans="1:17" x14ac:dyDescent="0.25">
      <c r="A9" s="37">
        <f>'01 SEMANA '!A9</f>
        <v>46026</v>
      </c>
      <c r="B9" s="38">
        <f>'01 SEMANA '!B9</f>
        <v>129</v>
      </c>
      <c r="C9" s="38" t="str">
        <f>'01 SEMANA '!C9</f>
        <v>Reyes Enriquez García</v>
      </c>
      <c r="D9" s="38" t="str">
        <f>'01 SEMANA '!D9</f>
        <v xml:space="preserve">COCINA </v>
      </c>
      <c r="E9" s="38">
        <f t="shared" ref="E9:E72" si="3">_xlfn.ISOWEEKNUM(A9)</f>
        <v>1</v>
      </c>
      <c r="F9" s="20">
        <f>'01 SEMANA '!E9</f>
        <v>1000</v>
      </c>
      <c r="G9" s="45">
        <f t="shared" ref="G9:G72" si="4">_xlfn.ISOWEEKNUM(A9)</f>
        <v>1</v>
      </c>
      <c r="H9" s="147">
        <f>+'01 SEMANA '!Q9</f>
        <v>500</v>
      </c>
      <c r="I9" s="149">
        <f>+F9-H9</f>
        <v>500</v>
      </c>
      <c r="J9" s="42">
        <f t="shared" ref="J9:J72" si="5">_xlfn.ISOWEEKNUM(A9)</f>
        <v>1</v>
      </c>
      <c r="L9" s="84">
        <v>2</v>
      </c>
      <c r="M9" s="85">
        <f t="shared" ca="1" si="0"/>
        <v>5000</v>
      </c>
      <c r="N9" s="47">
        <v>2</v>
      </c>
      <c r="O9" s="48">
        <f t="shared" ca="1" si="1"/>
        <v>2500</v>
      </c>
      <c r="P9" s="26">
        <v>2</v>
      </c>
      <c r="Q9" s="27">
        <f t="shared" ca="1" si="2"/>
        <v>2500</v>
      </c>
    </row>
    <row r="10" spans="1:17" x14ac:dyDescent="0.25">
      <c r="A10" s="37">
        <f>'01 SEMANA '!A10</f>
        <v>46026</v>
      </c>
      <c r="B10" s="38">
        <f>'01 SEMANA '!B10</f>
        <v>245</v>
      </c>
      <c r="C10" s="38" t="str">
        <f>'01 SEMANA '!C10</f>
        <v>Antonio Noriega</v>
      </c>
      <c r="D10" s="38" t="str">
        <f>'01 SEMANA '!D10</f>
        <v xml:space="preserve">COCINA </v>
      </c>
      <c r="E10" s="38">
        <f t="shared" si="3"/>
        <v>1</v>
      </c>
      <c r="F10" s="20">
        <f>'01 SEMANA '!E10</f>
        <v>3000</v>
      </c>
      <c r="G10" s="45">
        <f t="shared" si="4"/>
        <v>1</v>
      </c>
      <c r="H10" s="147">
        <f>+'01 SEMANA '!Q10</f>
        <v>1500</v>
      </c>
      <c r="I10" s="149">
        <f t="shared" ref="I10:I36" si="6">+F10-H10</f>
        <v>1500</v>
      </c>
      <c r="J10" s="42">
        <f t="shared" si="5"/>
        <v>1</v>
      </c>
      <c r="L10" s="84">
        <v>3</v>
      </c>
      <c r="M10" s="85">
        <f t="shared" ca="1" si="0"/>
        <v>17500</v>
      </c>
      <c r="N10" s="47">
        <v>3</v>
      </c>
      <c r="O10" s="48">
        <f t="shared" ca="1" si="1"/>
        <v>7000</v>
      </c>
      <c r="P10" s="26">
        <v>3</v>
      </c>
      <c r="Q10" s="27">
        <f t="shared" ca="1" si="2"/>
        <v>10500</v>
      </c>
    </row>
    <row r="11" spans="1:17" ht="13.5" customHeight="1" x14ac:dyDescent="0.25">
      <c r="A11" s="37">
        <f>'01 SEMANA '!A11</f>
        <v>46026</v>
      </c>
      <c r="B11" s="38">
        <f>'01 SEMANA '!B11</f>
        <v>453</v>
      </c>
      <c r="C11" s="38" t="str">
        <f>'01 SEMANA '!C11</f>
        <v>Martin Gabriel Rodríguez</v>
      </c>
      <c r="D11" s="38" t="str">
        <f>'01 SEMANA '!D11</f>
        <v xml:space="preserve">COCINA </v>
      </c>
      <c r="E11" s="38">
        <f t="shared" si="3"/>
        <v>1</v>
      </c>
      <c r="F11" s="20">
        <f>'01 SEMANA '!E11</f>
        <v>4000</v>
      </c>
      <c r="G11" s="45">
        <f t="shared" si="4"/>
        <v>1</v>
      </c>
      <c r="H11" s="147">
        <f>+'01 SEMANA '!Q11</f>
        <v>2000</v>
      </c>
      <c r="I11" s="149">
        <f t="shared" si="6"/>
        <v>2000</v>
      </c>
      <c r="J11" s="42">
        <f t="shared" si="5"/>
        <v>1</v>
      </c>
      <c r="L11" s="84">
        <v>4</v>
      </c>
      <c r="M11" s="85">
        <f t="shared" ca="1" si="0"/>
        <v>14000</v>
      </c>
      <c r="N11" s="47">
        <v>4</v>
      </c>
      <c r="O11" s="48">
        <f t="shared" ca="1" si="1"/>
        <v>4200</v>
      </c>
      <c r="P11" s="26">
        <v>4</v>
      </c>
      <c r="Q11" s="27">
        <f t="shared" ca="1" si="2"/>
        <v>9800</v>
      </c>
    </row>
    <row r="12" spans="1:17" ht="15" customHeight="1" x14ac:dyDescent="0.25">
      <c r="A12" s="37">
        <f>'01 SEMANA '!A12</f>
        <v>46026</v>
      </c>
      <c r="B12" s="38">
        <f>'01 SEMANA '!B12</f>
        <v>780</v>
      </c>
      <c r="C12" s="38" t="str">
        <f>'01 SEMANA '!C12</f>
        <v>Carlos Olmos Hipolito</v>
      </c>
      <c r="D12" s="38" t="str">
        <f>'01 SEMANA '!D12</f>
        <v xml:space="preserve">COCINA </v>
      </c>
      <c r="E12" s="38">
        <f t="shared" si="3"/>
        <v>1</v>
      </c>
      <c r="F12" s="20">
        <f>'01 SEMANA '!E12</f>
        <v>4000</v>
      </c>
      <c r="G12" s="45">
        <f t="shared" si="4"/>
        <v>1</v>
      </c>
      <c r="H12" s="147">
        <f>+'01 SEMANA '!Q12</f>
        <v>2000</v>
      </c>
      <c r="I12" s="149">
        <f t="shared" si="6"/>
        <v>2000</v>
      </c>
      <c r="J12" s="42">
        <f t="shared" si="5"/>
        <v>1</v>
      </c>
      <c r="L12" s="84">
        <v>5</v>
      </c>
      <c r="M12" s="85">
        <f t="shared" ca="1" si="0"/>
        <v>20250</v>
      </c>
      <c r="N12" s="47">
        <v>5</v>
      </c>
      <c r="O12" s="48">
        <f t="shared" ca="1" si="1"/>
        <v>4200</v>
      </c>
      <c r="P12" s="26">
        <v>5</v>
      </c>
      <c r="Q12" s="27">
        <f t="shared" ca="1" si="2"/>
        <v>16050</v>
      </c>
    </row>
    <row r="13" spans="1:17" ht="15" customHeight="1" x14ac:dyDescent="0.25">
      <c r="A13" s="37">
        <f>'01 SEMANA '!A13</f>
        <v>46026</v>
      </c>
      <c r="B13" s="38">
        <f>'01 SEMANA '!B13</f>
        <v>790</v>
      </c>
      <c r="C13" s="38" t="str">
        <f>'01 SEMANA '!C13</f>
        <v>Regina Quintero Negrete</v>
      </c>
      <c r="D13" s="38" t="str">
        <f>'01 SEMANA '!D13</f>
        <v xml:space="preserve">COCINA </v>
      </c>
      <c r="E13" s="38">
        <f t="shared" si="3"/>
        <v>1</v>
      </c>
      <c r="F13" s="20">
        <f>'01 SEMANA '!E13</f>
        <v>4000</v>
      </c>
      <c r="G13" s="45">
        <f t="shared" si="4"/>
        <v>1</v>
      </c>
      <c r="H13" s="147">
        <f>+'01 SEMANA '!Q13</f>
        <v>1200</v>
      </c>
      <c r="I13" s="149">
        <f t="shared" si="6"/>
        <v>2800</v>
      </c>
      <c r="J13" s="42">
        <f t="shared" si="5"/>
        <v>1</v>
      </c>
      <c r="L13" s="84">
        <v>6</v>
      </c>
      <c r="M13" s="85">
        <f t="shared" ca="1" si="0"/>
        <v>8000</v>
      </c>
      <c r="N13" s="47">
        <v>6</v>
      </c>
      <c r="O13" s="48">
        <f t="shared" ca="1" si="1"/>
        <v>800</v>
      </c>
      <c r="P13" s="26">
        <v>6</v>
      </c>
      <c r="Q13" s="27">
        <f t="shared" ca="1" si="2"/>
        <v>7200</v>
      </c>
    </row>
    <row r="14" spans="1:17" ht="15" customHeight="1" x14ac:dyDescent="0.25">
      <c r="A14" s="37">
        <f>+'01 SEMANA '!A14</f>
        <v>0</v>
      </c>
      <c r="B14" s="38">
        <f>'01 SEMANA '!B14</f>
        <v>0</v>
      </c>
      <c r="C14" s="38">
        <f>'01 SEMANA '!C14</f>
        <v>0</v>
      </c>
      <c r="D14" s="38">
        <f>'01 SEMANA '!D14</f>
        <v>0</v>
      </c>
      <c r="E14" s="38">
        <f t="shared" si="3"/>
        <v>52</v>
      </c>
      <c r="F14" s="20">
        <f>'01 SEMANA '!E14</f>
        <v>0</v>
      </c>
      <c r="G14" s="45">
        <f t="shared" si="4"/>
        <v>52</v>
      </c>
      <c r="H14" s="147">
        <f>+'01 SEMANA '!Q14</f>
        <v>0</v>
      </c>
      <c r="I14" s="149">
        <f t="shared" si="6"/>
        <v>0</v>
      </c>
      <c r="J14" s="42">
        <f t="shared" si="5"/>
        <v>52</v>
      </c>
      <c r="L14" s="84">
        <v>7</v>
      </c>
      <c r="M14" s="85">
        <f t="shared" ca="1" si="0"/>
        <v>3000</v>
      </c>
      <c r="N14" s="47">
        <v>7</v>
      </c>
      <c r="O14" s="48">
        <f t="shared" ca="1" si="1"/>
        <v>0</v>
      </c>
      <c r="P14" s="26">
        <v>7</v>
      </c>
      <c r="Q14" s="27">
        <f t="shared" ca="1" si="2"/>
        <v>3000</v>
      </c>
    </row>
    <row r="15" spans="1:17" ht="15" customHeight="1" x14ac:dyDescent="0.25">
      <c r="A15" s="37">
        <f>+'01 SEMANA '!A15</f>
        <v>0</v>
      </c>
      <c r="B15" s="38">
        <f>'01 SEMANA '!B15</f>
        <v>0</v>
      </c>
      <c r="C15" s="38">
        <f>'01 SEMANA '!C15</f>
        <v>0</v>
      </c>
      <c r="D15" s="38">
        <f>'01 SEMANA '!D15</f>
        <v>0</v>
      </c>
      <c r="E15" s="38">
        <f t="shared" si="3"/>
        <v>52</v>
      </c>
      <c r="F15" s="20">
        <f>'01 SEMANA '!E15</f>
        <v>0</v>
      </c>
      <c r="G15" s="45">
        <f t="shared" si="4"/>
        <v>52</v>
      </c>
      <c r="H15" s="147">
        <f>+'01 SEMANA '!Q15</f>
        <v>0</v>
      </c>
      <c r="I15" s="149">
        <f t="shared" si="6"/>
        <v>0</v>
      </c>
      <c r="J15" s="42">
        <f t="shared" si="5"/>
        <v>52</v>
      </c>
      <c r="L15" s="84">
        <v>8</v>
      </c>
      <c r="M15" s="85">
        <f t="shared" ca="1" si="0"/>
        <v>9500</v>
      </c>
      <c r="N15" s="47">
        <v>8</v>
      </c>
      <c r="O15" s="48">
        <f t="shared" ca="1" si="1"/>
        <v>0</v>
      </c>
      <c r="P15" s="26">
        <v>8</v>
      </c>
      <c r="Q15" s="27">
        <f t="shared" ca="1" si="2"/>
        <v>9500</v>
      </c>
    </row>
    <row r="16" spans="1:17" x14ac:dyDescent="0.25">
      <c r="A16" s="247">
        <f>'02 SEMANA'!A9</f>
        <v>46032</v>
      </c>
      <c r="B16" s="178">
        <f>'02 SEMANA'!B9</f>
        <v>743</v>
      </c>
      <c r="C16" s="178" t="str">
        <f>'02 SEMANA'!C9</f>
        <v>ALDO DAVID GUTIERREZ MONTIEL</v>
      </c>
      <c r="D16" s="178" t="str">
        <f>'02 SEMANA'!D9</f>
        <v xml:space="preserve">COCINA </v>
      </c>
      <c r="E16" s="178">
        <f t="shared" si="3"/>
        <v>2</v>
      </c>
      <c r="F16" s="20">
        <f>'02 SEMANA'!E9</f>
        <v>5000</v>
      </c>
      <c r="G16" s="45">
        <f t="shared" si="4"/>
        <v>2</v>
      </c>
      <c r="H16" s="147">
        <f>+'02 SEMANA'!Q9</f>
        <v>2500</v>
      </c>
      <c r="I16" s="149">
        <f>+F16-H16</f>
        <v>2500</v>
      </c>
      <c r="J16" s="42">
        <f t="shared" si="5"/>
        <v>2</v>
      </c>
      <c r="L16" s="84">
        <v>9</v>
      </c>
      <c r="M16" s="85">
        <f t="shared" ca="1" si="0"/>
        <v>0</v>
      </c>
      <c r="N16" s="47">
        <v>9</v>
      </c>
      <c r="O16" s="48">
        <f t="shared" ca="1" si="1"/>
        <v>0</v>
      </c>
      <c r="P16" s="26">
        <v>9</v>
      </c>
      <c r="Q16" s="27">
        <f t="shared" ca="1" si="2"/>
        <v>0</v>
      </c>
    </row>
    <row r="17" spans="1:17" x14ac:dyDescent="0.25">
      <c r="A17" s="247">
        <f>'02 SEMANA'!A10</f>
        <v>0</v>
      </c>
      <c r="B17" s="178">
        <f>'02 SEMANA'!B10</f>
        <v>0</v>
      </c>
      <c r="C17" s="178">
        <f>'02 SEMANA'!C10</f>
        <v>0</v>
      </c>
      <c r="D17" s="178" t="str">
        <f>+'01 SEMANA '!D10</f>
        <v xml:space="preserve">COCINA </v>
      </c>
      <c r="E17" s="178">
        <f t="shared" si="3"/>
        <v>52</v>
      </c>
      <c r="F17" s="20">
        <f>'02 SEMANA'!E10</f>
        <v>0</v>
      </c>
      <c r="G17" s="45">
        <f t="shared" si="4"/>
        <v>52</v>
      </c>
      <c r="H17" s="147">
        <f>+'02 SEMANA'!Q10</f>
        <v>0</v>
      </c>
      <c r="I17" s="149">
        <f t="shared" si="6"/>
        <v>0</v>
      </c>
      <c r="J17" s="42">
        <f t="shared" si="5"/>
        <v>52</v>
      </c>
      <c r="L17" s="84">
        <v>10</v>
      </c>
      <c r="M17" s="85">
        <f t="shared" ca="1" si="0"/>
        <v>0</v>
      </c>
      <c r="N17" s="47">
        <v>10</v>
      </c>
      <c r="O17" s="48">
        <f t="shared" ca="1" si="1"/>
        <v>0</v>
      </c>
      <c r="P17" s="26">
        <v>10</v>
      </c>
      <c r="Q17" s="27">
        <f t="shared" ca="1" si="2"/>
        <v>0</v>
      </c>
    </row>
    <row r="18" spans="1:17" x14ac:dyDescent="0.25">
      <c r="A18" s="247">
        <f>'02 SEMANA'!A11</f>
        <v>0</v>
      </c>
      <c r="B18" s="178">
        <f>'02 SEMANA'!B11</f>
        <v>0</v>
      </c>
      <c r="C18" s="178">
        <f>'02 SEMANA'!C11</f>
        <v>0</v>
      </c>
      <c r="D18" s="178" t="str">
        <f>+'01 SEMANA '!D11</f>
        <v xml:space="preserve">COCINA </v>
      </c>
      <c r="E18" s="178">
        <f t="shared" si="3"/>
        <v>52</v>
      </c>
      <c r="F18" s="20">
        <f>'02 SEMANA'!E11</f>
        <v>0</v>
      </c>
      <c r="G18" s="45">
        <f t="shared" si="4"/>
        <v>52</v>
      </c>
      <c r="H18" s="147">
        <f>+'02 SEMANA'!Q11</f>
        <v>0</v>
      </c>
      <c r="I18" s="149">
        <f t="shared" si="6"/>
        <v>0</v>
      </c>
      <c r="J18" s="42">
        <f t="shared" si="5"/>
        <v>52</v>
      </c>
      <c r="L18" s="84">
        <v>11</v>
      </c>
      <c r="M18" s="85">
        <f t="shared" ca="1" si="0"/>
        <v>0</v>
      </c>
      <c r="N18" s="47">
        <v>11</v>
      </c>
      <c r="O18" s="48">
        <f t="shared" ca="1" si="1"/>
        <v>0</v>
      </c>
      <c r="P18" s="26">
        <v>11</v>
      </c>
      <c r="Q18" s="27">
        <f t="shared" ca="1" si="2"/>
        <v>0</v>
      </c>
    </row>
    <row r="19" spans="1:17" x14ac:dyDescent="0.25">
      <c r="A19" s="247">
        <f>'02 SEMANA'!A12</f>
        <v>0</v>
      </c>
      <c r="B19" s="178">
        <f>'02 SEMANA'!B12</f>
        <v>0</v>
      </c>
      <c r="C19" s="178">
        <f>'02 SEMANA'!C12</f>
        <v>0</v>
      </c>
      <c r="D19" s="178" t="str">
        <f>+'01 SEMANA '!D12</f>
        <v xml:space="preserve">COCINA </v>
      </c>
      <c r="E19" s="178">
        <f t="shared" si="3"/>
        <v>52</v>
      </c>
      <c r="F19" s="20">
        <f>'02 SEMANA'!E12</f>
        <v>0</v>
      </c>
      <c r="G19" s="45">
        <f t="shared" si="4"/>
        <v>52</v>
      </c>
      <c r="H19" s="147">
        <f>+'02 SEMANA'!Q12</f>
        <v>0</v>
      </c>
      <c r="I19" s="149">
        <f t="shared" si="6"/>
        <v>0</v>
      </c>
      <c r="J19" s="42">
        <f t="shared" si="5"/>
        <v>52</v>
      </c>
      <c r="L19" s="84">
        <v>12</v>
      </c>
      <c r="M19" s="85">
        <f t="shared" ca="1" si="0"/>
        <v>0</v>
      </c>
      <c r="N19" s="47">
        <v>12</v>
      </c>
      <c r="O19" s="48">
        <f t="shared" ca="1" si="1"/>
        <v>0</v>
      </c>
      <c r="P19" s="26">
        <v>12</v>
      </c>
      <c r="Q19" s="27">
        <f t="shared" ca="1" si="2"/>
        <v>0</v>
      </c>
    </row>
    <row r="20" spans="1:17" x14ac:dyDescent="0.25">
      <c r="A20" s="247">
        <f>'02 SEMANA'!A13</f>
        <v>0</v>
      </c>
      <c r="B20" s="178">
        <f>'02 SEMANA'!B13</f>
        <v>0</v>
      </c>
      <c r="C20" s="178">
        <f>'02 SEMANA'!C13</f>
        <v>0</v>
      </c>
      <c r="D20" s="178" t="str">
        <f>+'01 SEMANA '!D13</f>
        <v xml:space="preserve">COCINA </v>
      </c>
      <c r="E20" s="178">
        <f t="shared" si="3"/>
        <v>52</v>
      </c>
      <c r="F20" s="20">
        <f>'02 SEMANA'!E13</f>
        <v>0</v>
      </c>
      <c r="G20" s="45">
        <f t="shared" si="4"/>
        <v>52</v>
      </c>
      <c r="H20" s="147">
        <f>+'02 SEMANA'!Q13</f>
        <v>0</v>
      </c>
      <c r="I20" s="149">
        <f t="shared" si="6"/>
        <v>0</v>
      </c>
      <c r="J20" s="42">
        <f t="shared" si="5"/>
        <v>52</v>
      </c>
      <c r="L20" s="84">
        <v>13</v>
      </c>
      <c r="M20" s="85">
        <f t="shared" ca="1" si="0"/>
        <v>0</v>
      </c>
      <c r="N20" s="47">
        <v>13</v>
      </c>
      <c r="O20" s="48">
        <f t="shared" ca="1" si="1"/>
        <v>0</v>
      </c>
      <c r="P20" s="26">
        <v>13</v>
      </c>
      <c r="Q20" s="27">
        <f t="shared" ca="1" si="2"/>
        <v>0</v>
      </c>
    </row>
    <row r="21" spans="1:17" x14ac:dyDescent="0.25">
      <c r="A21" s="247">
        <f>'02 SEMANA'!A14</f>
        <v>0</v>
      </c>
      <c r="B21" s="178">
        <f>'02 SEMANA'!B14</f>
        <v>0</v>
      </c>
      <c r="C21" s="178">
        <f>'02 SEMANA'!C14</f>
        <v>0</v>
      </c>
      <c r="D21" s="178">
        <f>+'02 SEMANA'!D14</f>
        <v>0</v>
      </c>
      <c r="E21" s="178">
        <f t="shared" si="3"/>
        <v>52</v>
      </c>
      <c r="F21" s="20">
        <f>'02 SEMANA'!E14</f>
        <v>0</v>
      </c>
      <c r="G21" s="45">
        <f t="shared" si="4"/>
        <v>52</v>
      </c>
      <c r="H21" s="147">
        <f>+'02 SEMANA'!Q14</f>
        <v>0</v>
      </c>
      <c r="I21" s="149">
        <f t="shared" si="6"/>
        <v>0</v>
      </c>
      <c r="J21" s="42">
        <f t="shared" si="5"/>
        <v>52</v>
      </c>
      <c r="L21" s="84">
        <v>14</v>
      </c>
      <c r="M21" s="85">
        <f t="shared" ca="1" si="0"/>
        <v>0</v>
      </c>
      <c r="N21" s="47">
        <v>14</v>
      </c>
      <c r="O21" s="48">
        <f t="shared" ca="1" si="1"/>
        <v>0</v>
      </c>
      <c r="P21" s="26">
        <v>14</v>
      </c>
      <c r="Q21" s="27">
        <f t="shared" ca="1" si="2"/>
        <v>0</v>
      </c>
    </row>
    <row r="22" spans="1:17" x14ac:dyDescent="0.25">
      <c r="A22" s="247">
        <f>'02 SEMANA'!A15</f>
        <v>0</v>
      </c>
      <c r="B22" s="178">
        <f>'02 SEMANA'!B15</f>
        <v>0</v>
      </c>
      <c r="C22" s="178">
        <f>'02 SEMANA'!C15</f>
        <v>0</v>
      </c>
      <c r="D22" s="178">
        <f>+'02 SEMANA'!D15</f>
        <v>0</v>
      </c>
      <c r="E22" s="178">
        <f t="shared" si="3"/>
        <v>52</v>
      </c>
      <c r="F22" s="20">
        <f>'02 SEMANA'!E15</f>
        <v>0</v>
      </c>
      <c r="G22" s="45">
        <f t="shared" si="4"/>
        <v>52</v>
      </c>
      <c r="H22" s="147">
        <f>+'02 SEMANA'!Q15</f>
        <v>0</v>
      </c>
      <c r="I22" s="149">
        <f t="shared" si="6"/>
        <v>0</v>
      </c>
      <c r="J22" s="42">
        <f t="shared" si="5"/>
        <v>52</v>
      </c>
      <c r="L22" s="84">
        <v>15</v>
      </c>
      <c r="M22" s="85">
        <f t="shared" ca="1" si="0"/>
        <v>0</v>
      </c>
      <c r="N22" s="47">
        <v>15</v>
      </c>
      <c r="O22" s="48">
        <f t="shared" ca="1" si="1"/>
        <v>0</v>
      </c>
      <c r="P22" s="26">
        <v>15</v>
      </c>
      <c r="Q22" s="27">
        <f t="shared" ca="1" si="2"/>
        <v>0</v>
      </c>
    </row>
    <row r="23" spans="1:17" x14ac:dyDescent="0.25">
      <c r="A23" s="37">
        <f>'03 SEMANA'!A9</f>
        <v>46040</v>
      </c>
      <c r="B23" s="38">
        <f>'03 SEMANA'!B9</f>
        <v>382</v>
      </c>
      <c r="C23" s="38" t="str">
        <f>'03 SEMANA'!C9</f>
        <v xml:space="preserve">LUCIA LEON MARCELINO </v>
      </c>
      <c r="D23" s="38" t="str">
        <f>'03 SEMANA'!D9</f>
        <v>COCINA</v>
      </c>
      <c r="E23" s="38">
        <f t="shared" si="3"/>
        <v>3</v>
      </c>
      <c r="F23" s="20">
        <f>'03 SEMANA'!E9</f>
        <v>1500</v>
      </c>
      <c r="G23" s="45">
        <f t="shared" si="4"/>
        <v>3</v>
      </c>
      <c r="H23" s="147">
        <f>+'03 SEMANA'!W9</f>
        <v>600</v>
      </c>
      <c r="I23" s="149">
        <f>+F23-H23</f>
        <v>900</v>
      </c>
      <c r="J23" s="42">
        <f t="shared" si="5"/>
        <v>3</v>
      </c>
      <c r="L23" s="84">
        <v>16</v>
      </c>
      <c r="M23" s="85">
        <f t="shared" ca="1" si="0"/>
        <v>0</v>
      </c>
      <c r="N23" s="47">
        <v>16</v>
      </c>
      <c r="O23" s="48">
        <f t="shared" ca="1" si="1"/>
        <v>0</v>
      </c>
      <c r="P23" s="26">
        <v>16</v>
      </c>
      <c r="Q23" s="27">
        <f t="shared" ca="1" si="2"/>
        <v>0</v>
      </c>
    </row>
    <row r="24" spans="1:17" x14ac:dyDescent="0.25">
      <c r="A24" s="37">
        <f>'03 SEMANA'!A10</f>
        <v>46040</v>
      </c>
      <c r="B24" s="38">
        <f>'03 SEMANA'!B10</f>
        <v>487</v>
      </c>
      <c r="C24" s="38" t="str">
        <f>'03 SEMANA'!C10</f>
        <v>ALAN AXEL MONTES DE OCA</v>
      </c>
      <c r="D24" s="38" t="str">
        <f>'03 SEMANA'!D10</f>
        <v xml:space="preserve">COMEDOR </v>
      </c>
      <c r="E24" s="38">
        <f t="shared" si="3"/>
        <v>3</v>
      </c>
      <c r="F24" s="20">
        <f>'03 SEMANA'!E10</f>
        <v>3000</v>
      </c>
      <c r="G24" s="45">
        <f t="shared" si="4"/>
        <v>3</v>
      </c>
      <c r="H24" s="147">
        <f>+'03 SEMANA'!W10</f>
        <v>1200</v>
      </c>
      <c r="I24" s="149">
        <f t="shared" si="6"/>
        <v>1800</v>
      </c>
      <c r="J24" s="42">
        <f t="shared" si="5"/>
        <v>3</v>
      </c>
      <c r="L24" s="84">
        <v>17</v>
      </c>
      <c r="M24" s="85">
        <f t="shared" ca="1" si="0"/>
        <v>0</v>
      </c>
      <c r="N24" s="47">
        <v>17</v>
      </c>
      <c r="O24" s="48">
        <f t="shared" ca="1" si="1"/>
        <v>0</v>
      </c>
      <c r="P24" s="26">
        <v>17</v>
      </c>
      <c r="Q24" s="27">
        <f t="shared" ca="1" si="2"/>
        <v>0</v>
      </c>
    </row>
    <row r="25" spans="1:17" x14ac:dyDescent="0.25">
      <c r="A25" s="37">
        <f>'03 SEMANA'!A11</f>
        <v>46040</v>
      </c>
      <c r="B25" s="38">
        <f>'03 SEMANA'!B11</f>
        <v>563</v>
      </c>
      <c r="C25" s="38" t="str">
        <f>'03 SEMANA'!C11</f>
        <v xml:space="preserve">JUAN DANIEL CUACUA BALDERAS </v>
      </c>
      <c r="D25" s="38" t="str">
        <f>'03 SEMANA'!D11</f>
        <v xml:space="preserve">COMEDOR </v>
      </c>
      <c r="E25" s="38">
        <f t="shared" si="3"/>
        <v>3</v>
      </c>
      <c r="F25" s="20">
        <f>'03 SEMANA'!E11</f>
        <v>5000</v>
      </c>
      <c r="G25" s="45">
        <f t="shared" si="4"/>
        <v>3</v>
      </c>
      <c r="H25" s="147">
        <f>+'03 SEMANA'!W11</f>
        <v>2000</v>
      </c>
      <c r="I25" s="149">
        <f t="shared" si="6"/>
        <v>3000</v>
      </c>
      <c r="J25" s="42">
        <f t="shared" si="5"/>
        <v>3</v>
      </c>
      <c r="L25" s="84">
        <v>18</v>
      </c>
      <c r="M25" s="85">
        <f t="shared" ca="1" si="0"/>
        <v>0</v>
      </c>
      <c r="N25" s="47">
        <v>18</v>
      </c>
      <c r="O25" s="48">
        <f t="shared" ca="1" si="1"/>
        <v>0</v>
      </c>
      <c r="P25" s="26">
        <v>18</v>
      </c>
      <c r="Q25" s="27">
        <f t="shared" ca="1" si="2"/>
        <v>0</v>
      </c>
    </row>
    <row r="26" spans="1:17" x14ac:dyDescent="0.25">
      <c r="A26" s="37">
        <f>'03 SEMANA'!A12</f>
        <v>46040</v>
      </c>
      <c r="B26" s="38">
        <f>'03 SEMANA'!B12</f>
        <v>794</v>
      </c>
      <c r="C26" s="38" t="str">
        <f>'03 SEMANA'!C12</f>
        <v xml:space="preserve">JOSHUE OSMAR GONZAGA GARCIA </v>
      </c>
      <c r="D26" s="38" t="str">
        <f>'03 SEMANA'!D12</f>
        <v>COCINA</v>
      </c>
      <c r="E26" s="38">
        <f t="shared" si="3"/>
        <v>3</v>
      </c>
      <c r="F26" s="20">
        <f>'03 SEMANA'!E12</f>
        <v>5000</v>
      </c>
      <c r="G26" s="45">
        <f t="shared" si="4"/>
        <v>3</v>
      </c>
      <c r="H26" s="147">
        <f>+'03 SEMANA'!W12</f>
        <v>2000</v>
      </c>
      <c r="I26" s="149">
        <f t="shared" si="6"/>
        <v>3000</v>
      </c>
      <c r="J26" s="42">
        <f t="shared" si="5"/>
        <v>3</v>
      </c>
      <c r="L26" s="84">
        <v>19</v>
      </c>
      <c r="M26" s="85">
        <f t="shared" ca="1" si="0"/>
        <v>0</v>
      </c>
      <c r="N26" s="47">
        <v>19</v>
      </c>
      <c r="O26" s="48">
        <f t="shared" ca="1" si="1"/>
        <v>0</v>
      </c>
      <c r="P26" s="26">
        <v>19</v>
      </c>
      <c r="Q26" s="27">
        <f t="shared" ca="1" si="2"/>
        <v>0</v>
      </c>
    </row>
    <row r="27" spans="1:17" x14ac:dyDescent="0.25">
      <c r="A27" s="37">
        <f>'03 SEMANA'!A13</f>
        <v>46040</v>
      </c>
      <c r="B27" s="38">
        <f>'03 SEMANA'!B13</f>
        <v>819</v>
      </c>
      <c r="C27" s="38" t="str">
        <f>'03 SEMANA'!C13</f>
        <v xml:space="preserve">ALAN SANCHEZ SANCHEZ </v>
      </c>
      <c r="D27" s="38" t="str">
        <f>'03 SEMANA'!D13</f>
        <v>COCINA</v>
      </c>
      <c r="E27" s="38">
        <f t="shared" si="3"/>
        <v>3</v>
      </c>
      <c r="F27" s="20">
        <f>'03 SEMANA'!E13</f>
        <v>3000</v>
      </c>
      <c r="G27" s="45">
        <f t="shared" si="4"/>
        <v>3</v>
      </c>
      <c r="H27" s="147">
        <f>+'03 SEMANA'!W13</f>
        <v>1200</v>
      </c>
      <c r="I27" s="149">
        <f t="shared" si="6"/>
        <v>1800</v>
      </c>
      <c r="J27" s="42">
        <f t="shared" si="5"/>
        <v>3</v>
      </c>
      <c r="L27" s="84">
        <v>20</v>
      </c>
      <c r="M27" s="85">
        <f t="shared" ca="1" si="0"/>
        <v>0</v>
      </c>
      <c r="N27" s="47">
        <v>20</v>
      </c>
      <c r="O27" s="48">
        <f t="shared" ca="1" si="1"/>
        <v>0</v>
      </c>
      <c r="P27" s="26">
        <v>20</v>
      </c>
      <c r="Q27" s="27">
        <f t="shared" ca="1" si="2"/>
        <v>0</v>
      </c>
    </row>
    <row r="28" spans="1:17" x14ac:dyDescent="0.25">
      <c r="A28" s="37">
        <f>'03 SEMANA'!A14</f>
        <v>0</v>
      </c>
      <c r="B28" s="38">
        <f>'03 SEMANA'!B14</f>
        <v>0</v>
      </c>
      <c r="C28" s="38">
        <f>'03 SEMANA'!C14</f>
        <v>0</v>
      </c>
      <c r="D28" s="38">
        <f>'03 SEMANA'!D14</f>
        <v>0</v>
      </c>
      <c r="E28" s="38">
        <f t="shared" si="3"/>
        <v>52</v>
      </c>
      <c r="F28" s="20">
        <f>'03 SEMANA'!E14</f>
        <v>0</v>
      </c>
      <c r="G28" s="45">
        <f t="shared" si="4"/>
        <v>52</v>
      </c>
      <c r="H28" s="147">
        <f>+'03 SEMANA'!W14</f>
        <v>0</v>
      </c>
      <c r="I28" s="149">
        <f t="shared" si="6"/>
        <v>0</v>
      </c>
      <c r="J28" s="42">
        <f t="shared" si="5"/>
        <v>52</v>
      </c>
      <c r="L28" s="84">
        <v>21</v>
      </c>
      <c r="M28" s="85">
        <f t="shared" ca="1" si="0"/>
        <v>0</v>
      </c>
      <c r="N28" s="47">
        <v>21</v>
      </c>
      <c r="O28" s="48">
        <f t="shared" ca="1" si="1"/>
        <v>0</v>
      </c>
      <c r="P28" s="26">
        <v>21</v>
      </c>
      <c r="Q28" s="27">
        <f t="shared" ca="1" si="2"/>
        <v>0</v>
      </c>
    </row>
    <row r="29" spans="1:17" x14ac:dyDescent="0.25">
      <c r="A29" s="247">
        <f>'04 SEMANA'!A9</f>
        <v>46047</v>
      </c>
      <c r="B29" s="178">
        <f>'04 SEMANA'!B9</f>
        <v>614</v>
      </c>
      <c r="C29" s="178" t="str">
        <f>'04 SEMANA'!C9</f>
        <v xml:space="preserve">PEDRO VALDES MAYA </v>
      </c>
      <c r="D29" s="178" t="str">
        <f>'04 SEMANA'!D9</f>
        <v>COCINA</v>
      </c>
      <c r="E29" s="178">
        <f t="shared" si="3"/>
        <v>4</v>
      </c>
      <c r="F29" s="20">
        <f>'04 SEMANA'!E9</f>
        <v>3000</v>
      </c>
      <c r="G29" s="45">
        <f t="shared" si="4"/>
        <v>4</v>
      </c>
      <c r="H29" s="147">
        <f>+'04 SEMANA'!$AA$9</f>
        <v>900</v>
      </c>
      <c r="I29" s="149">
        <f>+F29-H29</f>
        <v>2100</v>
      </c>
      <c r="J29" s="42">
        <f t="shared" si="5"/>
        <v>4</v>
      </c>
      <c r="L29" s="84">
        <v>22</v>
      </c>
      <c r="M29" s="85">
        <f t="shared" ca="1" si="0"/>
        <v>0</v>
      </c>
      <c r="N29" s="47">
        <v>22</v>
      </c>
      <c r="O29" s="48">
        <f t="shared" ca="1" si="1"/>
        <v>0</v>
      </c>
      <c r="P29" s="26">
        <v>22</v>
      </c>
      <c r="Q29" s="27">
        <f t="shared" ca="1" si="2"/>
        <v>0</v>
      </c>
    </row>
    <row r="30" spans="1:17" x14ac:dyDescent="0.25">
      <c r="A30" s="247">
        <f>'04 SEMANA'!A10</f>
        <v>46047</v>
      </c>
      <c r="B30" s="178">
        <f>'04 SEMANA'!B10</f>
        <v>763</v>
      </c>
      <c r="C30" s="178" t="str">
        <f>'04 SEMANA'!C10</f>
        <v>TONATIUH GONZALEZ BELMONT</v>
      </c>
      <c r="D30" s="178" t="str">
        <f>'04 SEMANA'!D10</f>
        <v>COCINA</v>
      </c>
      <c r="E30" s="178">
        <f t="shared" si="3"/>
        <v>4</v>
      </c>
      <c r="F30" s="20">
        <f>'04 SEMANA'!E10</f>
        <v>5000</v>
      </c>
      <c r="G30" s="45">
        <f t="shared" si="4"/>
        <v>4</v>
      </c>
      <c r="H30" s="147">
        <f>+'04 SEMANA'!AA10</f>
        <v>1500</v>
      </c>
      <c r="I30" s="149">
        <f t="shared" si="6"/>
        <v>3500</v>
      </c>
      <c r="J30" s="42">
        <f t="shared" si="5"/>
        <v>4</v>
      </c>
      <c r="L30" s="84">
        <v>23</v>
      </c>
      <c r="M30" s="85">
        <f t="shared" ca="1" si="0"/>
        <v>0</v>
      </c>
      <c r="N30" s="47">
        <v>23</v>
      </c>
      <c r="O30" s="48">
        <f t="shared" ca="1" si="1"/>
        <v>0</v>
      </c>
      <c r="P30" s="26">
        <v>23</v>
      </c>
      <c r="Q30" s="27">
        <f t="shared" ca="1" si="2"/>
        <v>0</v>
      </c>
    </row>
    <row r="31" spans="1:17" x14ac:dyDescent="0.25">
      <c r="A31" s="247">
        <f>'04 SEMANA'!A11</f>
        <v>46047</v>
      </c>
      <c r="B31" s="178">
        <f>'04 SEMANA'!B11</f>
        <v>631</v>
      </c>
      <c r="C31" s="178" t="str">
        <f>'04 SEMANA'!C11</f>
        <v>GEOVANNI ESCALANTE SALAS</v>
      </c>
      <c r="D31" s="178" t="str">
        <f>'04 SEMANA'!D11</f>
        <v>COMEDOR</v>
      </c>
      <c r="E31" s="178">
        <f t="shared" si="3"/>
        <v>4</v>
      </c>
      <c r="F31" s="20">
        <f>'04 SEMANA'!E11</f>
        <v>6000</v>
      </c>
      <c r="G31" s="45">
        <f t="shared" si="4"/>
        <v>4</v>
      </c>
      <c r="H31" s="147">
        <f>+'04 SEMANA'!AA11</f>
        <v>1800</v>
      </c>
      <c r="I31" s="149">
        <f t="shared" si="6"/>
        <v>4200</v>
      </c>
      <c r="J31" s="42">
        <f t="shared" si="5"/>
        <v>4</v>
      </c>
      <c r="L31" s="84">
        <v>24</v>
      </c>
      <c r="M31" s="85">
        <f t="shared" ca="1" si="0"/>
        <v>0</v>
      </c>
      <c r="N31" s="47">
        <v>24</v>
      </c>
      <c r="O31" s="48">
        <f t="shared" ca="1" si="1"/>
        <v>0</v>
      </c>
      <c r="P31" s="26">
        <v>24</v>
      </c>
      <c r="Q31" s="27">
        <f t="shared" ca="1" si="2"/>
        <v>0</v>
      </c>
    </row>
    <row r="32" spans="1:17" x14ac:dyDescent="0.25">
      <c r="A32" s="247">
        <f>'04 SEMANA'!A12</f>
        <v>0</v>
      </c>
      <c r="B32" s="178">
        <f>'04 SEMANA'!B12</f>
        <v>0</v>
      </c>
      <c r="C32" s="178">
        <f>'04 SEMANA'!C12</f>
        <v>0</v>
      </c>
      <c r="D32" s="178">
        <f>'04 SEMANA'!D12</f>
        <v>0</v>
      </c>
      <c r="E32" s="178">
        <f t="shared" si="3"/>
        <v>52</v>
      </c>
      <c r="F32" s="20">
        <f>'04 SEMANA'!E12</f>
        <v>0</v>
      </c>
      <c r="G32" s="45">
        <f t="shared" si="4"/>
        <v>52</v>
      </c>
      <c r="H32" s="147">
        <f>+'04 SEMANA'!AA12</f>
        <v>0</v>
      </c>
      <c r="I32" s="149">
        <f t="shared" si="6"/>
        <v>0</v>
      </c>
      <c r="J32" s="42">
        <f t="shared" si="5"/>
        <v>52</v>
      </c>
      <c r="L32" s="84">
        <v>25</v>
      </c>
      <c r="M32" s="85">
        <f t="shared" ca="1" si="0"/>
        <v>0</v>
      </c>
      <c r="N32" s="47">
        <v>25</v>
      </c>
      <c r="O32" s="48">
        <f t="shared" ca="1" si="1"/>
        <v>0</v>
      </c>
      <c r="P32" s="26">
        <v>25</v>
      </c>
      <c r="Q32" s="27">
        <f t="shared" ca="1" si="2"/>
        <v>0</v>
      </c>
    </row>
    <row r="33" spans="1:17" x14ac:dyDescent="0.25">
      <c r="A33" s="247">
        <f>'04 SEMANA'!A13</f>
        <v>0</v>
      </c>
      <c r="B33" s="178">
        <f>'04 SEMANA'!B13</f>
        <v>0</v>
      </c>
      <c r="C33" s="178">
        <f>'04 SEMANA'!C13</f>
        <v>0</v>
      </c>
      <c r="D33" s="178">
        <f>'04 SEMANA'!D13</f>
        <v>0</v>
      </c>
      <c r="E33" s="178">
        <f t="shared" si="3"/>
        <v>52</v>
      </c>
      <c r="F33" s="20">
        <f>'04 SEMANA'!E13</f>
        <v>0</v>
      </c>
      <c r="G33" s="45">
        <f t="shared" si="4"/>
        <v>52</v>
      </c>
      <c r="H33" s="147">
        <f>+'04 SEMANA'!AA13</f>
        <v>0</v>
      </c>
      <c r="I33" s="149">
        <f t="shared" si="6"/>
        <v>0</v>
      </c>
      <c r="J33" s="42">
        <f t="shared" si="5"/>
        <v>52</v>
      </c>
      <c r="L33" s="84">
        <v>26</v>
      </c>
      <c r="M33" s="85">
        <f t="shared" ca="1" si="0"/>
        <v>0</v>
      </c>
      <c r="N33" s="47">
        <v>26</v>
      </c>
      <c r="O33" s="48">
        <f t="shared" ca="1" si="1"/>
        <v>0</v>
      </c>
      <c r="P33" s="26">
        <v>26</v>
      </c>
      <c r="Q33" s="27">
        <f t="shared" ca="1" si="2"/>
        <v>0</v>
      </c>
    </row>
    <row r="34" spans="1:17" x14ac:dyDescent="0.25">
      <c r="A34" s="247">
        <f>'04 SEMANA'!A14</f>
        <v>0</v>
      </c>
      <c r="B34" s="178">
        <f>'04 SEMANA'!B14</f>
        <v>0</v>
      </c>
      <c r="C34" s="178">
        <f>'04 SEMANA'!C14</f>
        <v>0</v>
      </c>
      <c r="D34" s="178">
        <f>'04 SEMANA'!D14</f>
        <v>0</v>
      </c>
      <c r="E34" s="178">
        <f t="shared" si="3"/>
        <v>52</v>
      </c>
      <c r="F34" s="20">
        <f>'04 SEMANA'!E14</f>
        <v>0</v>
      </c>
      <c r="G34" s="45">
        <f t="shared" si="4"/>
        <v>52</v>
      </c>
      <c r="H34" s="147">
        <f>+'04 SEMANA'!AA14</f>
        <v>0</v>
      </c>
      <c r="I34" s="149">
        <f t="shared" si="6"/>
        <v>0</v>
      </c>
      <c r="J34" s="42">
        <f t="shared" si="5"/>
        <v>52</v>
      </c>
      <c r="L34" s="84">
        <v>27</v>
      </c>
      <c r="M34" s="85">
        <f t="shared" ca="1" si="0"/>
        <v>0</v>
      </c>
      <c r="N34" s="47">
        <v>27</v>
      </c>
      <c r="O34" s="48">
        <f t="shared" ca="1" si="1"/>
        <v>0</v>
      </c>
      <c r="P34" s="26">
        <v>27</v>
      </c>
      <c r="Q34" s="27">
        <f t="shared" ca="1" si="2"/>
        <v>0</v>
      </c>
    </row>
    <row r="35" spans="1:17" x14ac:dyDescent="0.25">
      <c r="A35" s="247">
        <f>'04 SEMANA'!A15</f>
        <v>0</v>
      </c>
      <c r="B35" s="178">
        <f>'04 SEMANA'!B15</f>
        <v>0</v>
      </c>
      <c r="C35" s="178">
        <f>'04 SEMANA'!C15</f>
        <v>0</v>
      </c>
      <c r="D35" s="178">
        <f>'04 SEMANA'!D15</f>
        <v>0</v>
      </c>
      <c r="E35" s="178">
        <f t="shared" si="3"/>
        <v>52</v>
      </c>
      <c r="F35" s="20">
        <f>'04 SEMANA'!E15</f>
        <v>0</v>
      </c>
      <c r="G35" s="45">
        <f t="shared" si="4"/>
        <v>52</v>
      </c>
      <c r="H35" s="147">
        <f>+'04 SEMANA'!AA15</f>
        <v>0</v>
      </c>
      <c r="I35" s="149">
        <f t="shared" si="6"/>
        <v>0</v>
      </c>
      <c r="J35" s="42">
        <f t="shared" si="5"/>
        <v>52</v>
      </c>
      <c r="L35" s="84">
        <v>28</v>
      </c>
      <c r="M35" s="85">
        <f t="shared" ca="1" si="0"/>
        <v>0</v>
      </c>
      <c r="N35" s="47">
        <v>28</v>
      </c>
      <c r="O35" s="48">
        <f t="shared" ca="1" si="1"/>
        <v>0</v>
      </c>
      <c r="P35" s="26">
        <v>28</v>
      </c>
      <c r="Q35" s="27">
        <f t="shared" ca="1" si="2"/>
        <v>0</v>
      </c>
    </row>
    <row r="36" spans="1:17" x14ac:dyDescent="0.25">
      <c r="A36" s="248">
        <f>'05 SEMANA'!A9</f>
        <v>46054</v>
      </c>
      <c r="B36" s="45">
        <f>'05 SEMANA'!B9</f>
        <v>244</v>
      </c>
      <c r="C36" s="45" t="str">
        <f>'05 SEMANA'!C9</f>
        <v xml:space="preserve">MIGUEL ÁNGEL DE LA CRUZ </v>
      </c>
      <c r="D36" s="45" t="str">
        <f>+'05 SEMANA'!D9</f>
        <v>COCINA</v>
      </c>
      <c r="E36" s="45">
        <f t="shared" si="3"/>
        <v>5</v>
      </c>
      <c r="F36" s="20">
        <f>+'05 SEMANA'!E9</f>
        <v>8000</v>
      </c>
      <c r="G36" s="45">
        <f t="shared" si="4"/>
        <v>5</v>
      </c>
      <c r="H36" s="147">
        <f>+'05 SEMANA'!Q9</f>
        <v>1700</v>
      </c>
      <c r="I36" s="149">
        <f t="shared" si="6"/>
        <v>6300</v>
      </c>
      <c r="J36" s="42">
        <f t="shared" si="5"/>
        <v>5</v>
      </c>
      <c r="L36" s="84">
        <v>29</v>
      </c>
      <c r="M36" s="85">
        <f t="shared" ca="1" si="0"/>
        <v>0</v>
      </c>
      <c r="N36" s="47">
        <v>29</v>
      </c>
      <c r="O36" s="48">
        <f t="shared" ca="1" si="1"/>
        <v>0</v>
      </c>
      <c r="P36" s="26">
        <v>29</v>
      </c>
      <c r="Q36" s="27">
        <f t="shared" ca="1" si="2"/>
        <v>0</v>
      </c>
    </row>
    <row r="37" spans="1:17" x14ac:dyDescent="0.25">
      <c r="A37" s="248">
        <f>'05 SEMANA'!A10</f>
        <v>46054</v>
      </c>
      <c r="B37" s="45">
        <f>'05 SEMANA'!B10</f>
        <v>474</v>
      </c>
      <c r="C37" s="45" t="str">
        <f>'05 SEMANA'!C10</f>
        <v>ABRAHAM EDGAR VAZQUEZ ANARIO</v>
      </c>
      <c r="D37" s="45" t="str">
        <f>+'05 SEMANA'!D10</f>
        <v>COCINA</v>
      </c>
      <c r="E37" s="45">
        <f t="shared" si="3"/>
        <v>5</v>
      </c>
      <c r="F37" s="20">
        <f>+'05 SEMANA'!E10</f>
        <v>2500</v>
      </c>
      <c r="G37" s="45">
        <f t="shared" si="4"/>
        <v>5</v>
      </c>
      <c r="H37" s="147">
        <f>+'05 SEMANA'!Q10</f>
        <v>500</v>
      </c>
      <c r="I37" s="149">
        <f t="shared" ref="I37:I42" si="7">+F37-H37</f>
        <v>2000</v>
      </c>
      <c r="J37" s="42">
        <f t="shared" si="5"/>
        <v>5</v>
      </c>
      <c r="L37" s="84">
        <v>30</v>
      </c>
      <c r="M37" s="85">
        <f t="shared" ca="1" si="0"/>
        <v>0</v>
      </c>
      <c r="N37" s="47">
        <v>30</v>
      </c>
      <c r="O37" s="48">
        <f t="shared" ca="1" si="1"/>
        <v>0</v>
      </c>
      <c r="P37" s="26">
        <v>30</v>
      </c>
      <c r="Q37" s="27">
        <f t="shared" ca="1" si="2"/>
        <v>0</v>
      </c>
    </row>
    <row r="38" spans="1:17" x14ac:dyDescent="0.25">
      <c r="A38" s="248">
        <f>'05 SEMANA'!A11</f>
        <v>46054</v>
      </c>
      <c r="B38" s="45">
        <f>'05 SEMANA'!B11</f>
        <v>479</v>
      </c>
      <c r="C38" s="45" t="str">
        <f>'05 SEMANA'!C11</f>
        <v xml:space="preserve">JULIO CESAR NORIEGA </v>
      </c>
      <c r="D38" s="45" t="str">
        <f>+'05 SEMANA'!D11</f>
        <v>COCINA</v>
      </c>
      <c r="E38" s="45">
        <f t="shared" si="3"/>
        <v>5</v>
      </c>
      <c r="F38" s="20">
        <f>+'05 SEMANA'!E11</f>
        <v>5000</v>
      </c>
      <c r="G38" s="45">
        <f t="shared" si="4"/>
        <v>5</v>
      </c>
      <c r="H38" s="147">
        <f>+'05 SEMANA'!Q11</f>
        <v>1000</v>
      </c>
      <c r="I38" s="149">
        <f t="shared" si="7"/>
        <v>4000</v>
      </c>
      <c r="J38" s="42">
        <f t="shared" si="5"/>
        <v>5</v>
      </c>
      <c r="L38" s="84">
        <v>31</v>
      </c>
      <c r="M38" s="85">
        <f t="shared" ca="1" si="0"/>
        <v>0</v>
      </c>
      <c r="N38" s="47">
        <v>31</v>
      </c>
      <c r="O38" s="48">
        <f t="shared" ca="1" si="1"/>
        <v>0</v>
      </c>
      <c r="P38" s="26">
        <v>31</v>
      </c>
      <c r="Q38" s="27">
        <f t="shared" ca="1" si="2"/>
        <v>0</v>
      </c>
    </row>
    <row r="39" spans="1:17" x14ac:dyDescent="0.25">
      <c r="A39" s="248">
        <f>'05 SEMANA'!A12</f>
        <v>46054</v>
      </c>
      <c r="B39" s="45">
        <f>'05 SEMANA'!B12</f>
        <v>592</v>
      </c>
      <c r="C39" s="45" t="str">
        <f>'05 SEMANA'!C12</f>
        <v xml:space="preserve">DANIEL ORTEGA ORDOÑEZ </v>
      </c>
      <c r="D39" s="45" t="str">
        <f>+'05 SEMANA'!D12</f>
        <v xml:space="preserve">ASEO </v>
      </c>
      <c r="E39" s="45">
        <f t="shared" si="3"/>
        <v>5</v>
      </c>
      <c r="F39" s="20">
        <f>+'05 SEMANA'!E12</f>
        <v>3000</v>
      </c>
      <c r="G39" s="45">
        <f t="shared" si="4"/>
        <v>5</v>
      </c>
      <c r="H39" s="147">
        <f>+'05 SEMANA'!Q12</f>
        <v>600</v>
      </c>
      <c r="I39" s="149">
        <f t="shared" si="7"/>
        <v>2400</v>
      </c>
      <c r="J39" s="42">
        <f t="shared" si="5"/>
        <v>5</v>
      </c>
      <c r="L39" s="84">
        <v>32</v>
      </c>
      <c r="M39" s="85">
        <f t="shared" ref="M39:M59" ca="1" si="8">SUMIFS(F:F,E:E,L39)</f>
        <v>0</v>
      </c>
      <c r="N39" s="47">
        <v>32</v>
      </c>
      <c r="O39" s="48">
        <f t="shared" ref="O39:O59" ca="1" si="9">SUMIFS(H:H,G:G,N39)</f>
        <v>0</v>
      </c>
      <c r="P39" s="26">
        <v>32</v>
      </c>
      <c r="Q39" s="27">
        <f t="shared" ca="1" si="2"/>
        <v>0</v>
      </c>
    </row>
    <row r="40" spans="1:17" x14ac:dyDescent="0.25">
      <c r="A40" s="248">
        <f>'05 SEMANA'!A13</f>
        <v>46054</v>
      </c>
      <c r="B40" s="45">
        <f>'05 SEMANA'!B13</f>
        <v>809</v>
      </c>
      <c r="C40" s="45" t="str">
        <f>'05 SEMANA'!C13</f>
        <v>ANDRES CORTES AGUIRRE</v>
      </c>
      <c r="D40" s="45" t="str">
        <f>+'05 SEMANA'!D13</f>
        <v>ASEO</v>
      </c>
      <c r="E40" s="45">
        <f t="shared" si="3"/>
        <v>5</v>
      </c>
      <c r="F40" s="20">
        <f>+'05 SEMANA'!E13</f>
        <v>1750</v>
      </c>
      <c r="G40" s="45">
        <f t="shared" si="4"/>
        <v>5</v>
      </c>
      <c r="H40" s="147">
        <f>+'05 SEMANA'!Q13</f>
        <v>400</v>
      </c>
      <c r="I40" s="149">
        <f t="shared" si="7"/>
        <v>1350</v>
      </c>
      <c r="J40" s="42">
        <f t="shared" si="5"/>
        <v>5</v>
      </c>
      <c r="L40" s="84">
        <v>33</v>
      </c>
      <c r="M40" s="85">
        <f t="shared" ca="1" si="8"/>
        <v>0</v>
      </c>
      <c r="N40" s="47">
        <v>33</v>
      </c>
      <c r="O40" s="48">
        <f t="shared" ca="1" si="9"/>
        <v>0</v>
      </c>
      <c r="P40" s="26">
        <v>33</v>
      </c>
      <c r="Q40" s="27">
        <f t="shared" ref="Q40:Q59" ca="1" si="10">SUMIFS(I33:I412,J33:J412,P40)</f>
        <v>0</v>
      </c>
    </row>
    <row r="41" spans="1:17" x14ac:dyDescent="0.25">
      <c r="A41" s="248">
        <f>'05 SEMANA'!A14</f>
        <v>0</v>
      </c>
      <c r="B41" s="45">
        <f>'05 SEMANA'!B14</f>
        <v>0</v>
      </c>
      <c r="C41" s="45">
        <f>'05 SEMANA'!C14</f>
        <v>0</v>
      </c>
      <c r="D41" s="45">
        <f>+'05 SEMANA'!D14</f>
        <v>0</v>
      </c>
      <c r="E41" s="45">
        <f t="shared" si="3"/>
        <v>52</v>
      </c>
      <c r="F41" s="20">
        <f>+'05 SEMANA'!E14</f>
        <v>0</v>
      </c>
      <c r="G41" s="45">
        <f t="shared" si="4"/>
        <v>52</v>
      </c>
      <c r="H41" s="147">
        <f>+'05 SEMANA'!Q14</f>
        <v>0</v>
      </c>
      <c r="I41" s="149">
        <f t="shared" si="7"/>
        <v>0</v>
      </c>
      <c r="J41" s="42">
        <f t="shared" si="5"/>
        <v>52</v>
      </c>
      <c r="L41" s="84">
        <v>34</v>
      </c>
      <c r="M41" s="85">
        <f t="shared" ca="1" si="8"/>
        <v>0</v>
      </c>
      <c r="N41" s="47">
        <v>34</v>
      </c>
      <c r="O41" s="48">
        <f t="shared" ca="1" si="9"/>
        <v>0</v>
      </c>
      <c r="P41" s="26">
        <v>34</v>
      </c>
      <c r="Q41" s="27">
        <f t="shared" ca="1" si="10"/>
        <v>0</v>
      </c>
    </row>
    <row r="42" spans="1:17" x14ac:dyDescent="0.25">
      <c r="A42" s="37">
        <f>'06 SEMANA'!A9</f>
        <v>46061</v>
      </c>
      <c r="B42" s="38">
        <f>'06 SEMANA'!B9</f>
        <v>24</v>
      </c>
      <c r="C42" s="38" t="str">
        <f>'06 SEMANA'!C9</f>
        <v>LUIS ÁNGEL QUIROZ LLANITO</v>
      </c>
      <c r="D42" s="38" t="str">
        <f>+'06 SEMANA'!D9</f>
        <v xml:space="preserve">COMEDOR </v>
      </c>
      <c r="E42" s="45">
        <f t="shared" si="3"/>
        <v>6</v>
      </c>
      <c r="F42" s="20">
        <f>+'06 SEMANA'!E9</f>
        <v>5000</v>
      </c>
      <c r="G42" s="45">
        <f t="shared" si="4"/>
        <v>6</v>
      </c>
      <c r="H42" s="147">
        <f>+'06 SEMANA'!Q9</f>
        <v>500</v>
      </c>
      <c r="I42" s="149">
        <f t="shared" si="7"/>
        <v>4500</v>
      </c>
      <c r="J42" s="42">
        <f t="shared" si="5"/>
        <v>6</v>
      </c>
      <c r="L42" s="84">
        <v>35</v>
      </c>
      <c r="M42" s="85">
        <f t="shared" ca="1" si="8"/>
        <v>0</v>
      </c>
      <c r="N42" s="47">
        <v>35</v>
      </c>
      <c r="O42" s="48">
        <f t="shared" ca="1" si="9"/>
        <v>0</v>
      </c>
      <c r="P42" s="26">
        <v>35</v>
      </c>
      <c r="Q42" s="27">
        <f t="shared" ca="1" si="10"/>
        <v>0</v>
      </c>
    </row>
    <row r="43" spans="1:17" x14ac:dyDescent="0.25">
      <c r="A43" s="37">
        <f>'06 SEMANA'!A10</f>
        <v>46061</v>
      </c>
      <c r="B43" s="38">
        <f>'06 SEMANA'!B10</f>
        <v>672</v>
      </c>
      <c r="C43" s="38" t="str">
        <f>'06 SEMANA'!C10</f>
        <v>OMAR ROMERO GAISTARDO</v>
      </c>
      <c r="D43" s="38" t="str">
        <f>+'06 SEMANA'!D10</f>
        <v xml:space="preserve">ASEO </v>
      </c>
      <c r="E43" s="45">
        <f t="shared" si="3"/>
        <v>6</v>
      </c>
      <c r="F43" s="20">
        <f>+'06 SEMANA'!E10</f>
        <v>3000</v>
      </c>
      <c r="G43" s="45">
        <f t="shared" si="4"/>
        <v>6</v>
      </c>
      <c r="H43" s="147">
        <f>+'06 SEMANA'!Q10</f>
        <v>300</v>
      </c>
      <c r="I43" s="149">
        <f t="shared" ref="I43:I48" si="11">+F43-H43</f>
        <v>2700</v>
      </c>
      <c r="J43" s="42">
        <f t="shared" si="5"/>
        <v>6</v>
      </c>
      <c r="L43" s="84">
        <v>36</v>
      </c>
      <c r="M43" s="85">
        <f t="shared" ca="1" si="8"/>
        <v>0</v>
      </c>
      <c r="N43" s="47">
        <v>36</v>
      </c>
      <c r="O43" s="48">
        <f t="shared" ca="1" si="9"/>
        <v>0</v>
      </c>
      <c r="P43" s="26">
        <v>36</v>
      </c>
      <c r="Q43" s="27">
        <f t="shared" ca="1" si="10"/>
        <v>0</v>
      </c>
    </row>
    <row r="44" spans="1:17" x14ac:dyDescent="0.25">
      <c r="A44" s="37">
        <f>'06 SEMANA'!A11</f>
        <v>0</v>
      </c>
      <c r="B44" s="38">
        <f>'06 SEMANA'!B11</f>
        <v>0</v>
      </c>
      <c r="C44" s="38">
        <f>'06 SEMANA'!C11</f>
        <v>0</v>
      </c>
      <c r="D44" s="38">
        <f>+'06 SEMANA'!D11</f>
        <v>0</v>
      </c>
      <c r="E44" s="45">
        <f t="shared" si="3"/>
        <v>52</v>
      </c>
      <c r="F44" s="20">
        <f>+'06 SEMANA'!E11</f>
        <v>0</v>
      </c>
      <c r="G44" s="45">
        <f t="shared" si="4"/>
        <v>52</v>
      </c>
      <c r="H44" s="147">
        <f>+'06 SEMANA'!Q11</f>
        <v>0</v>
      </c>
      <c r="I44" s="149">
        <f t="shared" si="11"/>
        <v>0</v>
      </c>
      <c r="J44" s="42">
        <f t="shared" si="5"/>
        <v>52</v>
      </c>
      <c r="L44" s="84">
        <v>37</v>
      </c>
      <c r="M44" s="85">
        <f t="shared" ca="1" si="8"/>
        <v>0</v>
      </c>
      <c r="N44" s="47">
        <v>37</v>
      </c>
      <c r="O44" s="48">
        <f t="shared" ca="1" si="9"/>
        <v>0</v>
      </c>
      <c r="P44" s="26">
        <v>37</v>
      </c>
      <c r="Q44" s="27">
        <f t="shared" ca="1" si="10"/>
        <v>0</v>
      </c>
    </row>
    <row r="45" spans="1:17" x14ac:dyDescent="0.25">
      <c r="A45" s="37">
        <f>'06 SEMANA'!A12</f>
        <v>0</v>
      </c>
      <c r="B45" s="38">
        <f>'06 SEMANA'!B12</f>
        <v>0</v>
      </c>
      <c r="C45" s="38">
        <f>'06 SEMANA'!C12</f>
        <v>0</v>
      </c>
      <c r="D45" s="38">
        <f>+'06 SEMANA'!D12</f>
        <v>0</v>
      </c>
      <c r="E45" s="45">
        <f t="shared" si="3"/>
        <v>52</v>
      </c>
      <c r="F45" s="20">
        <f>+'06 SEMANA'!E12</f>
        <v>0</v>
      </c>
      <c r="G45" s="45">
        <f t="shared" si="4"/>
        <v>52</v>
      </c>
      <c r="H45" s="147">
        <f>+'06 SEMANA'!Q12</f>
        <v>0</v>
      </c>
      <c r="I45" s="149">
        <f t="shared" si="11"/>
        <v>0</v>
      </c>
      <c r="J45" s="42">
        <f t="shared" si="5"/>
        <v>52</v>
      </c>
      <c r="L45" s="84">
        <v>38</v>
      </c>
      <c r="M45" s="85">
        <f t="shared" ca="1" si="8"/>
        <v>0</v>
      </c>
      <c r="N45" s="47">
        <v>38</v>
      </c>
      <c r="O45" s="48">
        <f t="shared" ca="1" si="9"/>
        <v>0</v>
      </c>
      <c r="P45" s="26">
        <v>38</v>
      </c>
      <c r="Q45" s="27">
        <f t="shared" ca="1" si="10"/>
        <v>0</v>
      </c>
    </row>
    <row r="46" spans="1:17" x14ac:dyDescent="0.25">
      <c r="A46" s="37">
        <f>'06 SEMANA'!A13</f>
        <v>0</v>
      </c>
      <c r="B46" s="38">
        <f>'06 SEMANA'!B13</f>
        <v>0</v>
      </c>
      <c r="C46" s="38">
        <f>'06 SEMANA'!C13</f>
        <v>0</v>
      </c>
      <c r="D46" s="38">
        <f>+'06 SEMANA'!D12</f>
        <v>0</v>
      </c>
      <c r="E46" s="45">
        <f t="shared" si="3"/>
        <v>52</v>
      </c>
      <c r="F46" s="20">
        <f>+'06 SEMANA'!E13</f>
        <v>0</v>
      </c>
      <c r="G46" s="45">
        <f t="shared" si="4"/>
        <v>52</v>
      </c>
      <c r="H46" s="147">
        <f>+'06 SEMANA'!Q13</f>
        <v>0</v>
      </c>
      <c r="I46" s="149">
        <f t="shared" si="11"/>
        <v>0</v>
      </c>
      <c r="J46" s="42">
        <f t="shared" si="5"/>
        <v>52</v>
      </c>
      <c r="L46" s="84">
        <v>39</v>
      </c>
      <c r="M46" s="85">
        <f t="shared" ca="1" si="8"/>
        <v>0</v>
      </c>
      <c r="N46" s="47">
        <v>39</v>
      </c>
      <c r="O46" s="48">
        <f t="shared" ca="1" si="9"/>
        <v>0</v>
      </c>
      <c r="P46" s="26">
        <v>39</v>
      </c>
      <c r="Q46" s="27">
        <f t="shared" ca="1" si="10"/>
        <v>0</v>
      </c>
    </row>
    <row r="47" spans="1:17" x14ac:dyDescent="0.25">
      <c r="A47" s="37">
        <f>'06 SEMANA'!A14</f>
        <v>0</v>
      </c>
      <c r="B47" s="38">
        <f>'06 SEMANA'!B14</f>
        <v>0</v>
      </c>
      <c r="C47" s="38">
        <f>'06 SEMANA'!C14</f>
        <v>0</v>
      </c>
      <c r="D47" s="38">
        <f>+'06 SEMANA'!D13</f>
        <v>0</v>
      </c>
      <c r="E47" s="45">
        <f t="shared" si="3"/>
        <v>52</v>
      </c>
      <c r="F47" s="20">
        <f>+'06 SEMANA'!E14</f>
        <v>0</v>
      </c>
      <c r="G47" s="45">
        <f t="shared" si="4"/>
        <v>52</v>
      </c>
      <c r="H47" s="147">
        <f>+'06 SEMANA'!Q14</f>
        <v>0</v>
      </c>
      <c r="I47" s="149">
        <f t="shared" si="11"/>
        <v>0</v>
      </c>
      <c r="J47" s="42">
        <f t="shared" si="5"/>
        <v>52</v>
      </c>
      <c r="L47" s="84">
        <v>40</v>
      </c>
      <c r="M47" s="85">
        <f t="shared" ca="1" si="8"/>
        <v>0</v>
      </c>
      <c r="N47" s="47">
        <v>40</v>
      </c>
      <c r="O47" s="48">
        <f t="shared" ca="1" si="9"/>
        <v>0</v>
      </c>
      <c r="P47" s="26">
        <v>40</v>
      </c>
      <c r="Q47" s="27">
        <f t="shared" ca="1" si="10"/>
        <v>0</v>
      </c>
    </row>
    <row r="48" spans="1:17" x14ac:dyDescent="0.25">
      <c r="A48" s="37">
        <f>'07 SEMANA'!A9</f>
        <v>46068</v>
      </c>
      <c r="B48" s="38">
        <f>'07 SEMANA'!B9</f>
        <v>787</v>
      </c>
      <c r="C48" s="38" t="str">
        <f>'07 SEMANA'!C9</f>
        <v>SEBASTIAN GUILLERMO LUCIO</v>
      </c>
      <c r="D48" s="38" t="str">
        <f>+'07 SEMANA'!D9</f>
        <v>COMEDOR</v>
      </c>
      <c r="E48" s="45">
        <f t="shared" si="3"/>
        <v>7</v>
      </c>
      <c r="F48" s="20">
        <f>+'07 SEMANA'!E9</f>
        <v>3000</v>
      </c>
      <c r="G48" s="45">
        <f t="shared" si="4"/>
        <v>7</v>
      </c>
      <c r="H48" s="147">
        <f>+'07 SEMANA'!W9</f>
        <v>0</v>
      </c>
      <c r="I48" s="149">
        <f t="shared" si="11"/>
        <v>3000</v>
      </c>
      <c r="J48" s="42">
        <f t="shared" si="5"/>
        <v>7</v>
      </c>
      <c r="L48" s="84">
        <v>41</v>
      </c>
      <c r="M48" s="85">
        <f t="shared" ca="1" si="8"/>
        <v>0</v>
      </c>
      <c r="N48" s="47">
        <v>41</v>
      </c>
      <c r="O48" s="48">
        <f t="shared" ca="1" si="9"/>
        <v>0</v>
      </c>
      <c r="P48" s="26">
        <v>41</v>
      </c>
      <c r="Q48" s="27">
        <f t="shared" ca="1" si="10"/>
        <v>0</v>
      </c>
    </row>
    <row r="49" spans="1:17" x14ac:dyDescent="0.25">
      <c r="A49" s="37">
        <f>'07 SEMANA'!A10</f>
        <v>0</v>
      </c>
      <c r="B49" s="38">
        <f>'07 SEMANA'!B10</f>
        <v>0</v>
      </c>
      <c r="C49" s="38">
        <f>'07 SEMANA'!C10</f>
        <v>0</v>
      </c>
      <c r="D49" s="38">
        <f>+'07 SEMANA'!D10</f>
        <v>0</v>
      </c>
      <c r="E49" s="45">
        <f t="shared" si="3"/>
        <v>52</v>
      </c>
      <c r="F49" s="20">
        <f>+'07 SEMANA'!E10</f>
        <v>0</v>
      </c>
      <c r="G49" s="45">
        <f t="shared" si="4"/>
        <v>52</v>
      </c>
      <c r="H49" s="147">
        <f>+'07 SEMANA'!W10</f>
        <v>0</v>
      </c>
      <c r="I49" s="149">
        <f t="shared" ref="I49:I54" si="12">+F49-H49</f>
        <v>0</v>
      </c>
      <c r="J49" s="42">
        <f t="shared" si="5"/>
        <v>52</v>
      </c>
      <c r="L49" s="84">
        <v>42</v>
      </c>
      <c r="M49" s="85">
        <f t="shared" ca="1" si="8"/>
        <v>0</v>
      </c>
      <c r="N49" s="47">
        <v>42</v>
      </c>
      <c r="O49" s="48">
        <f t="shared" ca="1" si="9"/>
        <v>0</v>
      </c>
      <c r="P49" s="26">
        <v>42</v>
      </c>
      <c r="Q49" s="27">
        <f t="shared" ca="1" si="10"/>
        <v>0</v>
      </c>
    </row>
    <row r="50" spans="1:17" x14ac:dyDescent="0.25">
      <c r="A50" s="37">
        <f>'07 SEMANA'!A11</f>
        <v>0</v>
      </c>
      <c r="B50" s="38">
        <f>'07 SEMANA'!B11</f>
        <v>0</v>
      </c>
      <c r="C50" s="38">
        <f>'07 SEMANA'!C11</f>
        <v>0</v>
      </c>
      <c r="D50" s="38">
        <f>+'07 SEMANA'!D11</f>
        <v>0</v>
      </c>
      <c r="E50" s="45">
        <f t="shared" si="3"/>
        <v>52</v>
      </c>
      <c r="F50" s="20">
        <f>+'07 SEMANA'!E11</f>
        <v>0</v>
      </c>
      <c r="G50" s="45">
        <f t="shared" si="4"/>
        <v>52</v>
      </c>
      <c r="H50" s="147">
        <f>+'07 SEMANA'!W11</f>
        <v>0</v>
      </c>
      <c r="I50" s="149">
        <f t="shared" si="12"/>
        <v>0</v>
      </c>
      <c r="J50" s="42">
        <f t="shared" si="5"/>
        <v>52</v>
      </c>
      <c r="L50" s="84">
        <v>43</v>
      </c>
      <c r="M50" s="85">
        <f t="shared" ca="1" si="8"/>
        <v>0</v>
      </c>
      <c r="N50" s="47">
        <v>43</v>
      </c>
      <c r="O50" s="48">
        <f t="shared" ca="1" si="9"/>
        <v>0</v>
      </c>
      <c r="P50" s="26">
        <v>43</v>
      </c>
      <c r="Q50" s="27">
        <f t="shared" ca="1" si="10"/>
        <v>0</v>
      </c>
    </row>
    <row r="51" spans="1:17" x14ac:dyDescent="0.25">
      <c r="A51" s="37">
        <f>'07 SEMANA'!A12</f>
        <v>0</v>
      </c>
      <c r="B51" s="38">
        <f>'07 SEMANA'!B12</f>
        <v>0</v>
      </c>
      <c r="C51" s="38">
        <f>'07 SEMANA'!C12</f>
        <v>0</v>
      </c>
      <c r="D51" s="38">
        <f>+'07 SEMANA'!D12</f>
        <v>0</v>
      </c>
      <c r="E51" s="45">
        <f t="shared" si="3"/>
        <v>52</v>
      </c>
      <c r="F51" s="20">
        <f>+'07 SEMANA'!E12</f>
        <v>0</v>
      </c>
      <c r="G51" s="45">
        <f t="shared" si="4"/>
        <v>52</v>
      </c>
      <c r="H51" s="147">
        <f>+'07 SEMANA'!W12</f>
        <v>0</v>
      </c>
      <c r="I51" s="149">
        <f t="shared" si="12"/>
        <v>0</v>
      </c>
      <c r="J51" s="42">
        <f t="shared" si="5"/>
        <v>52</v>
      </c>
      <c r="L51" s="84">
        <v>44</v>
      </c>
      <c r="M51" s="85">
        <f t="shared" ca="1" si="8"/>
        <v>0</v>
      </c>
      <c r="N51" s="47">
        <v>44</v>
      </c>
      <c r="O51" s="48">
        <f t="shared" ca="1" si="9"/>
        <v>0</v>
      </c>
      <c r="P51" s="26">
        <v>44</v>
      </c>
      <c r="Q51" s="27">
        <f t="shared" ca="1" si="10"/>
        <v>0</v>
      </c>
    </row>
    <row r="52" spans="1:17" x14ac:dyDescent="0.25">
      <c r="A52" s="37">
        <f>'07 SEMANA'!A13</f>
        <v>0</v>
      </c>
      <c r="B52" s="38">
        <f>'07 SEMANA'!B13</f>
        <v>0</v>
      </c>
      <c r="C52" s="38">
        <f>'07 SEMANA'!C13</f>
        <v>0</v>
      </c>
      <c r="D52" s="38">
        <f>+'07 SEMANA'!D13</f>
        <v>0</v>
      </c>
      <c r="E52" s="45">
        <f t="shared" si="3"/>
        <v>52</v>
      </c>
      <c r="F52" s="20">
        <f>+'07 SEMANA'!E13</f>
        <v>0</v>
      </c>
      <c r="G52" s="45">
        <f t="shared" si="4"/>
        <v>52</v>
      </c>
      <c r="H52" s="147">
        <f>+'07 SEMANA'!W13</f>
        <v>0</v>
      </c>
      <c r="I52" s="149">
        <f t="shared" si="12"/>
        <v>0</v>
      </c>
      <c r="J52" s="42">
        <f t="shared" si="5"/>
        <v>52</v>
      </c>
      <c r="L52" s="84">
        <v>45</v>
      </c>
      <c r="M52" s="85">
        <f t="shared" ca="1" si="8"/>
        <v>0</v>
      </c>
      <c r="N52" s="47">
        <v>45</v>
      </c>
      <c r="O52" s="48">
        <f t="shared" ca="1" si="9"/>
        <v>0</v>
      </c>
      <c r="P52" s="26">
        <v>45</v>
      </c>
      <c r="Q52" s="27">
        <f t="shared" ca="1" si="10"/>
        <v>0</v>
      </c>
    </row>
    <row r="53" spans="1:17" x14ac:dyDescent="0.25">
      <c r="A53" s="37">
        <f>'07 SEMANA'!A14</f>
        <v>0</v>
      </c>
      <c r="B53" s="38">
        <f>'07 SEMANA'!B14</f>
        <v>0</v>
      </c>
      <c r="C53" s="38">
        <f>'07 SEMANA'!C14</f>
        <v>0</v>
      </c>
      <c r="D53" s="38">
        <f>+'07 SEMANA'!D14</f>
        <v>0</v>
      </c>
      <c r="E53" s="45">
        <f t="shared" si="3"/>
        <v>52</v>
      </c>
      <c r="F53" s="20">
        <f>+'07 SEMANA'!E14</f>
        <v>0</v>
      </c>
      <c r="G53" s="45">
        <f t="shared" si="4"/>
        <v>52</v>
      </c>
      <c r="H53" s="147">
        <f>+'07 SEMANA'!W14</f>
        <v>0</v>
      </c>
      <c r="I53" s="149">
        <f t="shared" si="12"/>
        <v>0</v>
      </c>
      <c r="J53" s="42">
        <f t="shared" si="5"/>
        <v>52</v>
      </c>
      <c r="L53" s="84">
        <v>46</v>
      </c>
      <c r="M53" s="85">
        <f t="shared" ca="1" si="8"/>
        <v>0</v>
      </c>
      <c r="N53" s="47">
        <v>46</v>
      </c>
      <c r="O53" s="48">
        <f t="shared" ca="1" si="9"/>
        <v>0</v>
      </c>
      <c r="P53" s="26">
        <v>46</v>
      </c>
      <c r="Q53" s="27">
        <f t="shared" ca="1" si="10"/>
        <v>0</v>
      </c>
    </row>
    <row r="54" spans="1:17" x14ac:dyDescent="0.25">
      <c r="A54" s="37">
        <f>'08 SEMANA'!A9</f>
        <v>46075</v>
      </c>
      <c r="B54" s="38">
        <f>'08 SEMANA'!B9</f>
        <v>477</v>
      </c>
      <c r="C54" s="38" t="str">
        <f>'08 SEMANA'!C9</f>
        <v xml:space="preserve">JOSE URIEL BAUTISTA </v>
      </c>
      <c r="D54" s="191" t="str">
        <f>+'08 SEMANA'!D9</f>
        <v xml:space="preserve">COMEDOR </v>
      </c>
      <c r="E54" s="45">
        <f t="shared" si="3"/>
        <v>8</v>
      </c>
      <c r="F54" s="20">
        <f>+'08 SEMANA'!E9</f>
        <v>3500</v>
      </c>
      <c r="G54" s="45">
        <f t="shared" si="4"/>
        <v>8</v>
      </c>
      <c r="H54" s="147">
        <f>+'08 SEMANA'!S9</f>
        <v>0</v>
      </c>
      <c r="I54" s="149">
        <f t="shared" si="12"/>
        <v>3500</v>
      </c>
      <c r="J54" s="42">
        <f t="shared" si="5"/>
        <v>8</v>
      </c>
      <c r="L54" s="86">
        <v>47</v>
      </c>
      <c r="M54" s="85">
        <f t="shared" ca="1" si="8"/>
        <v>0</v>
      </c>
      <c r="N54" s="47">
        <v>47</v>
      </c>
      <c r="O54" s="48">
        <f t="shared" ca="1" si="9"/>
        <v>0</v>
      </c>
      <c r="P54" s="26">
        <v>47</v>
      </c>
      <c r="Q54" s="27">
        <f t="shared" ca="1" si="10"/>
        <v>0</v>
      </c>
    </row>
    <row r="55" spans="1:17" x14ac:dyDescent="0.25">
      <c r="A55" s="37">
        <f>'08 SEMANA'!A10</f>
        <v>46075</v>
      </c>
      <c r="B55" s="38">
        <f>'08 SEMANA'!B10</f>
        <v>485</v>
      </c>
      <c r="C55" s="38" t="str">
        <f>'08 SEMANA'!C10</f>
        <v xml:space="preserve">ULISES ALVAREZ Martínez </v>
      </c>
      <c r="D55" s="191" t="str">
        <f>+'08 SEMANA'!D10</f>
        <v xml:space="preserve">COMEDOR </v>
      </c>
      <c r="E55" s="45">
        <f t="shared" si="3"/>
        <v>8</v>
      </c>
      <c r="F55" s="20">
        <f>+'08 SEMANA'!E10</f>
        <v>3000</v>
      </c>
      <c r="G55" s="45">
        <f t="shared" si="4"/>
        <v>8</v>
      </c>
      <c r="H55" s="147">
        <f>+'08 SEMANA'!S10</f>
        <v>0</v>
      </c>
      <c r="I55" s="149">
        <f t="shared" ref="I55:I60" si="13">+F55-H55</f>
        <v>3000</v>
      </c>
      <c r="J55" s="42">
        <f t="shared" si="5"/>
        <v>8</v>
      </c>
      <c r="L55" s="86">
        <v>48</v>
      </c>
      <c r="M55" s="85">
        <f t="shared" ca="1" si="8"/>
        <v>0</v>
      </c>
      <c r="N55" s="47">
        <v>48</v>
      </c>
      <c r="O55" s="48">
        <f t="shared" ca="1" si="9"/>
        <v>0</v>
      </c>
      <c r="P55" s="26">
        <v>48</v>
      </c>
      <c r="Q55" s="27">
        <f t="shared" ca="1" si="10"/>
        <v>0</v>
      </c>
    </row>
    <row r="56" spans="1:17" x14ac:dyDescent="0.25">
      <c r="A56" s="37">
        <f>'08 SEMANA'!A11</f>
        <v>46075</v>
      </c>
      <c r="B56" s="38">
        <f>'08 SEMANA'!B11</f>
        <v>596</v>
      </c>
      <c r="C56" s="38" t="str">
        <f>'08 SEMANA'!C11</f>
        <v>José ALBERTO Sánchez Álvarez</v>
      </c>
      <c r="D56" s="191" t="str">
        <f>+'08 SEMANA'!D11</f>
        <v xml:space="preserve">COMEDOR </v>
      </c>
      <c r="E56" s="45">
        <f t="shared" si="3"/>
        <v>8</v>
      </c>
      <c r="F56" s="20">
        <f>+'08 SEMANA'!E11</f>
        <v>3000</v>
      </c>
      <c r="G56" s="45">
        <f t="shared" si="4"/>
        <v>8</v>
      </c>
      <c r="H56" s="147">
        <f>+'08 SEMANA'!S11</f>
        <v>0</v>
      </c>
      <c r="I56" s="149">
        <f t="shared" si="13"/>
        <v>3000</v>
      </c>
      <c r="J56" s="42">
        <f t="shared" si="5"/>
        <v>8</v>
      </c>
      <c r="L56" s="86">
        <v>49</v>
      </c>
      <c r="M56" s="85">
        <f t="shared" ca="1" si="8"/>
        <v>0</v>
      </c>
      <c r="N56" s="47">
        <v>49</v>
      </c>
      <c r="O56" s="48">
        <f t="shared" ca="1" si="9"/>
        <v>0</v>
      </c>
      <c r="P56" s="26">
        <v>49</v>
      </c>
      <c r="Q56" s="27">
        <f t="shared" ca="1" si="10"/>
        <v>0</v>
      </c>
    </row>
    <row r="57" spans="1:17" x14ac:dyDescent="0.25">
      <c r="A57" s="37">
        <f>'08 SEMANA'!A12</f>
        <v>0</v>
      </c>
      <c r="B57" s="38">
        <f>'08 SEMANA'!B12</f>
        <v>0</v>
      </c>
      <c r="C57" s="38">
        <f>'08 SEMANA'!C12</f>
        <v>0</v>
      </c>
      <c r="D57" s="38">
        <f>+'08 SEMANA'!D12</f>
        <v>0</v>
      </c>
      <c r="E57" s="45">
        <f t="shared" si="3"/>
        <v>52</v>
      </c>
      <c r="F57" s="20">
        <f>+'08 SEMANA'!E12</f>
        <v>0</v>
      </c>
      <c r="G57" s="45">
        <f t="shared" si="4"/>
        <v>52</v>
      </c>
      <c r="H57" s="147">
        <f>+'08 SEMANA'!S12</f>
        <v>0</v>
      </c>
      <c r="I57" s="149">
        <f t="shared" si="13"/>
        <v>0</v>
      </c>
      <c r="J57" s="42">
        <f t="shared" si="5"/>
        <v>52</v>
      </c>
      <c r="L57" s="86">
        <v>50</v>
      </c>
      <c r="M57" s="85">
        <f t="shared" ca="1" si="8"/>
        <v>0</v>
      </c>
      <c r="N57" s="47">
        <v>50</v>
      </c>
      <c r="O57" s="48">
        <f t="shared" ca="1" si="9"/>
        <v>0</v>
      </c>
      <c r="P57" s="26">
        <v>50</v>
      </c>
      <c r="Q57" s="27">
        <f t="shared" ca="1" si="10"/>
        <v>0</v>
      </c>
    </row>
    <row r="58" spans="1:17" x14ac:dyDescent="0.25">
      <c r="A58" s="37">
        <f>'08 SEMANA'!A13</f>
        <v>0</v>
      </c>
      <c r="B58" s="38">
        <f>'08 SEMANA'!B13</f>
        <v>0</v>
      </c>
      <c r="C58" s="38">
        <f>'08 SEMANA'!C13</f>
        <v>0</v>
      </c>
      <c r="D58" s="38">
        <f>+'08 SEMANA'!D12</f>
        <v>0</v>
      </c>
      <c r="E58" s="45">
        <f t="shared" si="3"/>
        <v>52</v>
      </c>
      <c r="F58" s="20">
        <f>+'08 SEMANA'!E13</f>
        <v>0</v>
      </c>
      <c r="G58" s="45">
        <f t="shared" si="4"/>
        <v>52</v>
      </c>
      <c r="H58" s="147">
        <f>+'08 SEMANA'!S13</f>
        <v>0</v>
      </c>
      <c r="I58" s="149">
        <f t="shared" si="13"/>
        <v>0</v>
      </c>
      <c r="J58" s="42">
        <f t="shared" si="5"/>
        <v>52</v>
      </c>
      <c r="L58" s="86">
        <v>51</v>
      </c>
      <c r="M58" s="85">
        <f t="shared" ca="1" si="8"/>
        <v>0</v>
      </c>
      <c r="N58" s="47">
        <v>51</v>
      </c>
      <c r="O58" s="48">
        <f t="shared" ca="1" si="9"/>
        <v>0</v>
      </c>
      <c r="P58" s="26">
        <v>51</v>
      </c>
      <c r="Q58" s="27">
        <f t="shared" ca="1" si="10"/>
        <v>0</v>
      </c>
    </row>
    <row r="59" spans="1:17" x14ac:dyDescent="0.25">
      <c r="A59" s="37">
        <f>'08 SEMANA'!A14</f>
        <v>0</v>
      </c>
      <c r="B59" s="38">
        <f>'08 SEMANA'!B14</f>
        <v>0</v>
      </c>
      <c r="C59" s="38">
        <f>'08 SEMANA'!C14</f>
        <v>0</v>
      </c>
      <c r="D59" s="38">
        <f>+'08 SEMANA'!D13</f>
        <v>0</v>
      </c>
      <c r="E59" s="45">
        <f t="shared" si="3"/>
        <v>52</v>
      </c>
      <c r="F59" s="20">
        <f>+'08 SEMANA'!E14</f>
        <v>0</v>
      </c>
      <c r="G59" s="45">
        <f t="shared" si="4"/>
        <v>52</v>
      </c>
      <c r="H59" s="147">
        <f>+'08 SEMANA'!S14</f>
        <v>0</v>
      </c>
      <c r="I59" s="149">
        <f t="shared" si="13"/>
        <v>0</v>
      </c>
      <c r="J59" s="42">
        <f t="shared" si="5"/>
        <v>52</v>
      </c>
      <c r="L59" s="86">
        <v>52</v>
      </c>
      <c r="M59" s="85">
        <f t="shared" ca="1" si="8"/>
        <v>0</v>
      </c>
      <c r="N59" s="47">
        <v>52</v>
      </c>
      <c r="O59" s="48">
        <f t="shared" ca="1" si="9"/>
        <v>0</v>
      </c>
      <c r="P59" s="26">
        <v>52</v>
      </c>
      <c r="Q59" s="27">
        <f t="shared" ca="1" si="10"/>
        <v>0</v>
      </c>
    </row>
    <row r="60" spans="1:17" ht="19.5" thickBot="1" x14ac:dyDescent="0.35">
      <c r="A60" s="37">
        <f>'09 SEMANA'!A9</f>
        <v>0</v>
      </c>
      <c r="B60" s="38">
        <f>'09 SEMANA'!B9</f>
        <v>0</v>
      </c>
      <c r="C60" s="38">
        <f>'09 SEMANA'!C9</f>
        <v>0</v>
      </c>
      <c r="D60" s="38">
        <f>+'09 SEMANA'!D9</f>
        <v>0</v>
      </c>
      <c r="E60" s="45">
        <f t="shared" si="3"/>
        <v>52</v>
      </c>
      <c r="F60" s="20">
        <f>+'09 SEMANA'!E9</f>
        <v>0</v>
      </c>
      <c r="G60" s="45">
        <f t="shared" si="4"/>
        <v>52</v>
      </c>
      <c r="H60" s="147">
        <f>+'09 SEMANA'!T9</f>
        <v>0</v>
      </c>
      <c r="I60" s="149">
        <f t="shared" si="13"/>
        <v>0</v>
      </c>
      <c r="J60" s="42">
        <f t="shared" si="5"/>
        <v>52</v>
      </c>
      <c r="L60" s="87" t="s">
        <v>2</v>
      </c>
      <c r="M60" s="88">
        <f ca="1">SUM(M7:M59)</f>
        <v>171461</v>
      </c>
      <c r="N60" s="63" t="s">
        <v>40</v>
      </c>
      <c r="O60" s="64">
        <f ca="1">SUM(O7:O59)</f>
        <v>79111</v>
      </c>
      <c r="P60" s="62" t="s">
        <v>23</v>
      </c>
      <c r="Q60" s="105">
        <f ca="1">SUM(Q7:Q59)</f>
        <v>92350</v>
      </c>
    </row>
    <row r="61" spans="1:17" x14ac:dyDescent="0.25">
      <c r="A61" s="37">
        <f>'09 SEMANA'!A10</f>
        <v>0</v>
      </c>
      <c r="B61" s="38">
        <f>'09 SEMANA'!B10</f>
        <v>0</v>
      </c>
      <c r="C61" s="38">
        <f>'09 SEMANA'!C10</f>
        <v>0</v>
      </c>
      <c r="D61" s="38">
        <f>+'09 SEMANA'!D10</f>
        <v>0</v>
      </c>
      <c r="E61" s="45">
        <f t="shared" si="3"/>
        <v>52</v>
      </c>
      <c r="F61" s="20">
        <f>+'09 SEMANA'!E10</f>
        <v>0</v>
      </c>
      <c r="G61" s="45">
        <f t="shared" si="4"/>
        <v>52</v>
      </c>
      <c r="H61" s="147">
        <f>+'09 SEMANA'!T10</f>
        <v>0</v>
      </c>
      <c r="I61" s="149">
        <f t="shared" ref="I61:I66" si="14">+F61-H61</f>
        <v>0</v>
      </c>
      <c r="J61" s="42">
        <f t="shared" si="5"/>
        <v>52</v>
      </c>
    </row>
    <row r="62" spans="1:17" x14ac:dyDescent="0.25">
      <c r="A62" s="37">
        <f>'09 SEMANA'!A11</f>
        <v>0</v>
      </c>
      <c r="B62" s="38">
        <f>'09 SEMANA'!B11</f>
        <v>0</v>
      </c>
      <c r="C62" s="38">
        <f>'09 SEMANA'!C11</f>
        <v>0</v>
      </c>
      <c r="D62" s="38">
        <f>+'09 SEMANA'!D11</f>
        <v>0</v>
      </c>
      <c r="E62" s="45">
        <f t="shared" si="3"/>
        <v>52</v>
      </c>
      <c r="F62" s="20">
        <f>+'09 SEMANA'!E11</f>
        <v>0</v>
      </c>
      <c r="G62" s="45">
        <f t="shared" si="4"/>
        <v>52</v>
      </c>
      <c r="H62" s="147">
        <f>+'09 SEMANA'!T11</f>
        <v>0</v>
      </c>
      <c r="I62" s="149">
        <f t="shared" si="14"/>
        <v>0</v>
      </c>
      <c r="J62" s="42">
        <f t="shared" si="5"/>
        <v>52</v>
      </c>
    </row>
    <row r="63" spans="1:17" x14ac:dyDescent="0.25">
      <c r="A63" s="37">
        <f>'09 SEMANA'!A12</f>
        <v>0</v>
      </c>
      <c r="B63" s="38">
        <f>'09 SEMANA'!B12</f>
        <v>0</v>
      </c>
      <c r="C63" s="38">
        <f>'09 SEMANA'!C12</f>
        <v>0</v>
      </c>
      <c r="D63" s="38">
        <f>+'09 SEMANA'!D12</f>
        <v>0</v>
      </c>
      <c r="E63" s="45">
        <f t="shared" si="3"/>
        <v>52</v>
      </c>
      <c r="F63" s="20">
        <f>+'09 SEMANA'!E12</f>
        <v>0</v>
      </c>
      <c r="G63" s="45">
        <f t="shared" si="4"/>
        <v>52</v>
      </c>
      <c r="H63" s="147">
        <f>+'09 SEMANA'!T12</f>
        <v>0</v>
      </c>
      <c r="I63" s="149">
        <f t="shared" si="14"/>
        <v>0</v>
      </c>
      <c r="J63" s="42">
        <f t="shared" si="5"/>
        <v>52</v>
      </c>
    </row>
    <row r="64" spans="1:17" x14ac:dyDescent="0.25">
      <c r="A64" s="37">
        <f>'09 SEMANA'!A13</f>
        <v>0</v>
      </c>
      <c r="B64" s="38">
        <f>'09 SEMANA'!B13</f>
        <v>0</v>
      </c>
      <c r="C64" s="38">
        <f>'09 SEMANA'!C13</f>
        <v>0</v>
      </c>
      <c r="D64" s="38">
        <f>+'09 SEMANA'!D13</f>
        <v>0</v>
      </c>
      <c r="E64" s="45">
        <f t="shared" si="3"/>
        <v>52</v>
      </c>
      <c r="F64" s="20">
        <f>+'09 SEMANA'!E13</f>
        <v>0</v>
      </c>
      <c r="G64" s="45">
        <f t="shared" si="4"/>
        <v>52</v>
      </c>
      <c r="H64" s="147">
        <f>+'09 SEMANA'!T13</f>
        <v>0</v>
      </c>
      <c r="I64" s="149">
        <f t="shared" si="14"/>
        <v>0</v>
      </c>
      <c r="J64" s="42">
        <f t="shared" si="5"/>
        <v>52</v>
      </c>
    </row>
    <row r="65" spans="1:10" x14ac:dyDescent="0.25">
      <c r="A65" s="37">
        <f>'09 SEMANA'!A14</f>
        <v>0</v>
      </c>
      <c r="B65" s="38">
        <f>'09 SEMANA'!B14</f>
        <v>0</v>
      </c>
      <c r="C65" s="38">
        <f>'09 SEMANA'!C14</f>
        <v>0</v>
      </c>
      <c r="D65" s="38">
        <f>+'09 SEMANA'!E13</f>
        <v>0</v>
      </c>
      <c r="E65" s="45">
        <f t="shared" si="3"/>
        <v>52</v>
      </c>
      <c r="F65" s="20">
        <f>+'09 SEMANA'!E14</f>
        <v>0</v>
      </c>
      <c r="G65" s="45">
        <f t="shared" si="4"/>
        <v>52</v>
      </c>
      <c r="H65" s="147">
        <f>+'09 SEMANA'!T14</f>
        <v>0</v>
      </c>
      <c r="I65" s="149">
        <f t="shared" si="14"/>
        <v>0</v>
      </c>
      <c r="J65" s="42">
        <f t="shared" si="5"/>
        <v>52</v>
      </c>
    </row>
    <row r="66" spans="1:10" x14ac:dyDescent="0.25">
      <c r="A66" s="37">
        <f>'10 SEMANA '!A9</f>
        <v>0</v>
      </c>
      <c r="B66" s="38">
        <f>'10 SEMANA '!B9</f>
        <v>0</v>
      </c>
      <c r="C66" s="38">
        <f>'10 SEMANA '!C9</f>
        <v>0</v>
      </c>
      <c r="D66" s="38">
        <f>+'10 SEMANA '!D9</f>
        <v>0</v>
      </c>
      <c r="E66" s="45">
        <f t="shared" si="3"/>
        <v>52</v>
      </c>
      <c r="F66" s="20">
        <f>+'10 SEMANA '!E9</f>
        <v>0</v>
      </c>
      <c r="G66" s="45">
        <f t="shared" si="4"/>
        <v>52</v>
      </c>
      <c r="H66" s="147">
        <f>+'10 SEMANA '!T9</f>
        <v>0</v>
      </c>
      <c r="I66" s="149">
        <f t="shared" si="14"/>
        <v>0</v>
      </c>
      <c r="J66" s="42">
        <f t="shared" si="5"/>
        <v>52</v>
      </c>
    </row>
    <row r="67" spans="1:10" x14ac:dyDescent="0.25">
      <c r="A67" s="37">
        <f>'10 SEMANA '!A10</f>
        <v>0</v>
      </c>
      <c r="B67" s="38">
        <f>'10 SEMANA '!B10</f>
        <v>0</v>
      </c>
      <c r="C67" s="38">
        <f>'10 SEMANA '!C10</f>
        <v>0</v>
      </c>
      <c r="D67" s="38">
        <f>+'10 SEMANA '!D10</f>
        <v>0</v>
      </c>
      <c r="E67" s="45">
        <f t="shared" si="3"/>
        <v>52</v>
      </c>
      <c r="F67" s="20">
        <f>+'10 SEMANA '!E10</f>
        <v>0</v>
      </c>
      <c r="G67" s="45">
        <f t="shared" si="4"/>
        <v>52</v>
      </c>
      <c r="H67" s="147">
        <f>+'10 SEMANA '!T10</f>
        <v>0</v>
      </c>
      <c r="I67" s="149">
        <f t="shared" ref="I67:I72" si="15">+F67-H67</f>
        <v>0</v>
      </c>
      <c r="J67" s="42">
        <f t="shared" si="5"/>
        <v>52</v>
      </c>
    </row>
    <row r="68" spans="1:10" x14ac:dyDescent="0.25">
      <c r="A68" s="37">
        <f>'10 SEMANA '!A11</f>
        <v>0</v>
      </c>
      <c r="B68" s="38">
        <f>'10 SEMANA '!B11</f>
        <v>0</v>
      </c>
      <c r="C68" s="38">
        <f>'10 SEMANA '!C11</f>
        <v>0</v>
      </c>
      <c r="D68" s="38">
        <f>+'10 SEMANA '!D11</f>
        <v>0</v>
      </c>
      <c r="E68" s="45">
        <f t="shared" si="3"/>
        <v>52</v>
      </c>
      <c r="F68" s="20">
        <f>+'10 SEMANA '!E11</f>
        <v>0</v>
      </c>
      <c r="G68" s="45">
        <f t="shared" si="4"/>
        <v>52</v>
      </c>
      <c r="H68" s="147">
        <f>+'10 SEMANA '!T11</f>
        <v>0</v>
      </c>
      <c r="I68" s="149">
        <f t="shared" si="15"/>
        <v>0</v>
      </c>
      <c r="J68" s="42">
        <f t="shared" si="5"/>
        <v>52</v>
      </c>
    </row>
    <row r="69" spans="1:10" x14ac:dyDescent="0.25">
      <c r="A69" s="37">
        <f>'10 SEMANA '!A12</f>
        <v>0</v>
      </c>
      <c r="B69" s="38">
        <f>'10 SEMANA '!B12</f>
        <v>0</v>
      </c>
      <c r="C69" s="38">
        <f>'10 SEMANA '!C12</f>
        <v>0</v>
      </c>
      <c r="D69" s="38">
        <f>+'10 SEMANA '!D12</f>
        <v>0</v>
      </c>
      <c r="E69" s="45">
        <f t="shared" si="3"/>
        <v>52</v>
      </c>
      <c r="F69" s="20">
        <f>+'10 SEMANA '!E12</f>
        <v>0</v>
      </c>
      <c r="G69" s="45">
        <f t="shared" si="4"/>
        <v>52</v>
      </c>
      <c r="H69" s="147">
        <f>+'10 SEMANA '!T12</f>
        <v>0</v>
      </c>
      <c r="I69" s="149">
        <f t="shared" si="15"/>
        <v>0</v>
      </c>
      <c r="J69" s="42">
        <f t="shared" si="5"/>
        <v>52</v>
      </c>
    </row>
    <row r="70" spans="1:10" x14ac:dyDescent="0.25">
      <c r="A70" s="37">
        <f>'10 SEMANA '!A13</f>
        <v>0</v>
      </c>
      <c r="B70" s="38">
        <f>'10 SEMANA '!B13</f>
        <v>0</v>
      </c>
      <c r="C70" s="38">
        <f>'10 SEMANA '!C13</f>
        <v>0</v>
      </c>
      <c r="D70" s="38">
        <f>+'10 SEMANA '!D13</f>
        <v>0</v>
      </c>
      <c r="E70" s="45">
        <f t="shared" si="3"/>
        <v>52</v>
      </c>
      <c r="F70" s="20">
        <f>+'10 SEMANA '!E13</f>
        <v>0</v>
      </c>
      <c r="G70" s="45">
        <f t="shared" si="4"/>
        <v>52</v>
      </c>
      <c r="H70" s="147">
        <f>+'10 SEMANA '!T13</f>
        <v>0</v>
      </c>
      <c r="I70" s="149">
        <f t="shared" si="15"/>
        <v>0</v>
      </c>
      <c r="J70" s="42">
        <f t="shared" si="5"/>
        <v>52</v>
      </c>
    </row>
    <row r="71" spans="1:10" x14ac:dyDescent="0.25">
      <c r="A71" s="37">
        <f>'10 SEMANA '!A14</f>
        <v>0</v>
      </c>
      <c r="B71" s="38">
        <f>'10 SEMANA '!B14</f>
        <v>0</v>
      </c>
      <c r="C71" s="38">
        <f>'10 SEMANA '!C14</f>
        <v>0</v>
      </c>
      <c r="D71" s="38">
        <f>+'10 SEMANA '!D14</f>
        <v>0</v>
      </c>
      <c r="E71" s="45">
        <f t="shared" si="3"/>
        <v>52</v>
      </c>
      <c r="F71" s="20">
        <f>+'10 SEMANA '!E14</f>
        <v>0</v>
      </c>
      <c r="G71" s="45">
        <f t="shared" si="4"/>
        <v>52</v>
      </c>
      <c r="H71" s="147">
        <f>+'10 SEMANA '!T14</f>
        <v>0</v>
      </c>
      <c r="I71" s="149">
        <f t="shared" si="15"/>
        <v>0</v>
      </c>
      <c r="J71" s="42">
        <f t="shared" si="5"/>
        <v>52</v>
      </c>
    </row>
    <row r="72" spans="1:10" x14ac:dyDescent="0.25">
      <c r="A72" s="37">
        <f>'11 SEMANA'!A9</f>
        <v>0</v>
      </c>
      <c r="B72" s="38">
        <f>'11 SEMANA'!B9</f>
        <v>0</v>
      </c>
      <c r="C72" s="38">
        <f>'11 SEMANA'!C9</f>
        <v>0</v>
      </c>
      <c r="D72" s="38">
        <f>+'11 SEMANA'!D9</f>
        <v>0</v>
      </c>
      <c r="E72" s="45">
        <f t="shared" si="3"/>
        <v>52</v>
      </c>
      <c r="F72" s="20">
        <f>+'11 SEMANA'!E9</f>
        <v>0</v>
      </c>
      <c r="G72" s="45">
        <f t="shared" si="4"/>
        <v>52</v>
      </c>
      <c r="H72" s="147">
        <f>+'11 SEMANA'!Q9</f>
        <v>0</v>
      </c>
      <c r="I72" s="149">
        <f t="shared" si="15"/>
        <v>0</v>
      </c>
      <c r="J72" s="42">
        <f t="shared" si="5"/>
        <v>52</v>
      </c>
    </row>
    <row r="73" spans="1:10" x14ac:dyDescent="0.25">
      <c r="A73" s="37">
        <f>'11 SEMANA'!A10</f>
        <v>0</v>
      </c>
      <c r="B73" s="38">
        <f>'11 SEMANA'!B10</f>
        <v>0</v>
      </c>
      <c r="C73" s="38">
        <f>'11 SEMANA'!C10</f>
        <v>0</v>
      </c>
      <c r="D73" s="38">
        <f>+'11 SEMANA'!D10</f>
        <v>0</v>
      </c>
      <c r="E73" s="45">
        <f t="shared" ref="E73:E139" si="16">_xlfn.ISOWEEKNUM(A73)</f>
        <v>52</v>
      </c>
      <c r="F73" s="20">
        <f>+'11 SEMANA'!E10</f>
        <v>0</v>
      </c>
      <c r="G73" s="45">
        <f t="shared" ref="G73:G139" si="17">_xlfn.ISOWEEKNUM(A73)</f>
        <v>52</v>
      </c>
      <c r="H73" s="147">
        <f>+'11 SEMANA'!Q10</f>
        <v>0</v>
      </c>
      <c r="I73" s="149">
        <f t="shared" ref="I73:I78" si="18">+F73-H73</f>
        <v>0</v>
      </c>
      <c r="J73" s="42">
        <f t="shared" ref="J73:J139" si="19">_xlfn.ISOWEEKNUM(A73)</f>
        <v>52</v>
      </c>
    </row>
    <row r="74" spans="1:10" x14ac:dyDescent="0.25">
      <c r="A74" s="37">
        <f>'11 SEMANA'!A11</f>
        <v>0</v>
      </c>
      <c r="B74" s="38">
        <f>'11 SEMANA'!B11</f>
        <v>0</v>
      </c>
      <c r="C74" s="38">
        <f>'11 SEMANA'!C11</f>
        <v>0</v>
      </c>
      <c r="D74" s="38">
        <f>+'11 SEMANA'!D11</f>
        <v>0</v>
      </c>
      <c r="E74" s="45">
        <f t="shared" si="16"/>
        <v>52</v>
      </c>
      <c r="F74" s="20">
        <f>+'11 SEMANA'!E11</f>
        <v>0</v>
      </c>
      <c r="G74" s="45">
        <f t="shared" si="17"/>
        <v>52</v>
      </c>
      <c r="H74" s="147">
        <f>+'11 SEMANA'!Q11</f>
        <v>0</v>
      </c>
      <c r="I74" s="149">
        <f t="shared" si="18"/>
        <v>0</v>
      </c>
      <c r="J74" s="42">
        <f t="shared" si="19"/>
        <v>52</v>
      </c>
    </row>
    <row r="75" spans="1:10" x14ac:dyDescent="0.25">
      <c r="A75" s="37">
        <f>'11 SEMANA'!A12</f>
        <v>0</v>
      </c>
      <c r="B75" s="38">
        <f>'11 SEMANA'!B12</f>
        <v>0</v>
      </c>
      <c r="C75" s="38">
        <f>'11 SEMANA'!C12</f>
        <v>0</v>
      </c>
      <c r="D75" s="38">
        <f>+'11 SEMANA'!D12</f>
        <v>0</v>
      </c>
      <c r="E75" s="45">
        <f t="shared" si="16"/>
        <v>52</v>
      </c>
      <c r="F75" s="20">
        <f>+'11 SEMANA'!E12</f>
        <v>0</v>
      </c>
      <c r="G75" s="45">
        <f t="shared" si="17"/>
        <v>52</v>
      </c>
      <c r="H75" s="147">
        <f>+'11 SEMANA'!Q12</f>
        <v>0</v>
      </c>
      <c r="I75" s="149">
        <f t="shared" si="18"/>
        <v>0</v>
      </c>
      <c r="J75" s="42">
        <f t="shared" si="19"/>
        <v>52</v>
      </c>
    </row>
    <row r="76" spans="1:10" x14ac:dyDescent="0.25">
      <c r="A76" s="37">
        <f>'11 SEMANA'!A13</f>
        <v>0</v>
      </c>
      <c r="B76" s="38">
        <f>'11 SEMANA'!B13</f>
        <v>0</v>
      </c>
      <c r="C76" s="38">
        <f>'11 SEMANA'!C13</f>
        <v>0</v>
      </c>
      <c r="D76" s="38">
        <f>+'11 SEMANA'!D13</f>
        <v>0</v>
      </c>
      <c r="E76" s="45">
        <f t="shared" si="16"/>
        <v>52</v>
      </c>
      <c r="F76" s="20">
        <f>+'11 SEMANA'!E13</f>
        <v>0</v>
      </c>
      <c r="G76" s="45">
        <f t="shared" si="17"/>
        <v>52</v>
      </c>
      <c r="H76" s="147">
        <f>+'11 SEMANA'!Q13</f>
        <v>0</v>
      </c>
      <c r="I76" s="149">
        <f t="shared" si="18"/>
        <v>0</v>
      </c>
      <c r="J76" s="42">
        <f t="shared" si="19"/>
        <v>52</v>
      </c>
    </row>
    <row r="77" spans="1:10" x14ac:dyDescent="0.25">
      <c r="A77" s="37">
        <f>'11 SEMANA'!A14</f>
        <v>0</v>
      </c>
      <c r="B77" s="38">
        <f>'11 SEMANA'!B14</f>
        <v>0</v>
      </c>
      <c r="C77" s="38">
        <f>'11 SEMANA'!C14</f>
        <v>0</v>
      </c>
      <c r="D77" s="38">
        <f>+'11 SEMANA'!D14</f>
        <v>0</v>
      </c>
      <c r="E77" s="45">
        <f t="shared" si="16"/>
        <v>52</v>
      </c>
      <c r="F77" s="20">
        <f>+'11 SEMANA'!E14</f>
        <v>0</v>
      </c>
      <c r="G77" s="45">
        <f t="shared" si="17"/>
        <v>52</v>
      </c>
      <c r="H77" s="147">
        <f>+'11 SEMANA'!Q14</f>
        <v>0</v>
      </c>
      <c r="I77" s="149">
        <f t="shared" si="18"/>
        <v>0</v>
      </c>
      <c r="J77" s="42">
        <f t="shared" si="19"/>
        <v>52</v>
      </c>
    </row>
    <row r="78" spans="1:10" x14ac:dyDescent="0.25">
      <c r="A78" s="37">
        <f>'12 SEMANA'!A9</f>
        <v>0</v>
      </c>
      <c r="B78" s="38">
        <f>'12 SEMANA'!B9</f>
        <v>0</v>
      </c>
      <c r="C78" s="38">
        <f>'12 SEMANA'!C9</f>
        <v>0</v>
      </c>
      <c r="D78" s="38">
        <f>+'12 SEMANA'!D9</f>
        <v>0</v>
      </c>
      <c r="E78" s="45">
        <f t="shared" si="16"/>
        <v>52</v>
      </c>
      <c r="F78" s="20">
        <f>+'12 SEMANA'!E9</f>
        <v>0</v>
      </c>
      <c r="G78" s="45">
        <f t="shared" si="17"/>
        <v>52</v>
      </c>
      <c r="H78" s="147">
        <f>+'12 SEMANA'!V9</f>
        <v>0</v>
      </c>
      <c r="I78" s="149">
        <f t="shared" si="18"/>
        <v>0</v>
      </c>
      <c r="J78" s="42">
        <f t="shared" si="19"/>
        <v>52</v>
      </c>
    </row>
    <row r="79" spans="1:10" x14ac:dyDescent="0.25">
      <c r="A79" s="37">
        <f>'12 SEMANA'!A10</f>
        <v>0</v>
      </c>
      <c r="B79" s="38">
        <f>'12 SEMANA'!B10</f>
        <v>0</v>
      </c>
      <c r="C79" s="38">
        <f>'12 SEMANA'!C10</f>
        <v>0</v>
      </c>
      <c r="D79" s="38">
        <f>+'12 SEMANA'!D10</f>
        <v>0</v>
      </c>
      <c r="E79" s="45">
        <f t="shared" si="16"/>
        <v>52</v>
      </c>
      <c r="F79" s="20">
        <f>+'12 SEMANA'!E10</f>
        <v>0</v>
      </c>
      <c r="G79" s="45">
        <f t="shared" si="17"/>
        <v>52</v>
      </c>
      <c r="H79" s="147">
        <f>+'12 SEMANA'!V10</f>
        <v>0</v>
      </c>
      <c r="I79" s="149">
        <f t="shared" ref="I79:I84" si="20">+F79-H79</f>
        <v>0</v>
      </c>
      <c r="J79" s="42">
        <f t="shared" si="19"/>
        <v>52</v>
      </c>
    </row>
    <row r="80" spans="1:10" x14ac:dyDescent="0.25">
      <c r="A80" s="37">
        <f>'12 SEMANA'!A11</f>
        <v>0</v>
      </c>
      <c r="B80" s="38">
        <f>'12 SEMANA'!B11</f>
        <v>0</v>
      </c>
      <c r="C80" s="38">
        <f>'12 SEMANA'!C11</f>
        <v>0</v>
      </c>
      <c r="D80" s="38">
        <f>+'12 SEMANA'!D11</f>
        <v>0</v>
      </c>
      <c r="E80" s="45">
        <f t="shared" si="16"/>
        <v>52</v>
      </c>
      <c r="F80" s="20">
        <f>+'12 SEMANA'!E11</f>
        <v>0</v>
      </c>
      <c r="G80" s="45">
        <f t="shared" si="17"/>
        <v>52</v>
      </c>
      <c r="H80" s="147">
        <f>+'12 SEMANA'!V11</f>
        <v>0</v>
      </c>
      <c r="I80" s="149">
        <f t="shared" si="20"/>
        <v>0</v>
      </c>
      <c r="J80" s="42">
        <f t="shared" si="19"/>
        <v>52</v>
      </c>
    </row>
    <row r="81" spans="1:10" x14ac:dyDescent="0.25">
      <c r="A81" s="37">
        <f>'12 SEMANA'!A12</f>
        <v>0</v>
      </c>
      <c r="B81" s="38">
        <f>'12 SEMANA'!B12</f>
        <v>0</v>
      </c>
      <c r="C81" s="38">
        <f>'12 SEMANA'!C12</f>
        <v>0</v>
      </c>
      <c r="D81" s="38">
        <f>+'12 SEMANA'!D12</f>
        <v>0</v>
      </c>
      <c r="E81" s="45">
        <f t="shared" si="16"/>
        <v>52</v>
      </c>
      <c r="F81" s="20">
        <f>+'12 SEMANA'!E12</f>
        <v>0</v>
      </c>
      <c r="G81" s="45">
        <f t="shared" si="17"/>
        <v>52</v>
      </c>
      <c r="H81" s="147">
        <f>+'12 SEMANA'!V12</f>
        <v>0</v>
      </c>
      <c r="I81" s="149">
        <f t="shared" si="20"/>
        <v>0</v>
      </c>
      <c r="J81" s="42">
        <f t="shared" si="19"/>
        <v>52</v>
      </c>
    </row>
    <row r="82" spans="1:10" x14ac:dyDescent="0.25">
      <c r="A82" s="37">
        <f>'12 SEMANA'!A13</f>
        <v>0</v>
      </c>
      <c r="B82" s="38">
        <f>'12 SEMANA'!B13</f>
        <v>0</v>
      </c>
      <c r="C82" s="38">
        <f>'12 SEMANA'!C13</f>
        <v>0</v>
      </c>
      <c r="D82" s="38">
        <f>+'12 SEMANA'!D13</f>
        <v>0</v>
      </c>
      <c r="E82" s="45">
        <f t="shared" si="16"/>
        <v>52</v>
      </c>
      <c r="F82" s="20">
        <f>+'12 SEMANA'!E13</f>
        <v>0</v>
      </c>
      <c r="G82" s="45">
        <f t="shared" si="17"/>
        <v>52</v>
      </c>
      <c r="H82" s="147">
        <f>+'12 SEMANA'!V13</f>
        <v>0</v>
      </c>
      <c r="I82" s="149">
        <f t="shared" si="20"/>
        <v>0</v>
      </c>
      <c r="J82" s="42">
        <f t="shared" si="19"/>
        <v>52</v>
      </c>
    </row>
    <row r="83" spans="1:10" x14ac:dyDescent="0.25">
      <c r="A83" s="37">
        <f>'12 SEMANA'!A14</f>
        <v>0</v>
      </c>
      <c r="B83" s="38">
        <f>'12 SEMANA'!B14</f>
        <v>0</v>
      </c>
      <c r="C83" s="38">
        <f>'12 SEMANA'!C14</f>
        <v>0</v>
      </c>
      <c r="D83" s="38">
        <f>+'12 SEMANA'!D14</f>
        <v>0</v>
      </c>
      <c r="E83" s="45">
        <f t="shared" si="16"/>
        <v>52</v>
      </c>
      <c r="F83" s="20">
        <f>+'12 SEMANA'!E14</f>
        <v>0</v>
      </c>
      <c r="G83" s="45">
        <f t="shared" si="17"/>
        <v>52</v>
      </c>
      <c r="H83" s="147">
        <f>+'12 SEMANA'!V14</f>
        <v>0</v>
      </c>
      <c r="I83" s="149">
        <f t="shared" si="20"/>
        <v>0</v>
      </c>
      <c r="J83" s="42">
        <f t="shared" si="19"/>
        <v>52</v>
      </c>
    </row>
    <row r="84" spans="1:10" x14ac:dyDescent="0.25">
      <c r="A84" s="37">
        <f>'13 SEMANA'!A9</f>
        <v>0</v>
      </c>
      <c r="B84" s="38">
        <f>'13 SEMANA'!B9</f>
        <v>0</v>
      </c>
      <c r="C84" s="38">
        <f>'13 SEMANA'!C9</f>
        <v>0</v>
      </c>
      <c r="D84" s="38">
        <f>+'13 SEMANA'!D9</f>
        <v>0</v>
      </c>
      <c r="E84" s="45">
        <f t="shared" si="16"/>
        <v>52</v>
      </c>
      <c r="F84" s="20">
        <f>+'13 SEMANA'!E9</f>
        <v>0</v>
      </c>
      <c r="G84" s="45">
        <f t="shared" si="17"/>
        <v>52</v>
      </c>
      <c r="H84" s="147">
        <f>+'13 SEMANA'!AA9</f>
        <v>0</v>
      </c>
      <c r="I84" s="149">
        <f t="shared" si="20"/>
        <v>0</v>
      </c>
      <c r="J84" s="42">
        <f t="shared" si="19"/>
        <v>52</v>
      </c>
    </row>
    <row r="85" spans="1:10" x14ac:dyDescent="0.25">
      <c r="A85" s="37">
        <f>'13 SEMANA'!A10</f>
        <v>0</v>
      </c>
      <c r="B85" s="38">
        <f>'13 SEMANA'!B10</f>
        <v>0</v>
      </c>
      <c r="C85" s="38">
        <f>'13 SEMANA'!C10</f>
        <v>0</v>
      </c>
      <c r="D85" s="38">
        <f>+'13 SEMANA'!D10</f>
        <v>0</v>
      </c>
      <c r="E85" s="45">
        <f t="shared" si="16"/>
        <v>52</v>
      </c>
      <c r="F85" s="20">
        <f>+'13 SEMANA'!E10</f>
        <v>0</v>
      </c>
      <c r="G85" s="45">
        <f t="shared" si="17"/>
        <v>52</v>
      </c>
      <c r="H85" s="147">
        <f>+'13 SEMANA'!AA10</f>
        <v>0</v>
      </c>
      <c r="I85" s="149">
        <f t="shared" ref="I85:I90" si="21">+F85-H85</f>
        <v>0</v>
      </c>
      <c r="J85" s="42">
        <f t="shared" si="19"/>
        <v>52</v>
      </c>
    </row>
    <row r="86" spans="1:10" x14ac:dyDescent="0.25">
      <c r="A86" s="37">
        <f>'13 SEMANA'!A11</f>
        <v>0</v>
      </c>
      <c r="B86" s="38">
        <f>'13 SEMANA'!B11</f>
        <v>0</v>
      </c>
      <c r="C86" s="38">
        <f>'13 SEMANA'!C11</f>
        <v>0</v>
      </c>
      <c r="D86" s="38">
        <f>+'13 SEMANA'!D11</f>
        <v>0</v>
      </c>
      <c r="E86" s="45">
        <f t="shared" si="16"/>
        <v>52</v>
      </c>
      <c r="F86" s="20">
        <f>+'13 SEMANA'!E11</f>
        <v>0</v>
      </c>
      <c r="G86" s="45">
        <f t="shared" si="17"/>
        <v>52</v>
      </c>
      <c r="H86" s="147">
        <f>+'13 SEMANA'!AA11</f>
        <v>0</v>
      </c>
      <c r="I86" s="149">
        <f t="shared" si="21"/>
        <v>0</v>
      </c>
      <c r="J86" s="42">
        <f t="shared" si="19"/>
        <v>52</v>
      </c>
    </row>
    <row r="87" spans="1:10" x14ac:dyDescent="0.25">
      <c r="A87" s="37">
        <f>'13 SEMANA'!A12</f>
        <v>0</v>
      </c>
      <c r="B87" s="38">
        <f>'13 SEMANA'!B12</f>
        <v>0</v>
      </c>
      <c r="C87" s="38">
        <f>'13 SEMANA'!C12</f>
        <v>0</v>
      </c>
      <c r="D87" s="38">
        <f>+'13 SEMANA'!D12</f>
        <v>0</v>
      </c>
      <c r="E87" s="45">
        <f t="shared" si="16"/>
        <v>52</v>
      </c>
      <c r="F87" s="20">
        <f>+'13 SEMANA'!E12</f>
        <v>0</v>
      </c>
      <c r="G87" s="45">
        <f t="shared" si="17"/>
        <v>52</v>
      </c>
      <c r="H87" s="147">
        <f>+'13 SEMANA'!AA12</f>
        <v>0</v>
      </c>
      <c r="I87" s="149">
        <f t="shared" si="21"/>
        <v>0</v>
      </c>
      <c r="J87" s="42">
        <f t="shared" si="19"/>
        <v>52</v>
      </c>
    </row>
    <row r="88" spans="1:10" x14ac:dyDescent="0.25">
      <c r="A88" s="37">
        <f>'13 SEMANA'!A13</f>
        <v>0</v>
      </c>
      <c r="B88" s="38">
        <f>'13 SEMANA'!B13</f>
        <v>0</v>
      </c>
      <c r="C88" s="38">
        <f>'13 SEMANA'!C13</f>
        <v>0</v>
      </c>
      <c r="D88" s="38">
        <f>+'13 SEMANA'!D13</f>
        <v>0</v>
      </c>
      <c r="E88" s="45">
        <f t="shared" si="16"/>
        <v>52</v>
      </c>
      <c r="F88" s="20">
        <f>+'13 SEMANA'!E13</f>
        <v>0</v>
      </c>
      <c r="G88" s="45">
        <f t="shared" si="17"/>
        <v>52</v>
      </c>
      <c r="H88" s="147">
        <f>+'13 SEMANA'!AA13</f>
        <v>0</v>
      </c>
      <c r="I88" s="149">
        <f t="shared" si="21"/>
        <v>0</v>
      </c>
      <c r="J88" s="42">
        <f t="shared" si="19"/>
        <v>52</v>
      </c>
    </row>
    <row r="89" spans="1:10" x14ac:dyDescent="0.25">
      <c r="A89" s="37">
        <f>'13 SEMANA'!A14</f>
        <v>0</v>
      </c>
      <c r="B89" s="38">
        <f>'13 SEMANA'!B14</f>
        <v>0</v>
      </c>
      <c r="C89" s="38">
        <f>'13 SEMANA'!C14</f>
        <v>0</v>
      </c>
      <c r="D89" s="38">
        <f>+'13 SEMANA'!D14</f>
        <v>0</v>
      </c>
      <c r="E89" s="45">
        <f t="shared" si="16"/>
        <v>52</v>
      </c>
      <c r="F89" s="20">
        <f>+'13 SEMANA'!E14</f>
        <v>0</v>
      </c>
      <c r="G89" s="45">
        <f t="shared" si="17"/>
        <v>52</v>
      </c>
      <c r="H89" s="147">
        <f>+'13 SEMANA'!AA14</f>
        <v>0</v>
      </c>
      <c r="I89" s="149">
        <f t="shared" si="21"/>
        <v>0</v>
      </c>
      <c r="J89" s="42">
        <f t="shared" si="19"/>
        <v>52</v>
      </c>
    </row>
    <row r="90" spans="1:10" x14ac:dyDescent="0.25">
      <c r="A90" s="37">
        <f>'14 SEMANA '!A9</f>
        <v>0</v>
      </c>
      <c r="B90" s="38">
        <f>'14 SEMANA '!B9</f>
        <v>0</v>
      </c>
      <c r="C90" s="38">
        <f>'14 SEMANA '!C9</f>
        <v>0</v>
      </c>
      <c r="D90" s="38">
        <f>+'14 SEMANA '!D9</f>
        <v>0</v>
      </c>
      <c r="E90" s="45">
        <f t="shared" si="16"/>
        <v>52</v>
      </c>
      <c r="F90" s="20">
        <f>+'14 SEMANA '!E9</f>
        <v>0</v>
      </c>
      <c r="G90" s="45">
        <f t="shared" si="17"/>
        <v>52</v>
      </c>
      <c r="H90" s="147">
        <f>+'14 SEMANA '!T9</f>
        <v>0</v>
      </c>
      <c r="I90" s="149">
        <f t="shared" si="21"/>
        <v>0</v>
      </c>
      <c r="J90" s="42">
        <f t="shared" si="19"/>
        <v>52</v>
      </c>
    </row>
    <row r="91" spans="1:10" x14ac:dyDescent="0.25">
      <c r="A91" s="37">
        <f>'14 SEMANA '!A10</f>
        <v>0</v>
      </c>
      <c r="B91" s="38">
        <f>'14 SEMANA '!B10</f>
        <v>0</v>
      </c>
      <c r="C91" s="38">
        <f>'14 SEMANA '!C10</f>
        <v>0</v>
      </c>
      <c r="D91" s="38">
        <f>+'14 SEMANA '!D10</f>
        <v>0</v>
      </c>
      <c r="E91" s="45">
        <f t="shared" si="16"/>
        <v>52</v>
      </c>
      <c r="F91" s="20">
        <f>+'14 SEMANA '!E10</f>
        <v>0</v>
      </c>
      <c r="G91" s="45">
        <f t="shared" si="17"/>
        <v>52</v>
      </c>
      <c r="H91" s="147">
        <f>+'14 SEMANA '!T10</f>
        <v>0</v>
      </c>
      <c r="I91" s="149">
        <f t="shared" ref="I91:I97" si="22">+F91-H91</f>
        <v>0</v>
      </c>
      <c r="J91" s="42">
        <f t="shared" si="19"/>
        <v>52</v>
      </c>
    </row>
    <row r="92" spans="1:10" x14ac:dyDescent="0.25">
      <c r="A92" s="37">
        <f>'14 SEMANA '!A11</f>
        <v>0</v>
      </c>
      <c r="B92" s="38">
        <f>'14 SEMANA '!B11</f>
        <v>0</v>
      </c>
      <c r="C92" s="38">
        <f>'14 SEMANA '!C11</f>
        <v>0</v>
      </c>
      <c r="D92" s="38">
        <f>+'14 SEMANA '!D11</f>
        <v>0</v>
      </c>
      <c r="E92" s="45">
        <f t="shared" si="16"/>
        <v>52</v>
      </c>
      <c r="F92" s="20">
        <f>+'14 SEMANA '!E11</f>
        <v>0</v>
      </c>
      <c r="G92" s="45">
        <f t="shared" si="17"/>
        <v>52</v>
      </c>
      <c r="H92" s="147">
        <f>+'14 SEMANA '!T11</f>
        <v>0</v>
      </c>
      <c r="I92" s="149">
        <f t="shared" si="22"/>
        <v>0</v>
      </c>
      <c r="J92" s="42">
        <f t="shared" si="19"/>
        <v>52</v>
      </c>
    </row>
    <row r="93" spans="1:10" x14ac:dyDescent="0.25">
      <c r="A93" s="37">
        <f>'14 SEMANA '!A12</f>
        <v>0</v>
      </c>
      <c r="B93" s="38">
        <f>'14 SEMANA '!B12</f>
        <v>0</v>
      </c>
      <c r="C93" s="38">
        <f>'14 SEMANA '!C12</f>
        <v>0</v>
      </c>
      <c r="D93" s="38">
        <f>+'14 SEMANA '!D12</f>
        <v>0</v>
      </c>
      <c r="E93" s="45">
        <f t="shared" si="16"/>
        <v>52</v>
      </c>
      <c r="F93" s="20">
        <f>+'14 SEMANA '!E12</f>
        <v>0</v>
      </c>
      <c r="G93" s="45">
        <f t="shared" si="17"/>
        <v>52</v>
      </c>
      <c r="H93" s="147">
        <f>+'14 SEMANA '!T12</f>
        <v>0</v>
      </c>
      <c r="I93" s="149">
        <f t="shared" si="22"/>
        <v>0</v>
      </c>
      <c r="J93" s="42">
        <f t="shared" si="19"/>
        <v>52</v>
      </c>
    </row>
    <row r="94" spans="1:10" x14ac:dyDescent="0.25">
      <c r="A94" s="37">
        <f>'14 SEMANA '!A13</f>
        <v>0</v>
      </c>
      <c r="B94" s="38">
        <f>'14 SEMANA '!B13</f>
        <v>0</v>
      </c>
      <c r="C94" s="38">
        <f>'14 SEMANA '!C13</f>
        <v>0</v>
      </c>
      <c r="D94" s="38">
        <f>+'14 SEMANA '!D13</f>
        <v>0</v>
      </c>
      <c r="E94" s="45">
        <f t="shared" si="16"/>
        <v>52</v>
      </c>
      <c r="F94" s="20">
        <f>+'14 SEMANA '!E13</f>
        <v>0</v>
      </c>
      <c r="G94" s="45">
        <f t="shared" si="17"/>
        <v>52</v>
      </c>
      <c r="H94" s="147">
        <f>+'14 SEMANA '!T13</f>
        <v>0</v>
      </c>
      <c r="I94" s="149">
        <f t="shared" si="22"/>
        <v>0</v>
      </c>
      <c r="J94" s="42">
        <f t="shared" si="19"/>
        <v>52</v>
      </c>
    </row>
    <row r="95" spans="1:10" x14ac:dyDescent="0.25">
      <c r="A95" s="37">
        <f>'14 SEMANA '!A14</f>
        <v>0</v>
      </c>
      <c r="B95" s="38">
        <f>'14 SEMANA '!B14</f>
        <v>0</v>
      </c>
      <c r="C95" s="38">
        <f>'14 SEMANA '!C14</f>
        <v>0</v>
      </c>
      <c r="D95" s="38">
        <f>+'14 SEMANA '!D14</f>
        <v>0</v>
      </c>
      <c r="E95" s="45">
        <f t="shared" si="16"/>
        <v>52</v>
      </c>
      <c r="F95" s="20">
        <f>+'14 SEMANA '!E14</f>
        <v>0</v>
      </c>
      <c r="G95" s="45">
        <f t="shared" si="17"/>
        <v>52</v>
      </c>
      <c r="H95" s="147">
        <f>+'14 SEMANA '!T14</f>
        <v>0</v>
      </c>
      <c r="I95" s="149">
        <f t="shared" si="22"/>
        <v>0</v>
      </c>
      <c r="J95" s="42">
        <f t="shared" si="19"/>
        <v>52</v>
      </c>
    </row>
    <row r="96" spans="1:10" x14ac:dyDescent="0.25">
      <c r="A96" s="37">
        <f>'14 SEMANA '!A15</f>
        <v>0</v>
      </c>
      <c r="B96" s="38">
        <f>'14 SEMANA '!B15</f>
        <v>0</v>
      </c>
      <c r="C96" s="38">
        <f>'14 SEMANA '!C15</f>
        <v>0</v>
      </c>
      <c r="D96" s="38">
        <f>+'14 SEMANA '!D15</f>
        <v>0</v>
      </c>
      <c r="E96" s="45">
        <f t="shared" si="16"/>
        <v>52</v>
      </c>
      <c r="F96" s="20">
        <f>+'14 SEMANA '!E15</f>
        <v>0</v>
      </c>
      <c r="G96" s="45">
        <f t="shared" si="17"/>
        <v>52</v>
      </c>
      <c r="H96" s="147">
        <f>+'14 SEMANA '!T15</f>
        <v>0</v>
      </c>
      <c r="I96" s="149">
        <f t="shared" si="22"/>
        <v>0</v>
      </c>
      <c r="J96" s="42">
        <f t="shared" si="19"/>
        <v>52</v>
      </c>
    </row>
    <row r="97" spans="1:10" x14ac:dyDescent="0.25">
      <c r="A97" s="37">
        <f>'15 SEMANA'!A9</f>
        <v>0</v>
      </c>
      <c r="B97" s="38">
        <f>'15 SEMANA'!B9</f>
        <v>0</v>
      </c>
      <c r="C97" s="38">
        <f>'15 SEMANA'!C9</f>
        <v>0</v>
      </c>
      <c r="D97" s="38">
        <f>'15 SEMANA'!D9</f>
        <v>0</v>
      </c>
      <c r="E97" s="45">
        <f t="shared" si="16"/>
        <v>52</v>
      </c>
      <c r="F97" s="20">
        <f>+'15 SEMANA'!E9</f>
        <v>0</v>
      </c>
      <c r="G97" s="45">
        <f t="shared" si="17"/>
        <v>52</v>
      </c>
      <c r="H97" s="147">
        <f>+'15 SEMANA'!Q9</f>
        <v>0</v>
      </c>
      <c r="I97" s="149">
        <f t="shared" si="22"/>
        <v>0</v>
      </c>
      <c r="J97" s="42">
        <f t="shared" si="19"/>
        <v>52</v>
      </c>
    </row>
    <row r="98" spans="1:10" x14ac:dyDescent="0.25">
      <c r="A98" s="37">
        <f>'15 SEMANA'!A10</f>
        <v>0</v>
      </c>
      <c r="B98" s="38">
        <f>'15 SEMANA'!B10</f>
        <v>0</v>
      </c>
      <c r="C98" s="38">
        <f>'15 SEMANA'!C10</f>
        <v>0</v>
      </c>
      <c r="D98" s="38">
        <f>'15 SEMANA'!D10</f>
        <v>0</v>
      </c>
      <c r="E98" s="45">
        <f t="shared" si="16"/>
        <v>52</v>
      </c>
      <c r="F98" s="20">
        <f>+'15 SEMANA'!E10</f>
        <v>0</v>
      </c>
      <c r="G98" s="45">
        <f t="shared" si="17"/>
        <v>52</v>
      </c>
      <c r="H98" s="147">
        <f>+'15 SEMANA'!Q10</f>
        <v>0</v>
      </c>
      <c r="I98" s="149">
        <f t="shared" ref="I98:I103" si="23">+F98-H98</f>
        <v>0</v>
      </c>
      <c r="J98" s="42">
        <f t="shared" si="19"/>
        <v>52</v>
      </c>
    </row>
    <row r="99" spans="1:10" x14ac:dyDescent="0.25">
      <c r="A99" s="37">
        <f>'15 SEMANA'!A11</f>
        <v>0</v>
      </c>
      <c r="B99" s="38">
        <f>'15 SEMANA'!B11</f>
        <v>0</v>
      </c>
      <c r="C99" s="38">
        <f>'15 SEMANA'!C11</f>
        <v>0</v>
      </c>
      <c r="D99" s="38">
        <f>'15 SEMANA'!D11</f>
        <v>0</v>
      </c>
      <c r="E99" s="45">
        <f t="shared" si="16"/>
        <v>52</v>
      </c>
      <c r="F99" s="20">
        <f>+'15 SEMANA'!E11</f>
        <v>0</v>
      </c>
      <c r="G99" s="45">
        <f t="shared" si="17"/>
        <v>52</v>
      </c>
      <c r="H99" s="147">
        <f>+'15 SEMANA'!Q11</f>
        <v>0</v>
      </c>
      <c r="I99" s="149">
        <f t="shared" si="23"/>
        <v>0</v>
      </c>
      <c r="J99" s="42">
        <f t="shared" si="19"/>
        <v>52</v>
      </c>
    </row>
    <row r="100" spans="1:10" x14ac:dyDescent="0.25">
      <c r="A100" s="37">
        <f>'15 SEMANA'!A12</f>
        <v>0</v>
      </c>
      <c r="B100" s="38">
        <f>'15 SEMANA'!B12</f>
        <v>0</v>
      </c>
      <c r="C100" s="38">
        <f>'15 SEMANA'!C12</f>
        <v>0</v>
      </c>
      <c r="D100" s="38">
        <f>+'15 SEMANA'!D11</f>
        <v>0</v>
      </c>
      <c r="E100" s="45">
        <f t="shared" si="16"/>
        <v>52</v>
      </c>
      <c r="F100" s="20">
        <f>+'15 SEMANA'!E12</f>
        <v>0</v>
      </c>
      <c r="G100" s="45">
        <f t="shared" si="17"/>
        <v>52</v>
      </c>
      <c r="H100" s="147">
        <f>+'15 SEMANA'!Q12</f>
        <v>0</v>
      </c>
      <c r="I100" s="149">
        <f t="shared" si="23"/>
        <v>0</v>
      </c>
      <c r="J100" s="42">
        <f t="shared" si="19"/>
        <v>52</v>
      </c>
    </row>
    <row r="101" spans="1:10" x14ac:dyDescent="0.25">
      <c r="A101" s="37">
        <f>'15 SEMANA'!A13</f>
        <v>0</v>
      </c>
      <c r="B101" s="38">
        <f>'15 SEMANA'!B13</f>
        <v>0</v>
      </c>
      <c r="C101" s="38">
        <f>'15 SEMANA'!C13</f>
        <v>0</v>
      </c>
      <c r="D101" s="38">
        <f>+'15 SEMANA'!D12</f>
        <v>0</v>
      </c>
      <c r="E101" s="45">
        <f t="shared" si="16"/>
        <v>52</v>
      </c>
      <c r="F101" s="20">
        <f>+'15 SEMANA'!E13</f>
        <v>0</v>
      </c>
      <c r="G101" s="45">
        <f t="shared" si="17"/>
        <v>52</v>
      </c>
      <c r="H101" s="147">
        <f>+'15 SEMANA'!Q13</f>
        <v>0</v>
      </c>
      <c r="I101" s="149">
        <f t="shared" si="23"/>
        <v>0</v>
      </c>
      <c r="J101" s="42">
        <f t="shared" si="19"/>
        <v>52</v>
      </c>
    </row>
    <row r="102" spans="1:10" x14ac:dyDescent="0.25">
      <c r="A102" s="37">
        <f>'15 SEMANA'!A14</f>
        <v>0</v>
      </c>
      <c r="B102" s="38">
        <f>'15 SEMANA'!B14</f>
        <v>0</v>
      </c>
      <c r="C102" s="38">
        <f>'15 SEMANA'!C14</f>
        <v>0</v>
      </c>
      <c r="D102" s="38">
        <f>+'15 SEMANA'!D13</f>
        <v>0</v>
      </c>
      <c r="E102" s="45">
        <f t="shared" si="16"/>
        <v>52</v>
      </c>
      <c r="F102" s="20">
        <f>+'15 SEMANA'!E14</f>
        <v>0</v>
      </c>
      <c r="G102" s="45">
        <f t="shared" si="17"/>
        <v>52</v>
      </c>
      <c r="H102" s="147">
        <f>+'15 SEMANA'!Q14</f>
        <v>0</v>
      </c>
      <c r="I102" s="149">
        <f t="shared" si="23"/>
        <v>0</v>
      </c>
      <c r="J102" s="42">
        <f t="shared" si="19"/>
        <v>52</v>
      </c>
    </row>
    <row r="103" spans="1:10" x14ac:dyDescent="0.25">
      <c r="A103" s="37">
        <f>'16 SEMANA '!A9</f>
        <v>0</v>
      </c>
      <c r="B103" s="38">
        <f>'16 SEMANA '!B9</f>
        <v>0</v>
      </c>
      <c r="C103" s="38">
        <f>'16 SEMANA '!C9</f>
        <v>0</v>
      </c>
      <c r="D103" s="38">
        <f>+'15 SEMANA'!D14</f>
        <v>0</v>
      </c>
      <c r="E103" s="45">
        <f t="shared" si="16"/>
        <v>52</v>
      </c>
      <c r="F103" s="20">
        <f>+'16 SEMANA '!E9</f>
        <v>0</v>
      </c>
      <c r="G103" s="45">
        <f t="shared" si="17"/>
        <v>52</v>
      </c>
      <c r="H103" s="147">
        <f>+'16 SEMANA '!T9</f>
        <v>0</v>
      </c>
      <c r="I103" s="149">
        <f t="shared" si="23"/>
        <v>0</v>
      </c>
      <c r="J103" s="42">
        <f t="shared" si="19"/>
        <v>52</v>
      </c>
    </row>
    <row r="104" spans="1:10" x14ac:dyDescent="0.25">
      <c r="A104" s="37">
        <f>'16 SEMANA '!A10</f>
        <v>0</v>
      </c>
      <c r="B104" s="38">
        <f>'16 SEMANA '!B10</f>
        <v>0</v>
      </c>
      <c r="C104" s="38">
        <f>'16 SEMANA '!C10</f>
        <v>0</v>
      </c>
      <c r="D104" s="38">
        <f>+'16 SEMANA '!D9</f>
        <v>0</v>
      </c>
      <c r="E104" s="45">
        <f t="shared" si="16"/>
        <v>52</v>
      </c>
      <c r="F104" s="20">
        <f>+'16 SEMANA '!E10</f>
        <v>0</v>
      </c>
      <c r="G104" s="45">
        <f t="shared" si="17"/>
        <v>52</v>
      </c>
      <c r="H104" s="147">
        <f>+'16 SEMANA '!T10</f>
        <v>0</v>
      </c>
      <c r="I104" s="149">
        <f t="shared" ref="I104:I109" si="24">+F104-H104</f>
        <v>0</v>
      </c>
      <c r="J104" s="42">
        <f t="shared" si="19"/>
        <v>52</v>
      </c>
    </row>
    <row r="105" spans="1:10" x14ac:dyDescent="0.25">
      <c r="A105" s="37">
        <f>'16 SEMANA '!A11</f>
        <v>0</v>
      </c>
      <c r="B105" s="38">
        <f>'16 SEMANA '!B11</f>
        <v>0</v>
      </c>
      <c r="C105" s="38">
        <f>'16 SEMANA '!C11</f>
        <v>0</v>
      </c>
      <c r="D105" s="38">
        <f>+'16 SEMANA '!D10</f>
        <v>0</v>
      </c>
      <c r="E105" s="45">
        <f t="shared" si="16"/>
        <v>52</v>
      </c>
      <c r="F105" s="20">
        <f>+'16 SEMANA '!E11</f>
        <v>0</v>
      </c>
      <c r="G105" s="45">
        <f t="shared" si="17"/>
        <v>52</v>
      </c>
      <c r="H105" s="147">
        <f>+'16 SEMANA '!T11</f>
        <v>0</v>
      </c>
      <c r="I105" s="149">
        <f t="shared" si="24"/>
        <v>0</v>
      </c>
      <c r="J105" s="42">
        <f t="shared" si="19"/>
        <v>52</v>
      </c>
    </row>
    <row r="106" spans="1:10" x14ac:dyDescent="0.25">
      <c r="A106" s="37">
        <f>'16 SEMANA '!A12</f>
        <v>0</v>
      </c>
      <c r="B106" s="38">
        <f>'16 SEMANA '!B12</f>
        <v>0</v>
      </c>
      <c r="C106" s="38">
        <f>'16 SEMANA '!C12</f>
        <v>0</v>
      </c>
      <c r="D106" s="38">
        <f>+'16 SEMANA '!D11</f>
        <v>0</v>
      </c>
      <c r="E106" s="45">
        <f t="shared" si="16"/>
        <v>52</v>
      </c>
      <c r="F106" s="20">
        <f>+'16 SEMANA '!E12</f>
        <v>0</v>
      </c>
      <c r="G106" s="45">
        <f t="shared" si="17"/>
        <v>52</v>
      </c>
      <c r="H106" s="147">
        <f>+'16 SEMANA '!T12</f>
        <v>0</v>
      </c>
      <c r="I106" s="149">
        <f t="shared" si="24"/>
        <v>0</v>
      </c>
      <c r="J106" s="42">
        <f t="shared" si="19"/>
        <v>52</v>
      </c>
    </row>
    <row r="107" spans="1:10" x14ac:dyDescent="0.25">
      <c r="A107" s="37">
        <f>'16 SEMANA '!A13</f>
        <v>0</v>
      </c>
      <c r="B107" s="38">
        <f>'16 SEMANA '!B13</f>
        <v>0</v>
      </c>
      <c r="C107" s="38">
        <f>'16 SEMANA '!C13</f>
        <v>0</v>
      </c>
      <c r="D107" s="38">
        <f>+'16 SEMANA '!D12</f>
        <v>0</v>
      </c>
      <c r="E107" s="45">
        <f t="shared" si="16"/>
        <v>52</v>
      </c>
      <c r="F107" s="20">
        <f>+'16 SEMANA '!E13</f>
        <v>0</v>
      </c>
      <c r="G107" s="45">
        <f t="shared" si="17"/>
        <v>52</v>
      </c>
      <c r="H107" s="147">
        <f>+'16 SEMANA '!T13</f>
        <v>0</v>
      </c>
      <c r="I107" s="149">
        <f t="shared" si="24"/>
        <v>0</v>
      </c>
      <c r="J107" s="42">
        <f t="shared" si="19"/>
        <v>52</v>
      </c>
    </row>
    <row r="108" spans="1:10" x14ac:dyDescent="0.25">
      <c r="A108" s="37">
        <f>'16 SEMANA '!A14</f>
        <v>0</v>
      </c>
      <c r="B108" s="38">
        <f>'16 SEMANA '!B14</f>
        <v>0</v>
      </c>
      <c r="C108" s="38">
        <f>'16 SEMANA '!C14</f>
        <v>0</v>
      </c>
      <c r="D108" s="38">
        <f>+'16 SEMANA '!D13</f>
        <v>0</v>
      </c>
      <c r="E108" s="45">
        <f t="shared" si="16"/>
        <v>52</v>
      </c>
      <c r="F108" s="20">
        <f>+'16 SEMANA '!E14</f>
        <v>0</v>
      </c>
      <c r="G108" s="45">
        <f t="shared" si="17"/>
        <v>52</v>
      </c>
      <c r="H108" s="147">
        <f>+'16 SEMANA '!T14</f>
        <v>0</v>
      </c>
      <c r="I108" s="149">
        <f t="shared" si="24"/>
        <v>0</v>
      </c>
      <c r="J108" s="42">
        <f t="shared" si="19"/>
        <v>52</v>
      </c>
    </row>
    <row r="109" spans="1:10" x14ac:dyDescent="0.25">
      <c r="A109" s="37">
        <f>'17 SEMANA '!A9</f>
        <v>0</v>
      </c>
      <c r="B109" s="38">
        <f>'17 SEMANA '!B9</f>
        <v>0</v>
      </c>
      <c r="C109" s="38">
        <f>'17 SEMANA '!C9</f>
        <v>0</v>
      </c>
      <c r="D109" s="38">
        <f>+'16 SEMANA '!D14</f>
        <v>0</v>
      </c>
      <c r="E109" s="45">
        <f t="shared" si="16"/>
        <v>52</v>
      </c>
      <c r="F109" s="20">
        <f>+'17 SEMANA '!E9</f>
        <v>0</v>
      </c>
      <c r="G109" s="45">
        <f t="shared" si="17"/>
        <v>52</v>
      </c>
      <c r="H109" s="147">
        <f>+'17 SEMANA '!T9</f>
        <v>0</v>
      </c>
      <c r="I109" s="149">
        <f t="shared" si="24"/>
        <v>0</v>
      </c>
      <c r="J109" s="42">
        <f t="shared" si="19"/>
        <v>52</v>
      </c>
    </row>
    <row r="110" spans="1:10" x14ac:dyDescent="0.25">
      <c r="A110" s="37">
        <f>'17 SEMANA '!A10</f>
        <v>0</v>
      </c>
      <c r="B110" s="38">
        <f>'17 SEMANA '!B10</f>
        <v>0</v>
      </c>
      <c r="C110" s="38">
        <f>'17 SEMANA '!C10</f>
        <v>0</v>
      </c>
      <c r="D110" s="38">
        <f>+'17 SEMANA '!D9</f>
        <v>0</v>
      </c>
      <c r="E110" s="45">
        <f t="shared" si="16"/>
        <v>52</v>
      </c>
      <c r="F110" s="20">
        <f>+'17 SEMANA '!E10</f>
        <v>0</v>
      </c>
      <c r="G110" s="45">
        <f t="shared" si="17"/>
        <v>52</v>
      </c>
      <c r="H110" s="147">
        <f>+'17 SEMANA '!T10</f>
        <v>0</v>
      </c>
      <c r="I110" s="149">
        <f t="shared" ref="I110:I115" si="25">+F110-H110</f>
        <v>0</v>
      </c>
      <c r="J110" s="42">
        <f t="shared" si="19"/>
        <v>52</v>
      </c>
    </row>
    <row r="111" spans="1:10" x14ac:dyDescent="0.25">
      <c r="A111" s="37">
        <f>'17 SEMANA '!A11</f>
        <v>0</v>
      </c>
      <c r="B111" s="38">
        <f>'17 SEMANA '!B11</f>
        <v>0</v>
      </c>
      <c r="C111" s="38">
        <f>'17 SEMANA '!C11</f>
        <v>0</v>
      </c>
      <c r="D111" s="38">
        <f>+'17 SEMANA '!D10</f>
        <v>0</v>
      </c>
      <c r="E111" s="45">
        <f t="shared" si="16"/>
        <v>52</v>
      </c>
      <c r="F111" s="20">
        <f>+'17 SEMANA '!E11</f>
        <v>0</v>
      </c>
      <c r="G111" s="45">
        <f t="shared" si="17"/>
        <v>52</v>
      </c>
      <c r="H111" s="147">
        <f>+'17 SEMANA '!T11</f>
        <v>0</v>
      </c>
      <c r="I111" s="149">
        <f t="shared" si="25"/>
        <v>0</v>
      </c>
      <c r="J111" s="42">
        <f t="shared" si="19"/>
        <v>52</v>
      </c>
    </row>
    <row r="112" spans="1:10" x14ac:dyDescent="0.25">
      <c r="A112" s="37">
        <f>'17 SEMANA '!A12</f>
        <v>0</v>
      </c>
      <c r="B112" s="38">
        <f>'17 SEMANA '!B12</f>
        <v>0</v>
      </c>
      <c r="C112" s="38">
        <f>'17 SEMANA '!C12</f>
        <v>0</v>
      </c>
      <c r="D112" s="38">
        <f>+'17 SEMANA '!D11</f>
        <v>0</v>
      </c>
      <c r="E112" s="45">
        <f t="shared" si="16"/>
        <v>52</v>
      </c>
      <c r="F112" s="20">
        <f>+'17 SEMANA '!E12</f>
        <v>0</v>
      </c>
      <c r="G112" s="45">
        <f t="shared" si="17"/>
        <v>52</v>
      </c>
      <c r="H112" s="147">
        <f>+'17 SEMANA '!T12</f>
        <v>0</v>
      </c>
      <c r="I112" s="149">
        <f t="shared" si="25"/>
        <v>0</v>
      </c>
      <c r="J112" s="42">
        <f t="shared" si="19"/>
        <v>52</v>
      </c>
    </row>
    <row r="113" spans="1:12" x14ac:dyDescent="0.25">
      <c r="A113" s="37">
        <f>'17 SEMANA '!A13</f>
        <v>0</v>
      </c>
      <c r="B113" s="38">
        <f>'17 SEMANA '!B13</f>
        <v>0</v>
      </c>
      <c r="C113" s="38">
        <f>'17 SEMANA '!C13</f>
        <v>0</v>
      </c>
      <c r="D113" s="38">
        <f>+'17 SEMANA '!D12</f>
        <v>0</v>
      </c>
      <c r="E113" s="45">
        <f t="shared" si="16"/>
        <v>52</v>
      </c>
      <c r="F113" s="20">
        <f>+'17 SEMANA '!E13</f>
        <v>0</v>
      </c>
      <c r="G113" s="45">
        <f t="shared" si="17"/>
        <v>52</v>
      </c>
      <c r="H113" s="147">
        <f>+'17 SEMANA '!T13</f>
        <v>0</v>
      </c>
      <c r="I113" s="149">
        <f t="shared" si="25"/>
        <v>0</v>
      </c>
      <c r="J113" s="42">
        <f t="shared" si="19"/>
        <v>52</v>
      </c>
    </row>
    <row r="114" spans="1:12" x14ac:dyDescent="0.25">
      <c r="A114" s="37">
        <f>'17 SEMANA '!A14</f>
        <v>0</v>
      </c>
      <c r="B114" s="38">
        <f>'17 SEMANA '!B14</f>
        <v>0</v>
      </c>
      <c r="C114" s="38">
        <f>'17 SEMANA '!C14</f>
        <v>0</v>
      </c>
      <c r="D114" s="38">
        <f>+'17 SEMANA '!D13</f>
        <v>0</v>
      </c>
      <c r="E114" s="45">
        <f t="shared" si="16"/>
        <v>52</v>
      </c>
      <c r="F114" s="20">
        <f>+'17 SEMANA '!E14</f>
        <v>0</v>
      </c>
      <c r="G114" s="45">
        <f t="shared" si="17"/>
        <v>52</v>
      </c>
      <c r="H114" s="147">
        <f>+'17 SEMANA '!T14</f>
        <v>0</v>
      </c>
      <c r="I114" s="149">
        <f t="shared" si="25"/>
        <v>0</v>
      </c>
      <c r="J114" s="42">
        <f t="shared" si="19"/>
        <v>52</v>
      </c>
    </row>
    <row r="115" spans="1:12" x14ac:dyDescent="0.25">
      <c r="A115" s="37">
        <f>'18 SEMANA '!A9</f>
        <v>0</v>
      </c>
      <c r="B115" s="38">
        <f>'18 SEMANA '!B9</f>
        <v>0</v>
      </c>
      <c r="C115" s="38">
        <f>'18 SEMANA '!C9</f>
        <v>0</v>
      </c>
      <c r="D115" s="38">
        <f>+'18 SEMANA '!D9</f>
        <v>0</v>
      </c>
      <c r="E115" s="45">
        <f t="shared" si="16"/>
        <v>52</v>
      </c>
      <c r="F115" s="20">
        <f>+'18 SEMANA '!E9</f>
        <v>0</v>
      </c>
      <c r="G115" s="45">
        <f t="shared" si="17"/>
        <v>52</v>
      </c>
      <c r="H115" s="147">
        <f>+'18 SEMANA '!S9</f>
        <v>0</v>
      </c>
      <c r="I115" s="149">
        <f t="shared" si="25"/>
        <v>0</v>
      </c>
      <c r="J115" s="42">
        <f t="shared" si="19"/>
        <v>52</v>
      </c>
    </row>
    <row r="116" spans="1:12" x14ac:dyDescent="0.25">
      <c r="A116" s="37">
        <f>'18 SEMANA '!A10</f>
        <v>0</v>
      </c>
      <c r="B116" s="38">
        <f>'18 SEMANA '!B10</f>
        <v>0</v>
      </c>
      <c r="C116" s="38">
        <f>'18 SEMANA '!C10</f>
        <v>0</v>
      </c>
      <c r="D116" s="38">
        <f>+'18 SEMANA '!D10</f>
        <v>0</v>
      </c>
      <c r="E116" s="45">
        <f t="shared" si="16"/>
        <v>52</v>
      </c>
      <c r="F116" s="20">
        <f>+'18 SEMANA '!E10</f>
        <v>0</v>
      </c>
      <c r="G116" s="45">
        <f t="shared" si="17"/>
        <v>52</v>
      </c>
      <c r="H116" s="147">
        <f>+'18 SEMANA '!S10</f>
        <v>0</v>
      </c>
      <c r="I116" s="149">
        <f t="shared" ref="I116:I123" si="26">+F116-H116</f>
        <v>0</v>
      </c>
      <c r="J116" s="42">
        <f t="shared" si="19"/>
        <v>52</v>
      </c>
    </row>
    <row r="117" spans="1:12" x14ac:dyDescent="0.25">
      <c r="A117" s="37">
        <f>'18 SEMANA '!A11</f>
        <v>0</v>
      </c>
      <c r="B117" s="38">
        <f>'18 SEMANA '!B11</f>
        <v>0</v>
      </c>
      <c r="C117" s="38">
        <f>'18 SEMANA '!C11</f>
        <v>0</v>
      </c>
      <c r="D117" s="38">
        <f>+'18 SEMANA '!D11</f>
        <v>0</v>
      </c>
      <c r="E117" s="45">
        <f t="shared" si="16"/>
        <v>52</v>
      </c>
      <c r="F117" s="20">
        <f>+'18 SEMANA '!E11</f>
        <v>0</v>
      </c>
      <c r="G117" s="45">
        <f t="shared" si="17"/>
        <v>52</v>
      </c>
      <c r="H117" s="147">
        <f>+'18 SEMANA '!S11</f>
        <v>0</v>
      </c>
      <c r="I117" s="149">
        <f t="shared" si="26"/>
        <v>0</v>
      </c>
      <c r="J117" s="42">
        <f t="shared" si="19"/>
        <v>52</v>
      </c>
    </row>
    <row r="118" spans="1:12" x14ac:dyDescent="0.25">
      <c r="A118" s="37">
        <f>'18 SEMANA '!A12</f>
        <v>0</v>
      </c>
      <c r="B118" s="38">
        <f>'18 SEMANA '!B12</f>
        <v>0</v>
      </c>
      <c r="C118" s="38">
        <f>'18 SEMANA '!C12</f>
        <v>0</v>
      </c>
      <c r="D118" s="38">
        <f>+'18 SEMANA '!D12</f>
        <v>0</v>
      </c>
      <c r="E118" s="45">
        <f t="shared" si="16"/>
        <v>52</v>
      </c>
      <c r="F118" s="20">
        <f>+'18 SEMANA '!E12</f>
        <v>0</v>
      </c>
      <c r="G118" s="45">
        <f t="shared" si="17"/>
        <v>52</v>
      </c>
      <c r="H118" s="147">
        <f>+'18 SEMANA '!S12</f>
        <v>0</v>
      </c>
      <c r="I118" s="149">
        <f t="shared" si="26"/>
        <v>0</v>
      </c>
      <c r="J118" s="42">
        <f t="shared" si="19"/>
        <v>52</v>
      </c>
      <c r="L118" s="4"/>
    </row>
    <row r="119" spans="1:12" x14ac:dyDescent="0.25">
      <c r="A119" s="37">
        <f>'18 SEMANA '!A13</f>
        <v>0</v>
      </c>
      <c r="B119" s="38">
        <f>'18 SEMANA '!B13</f>
        <v>0</v>
      </c>
      <c r="C119" s="38">
        <f>'18 SEMANA '!C13</f>
        <v>0</v>
      </c>
      <c r="D119" s="38">
        <f>+'18 SEMANA '!D13</f>
        <v>0</v>
      </c>
      <c r="E119" s="45">
        <f>_xlfn.ISOWEEKNUM(A119)</f>
        <v>52</v>
      </c>
      <c r="F119" s="20">
        <f>+'18 SEMANA '!E13</f>
        <v>0</v>
      </c>
      <c r="G119" s="45">
        <f t="shared" si="17"/>
        <v>52</v>
      </c>
      <c r="H119" s="147">
        <f>+'18 SEMANA '!S13</f>
        <v>0</v>
      </c>
      <c r="I119" s="149">
        <f t="shared" si="26"/>
        <v>0</v>
      </c>
      <c r="J119" s="42">
        <f t="shared" si="19"/>
        <v>52</v>
      </c>
    </row>
    <row r="120" spans="1:12" x14ac:dyDescent="0.25">
      <c r="A120" s="37">
        <f>'18 SEMANA '!A14</f>
        <v>0</v>
      </c>
      <c r="B120" s="38"/>
      <c r="C120" s="38">
        <f>'18 SEMANA '!C14</f>
        <v>0</v>
      </c>
      <c r="D120" s="38">
        <f>+'18 SEMANA '!D14</f>
        <v>0</v>
      </c>
      <c r="E120" s="45">
        <f>_xlfn.ISOWEEKNUM(A120)</f>
        <v>52</v>
      </c>
      <c r="F120" s="20">
        <f>+'18 SEMANA '!E14</f>
        <v>0</v>
      </c>
      <c r="G120" s="45">
        <f t="shared" si="17"/>
        <v>52</v>
      </c>
      <c r="H120" s="147">
        <f>+'18 SEMANA '!S14</f>
        <v>0</v>
      </c>
      <c r="I120" s="149">
        <f t="shared" si="26"/>
        <v>0</v>
      </c>
      <c r="J120" s="42">
        <f t="shared" si="19"/>
        <v>52</v>
      </c>
    </row>
    <row r="121" spans="1:12" x14ac:dyDescent="0.25">
      <c r="A121" s="37">
        <f>'18 SEMANA '!A15</f>
        <v>0</v>
      </c>
      <c r="B121" s="38"/>
      <c r="C121" s="38">
        <f>'18 SEMANA '!C15</f>
        <v>0</v>
      </c>
      <c r="D121" s="38">
        <f>+'18 SEMANA '!D15</f>
        <v>0</v>
      </c>
      <c r="E121" s="45">
        <f>_xlfn.ISOWEEKNUM(A121)</f>
        <v>52</v>
      </c>
      <c r="F121" s="20">
        <f>+'18 SEMANA '!E15</f>
        <v>0</v>
      </c>
      <c r="G121" s="45">
        <f t="shared" si="17"/>
        <v>52</v>
      </c>
      <c r="H121" s="147">
        <f>+'18 SEMANA '!S15</f>
        <v>0</v>
      </c>
      <c r="I121" s="149">
        <f t="shared" si="26"/>
        <v>0</v>
      </c>
      <c r="J121" s="42">
        <f t="shared" si="19"/>
        <v>52</v>
      </c>
    </row>
    <row r="122" spans="1:12" x14ac:dyDescent="0.25">
      <c r="A122" s="37">
        <f>'18 SEMANA '!A14</f>
        <v>0</v>
      </c>
      <c r="B122" s="38">
        <f>'18 SEMANA '!B14</f>
        <v>0</v>
      </c>
      <c r="C122" s="38">
        <f>'18 SEMANA '!C16</f>
        <v>0</v>
      </c>
      <c r="D122" s="38">
        <f>+'18 SEMANA '!D16</f>
        <v>0</v>
      </c>
      <c r="E122" s="45">
        <f>_xlfn.ISOWEEKNUM(A122)</f>
        <v>52</v>
      </c>
      <c r="F122" s="20">
        <f>+'18 SEMANA '!E16</f>
        <v>0</v>
      </c>
      <c r="G122" s="45">
        <f t="shared" si="17"/>
        <v>52</v>
      </c>
      <c r="H122" s="147">
        <f>+'18 SEMANA '!S16</f>
        <v>0</v>
      </c>
      <c r="I122" s="149">
        <f t="shared" si="26"/>
        <v>0</v>
      </c>
      <c r="J122" s="42">
        <f t="shared" si="19"/>
        <v>52</v>
      </c>
    </row>
    <row r="123" spans="1:12" x14ac:dyDescent="0.25">
      <c r="A123" s="37">
        <f>'19 SEMANA '!A9</f>
        <v>0</v>
      </c>
      <c r="B123" s="38">
        <f>'19 SEMANA '!B9</f>
        <v>0</v>
      </c>
      <c r="C123" s="38">
        <f>'19 SEMANA '!C9</f>
        <v>0</v>
      </c>
      <c r="D123" s="38">
        <f>+'19 SEMANA '!D9</f>
        <v>0</v>
      </c>
      <c r="E123" s="45">
        <f t="shared" si="16"/>
        <v>52</v>
      </c>
      <c r="F123" s="20">
        <f>+'19 SEMANA '!E9</f>
        <v>0</v>
      </c>
      <c r="G123" s="45">
        <f t="shared" si="17"/>
        <v>52</v>
      </c>
      <c r="H123" s="147">
        <f>+'19 SEMANA '!P9</f>
        <v>0</v>
      </c>
      <c r="I123" s="149">
        <f t="shared" si="26"/>
        <v>0</v>
      </c>
      <c r="J123" s="42">
        <f t="shared" si="19"/>
        <v>52</v>
      </c>
    </row>
    <row r="124" spans="1:12" x14ac:dyDescent="0.25">
      <c r="A124" s="37">
        <f>'19 SEMANA '!A10</f>
        <v>0</v>
      </c>
      <c r="B124" s="38">
        <f>'19 SEMANA '!B10</f>
        <v>0</v>
      </c>
      <c r="C124" s="38">
        <f>'19 SEMANA '!C10</f>
        <v>0</v>
      </c>
      <c r="D124" s="38">
        <f>+'19 SEMANA '!D10</f>
        <v>0</v>
      </c>
      <c r="E124" s="45">
        <f t="shared" si="16"/>
        <v>52</v>
      </c>
      <c r="F124" s="20">
        <f>+'19 SEMANA '!E10</f>
        <v>0</v>
      </c>
      <c r="G124" s="45">
        <f t="shared" si="17"/>
        <v>52</v>
      </c>
      <c r="H124" s="147">
        <f>+'19 SEMANA '!P10</f>
        <v>0</v>
      </c>
      <c r="I124" s="149">
        <f t="shared" ref="I124:I129" si="27">+F124-H124</f>
        <v>0</v>
      </c>
      <c r="J124" s="42">
        <f t="shared" si="19"/>
        <v>52</v>
      </c>
    </row>
    <row r="125" spans="1:12" x14ac:dyDescent="0.25">
      <c r="A125" s="37">
        <f>'19 SEMANA '!A11</f>
        <v>0</v>
      </c>
      <c r="B125" s="38">
        <f>'19 SEMANA '!B11</f>
        <v>0</v>
      </c>
      <c r="C125" s="38">
        <f>'19 SEMANA '!C11</f>
        <v>0</v>
      </c>
      <c r="D125" s="38">
        <f>+'19 SEMANA '!D11</f>
        <v>0</v>
      </c>
      <c r="E125" s="45">
        <f t="shared" si="16"/>
        <v>52</v>
      </c>
      <c r="F125" s="20">
        <f>+'19 SEMANA '!E11</f>
        <v>0</v>
      </c>
      <c r="G125" s="45">
        <f t="shared" si="17"/>
        <v>52</v>
      </c>
      <c r="H125" s="147">
        <f>+'19 SEMANA '!P11</f>
        <v>0</v>
      </c>
      <c r="I125" s="149">
        <f t="shared" si="27"/>
        <v>0</v>
      </c>
      <c r="J125" s="42">
        <f t="shared" si="19"/>
        <v>52</v>
      </c>
    </row>
    <row r="126" spans="1:12" x14ac:dyDescent="0.25">
      <c r="A126" s="37">
        <f>'19 SEMANA '!A12</f>
        <v>0</v>
      </c>
      <c r="B126" s="38">
        <f>'19 SEMANA '!B12</f>
        <v>0</v>
      </c>
      <c r="C126" s="38">
        <f>'19 SEMANA '!C12</f>
        <v>0</v>
      </c>
      <c r="D126" s="38">
        <f>+'19 SEMANA '!D12</f>
        <v>0</v>
      </c>
      <c r="E126" s="45">
        <f t="shared" si="16"/>
        <v>52</v>
      </c>
      <c r="F126" s="20">
        <f>+'19 SEMANA '!E12</f>
        <v>0</v>
      </c>
      <c r="G126" s="45">
        <f t="shared" si="17"/>
        <v>52</v>
      </c>
      <c r="H126" s="147">
        <f>+'19 SEMANA '!P12</f>
        <v>0</v>
      </c>
      <c r="I126" s="149">
        <f t="shared" si="27"/>
        <v>0</v>
      </c>
      <c r="J126" s="42">
        <f t="shared" si="19"/>
        <v>52</v>
      </c>
    </row>
    <row r="127" spans="1:12" x14ac:dyDescent="0.25">
      <c r="A127" s="37">
        <f>'19 SEMANA '!A13</f>
        <v>0</v>
      </c>
      <c r="B127" s="38">
        <f>'19 SEMANA '!B13</f>
        <v>0</v>
      </c>
      <c r="C127" s="38">
        <f>'19 SEMANA '!C13</f>
        <v>0</v>
      </c>
      <c r="D127" s="38">
        <f>+'19 SEMANA '!D13</f>
        <v>0</v>
      </c>
      <c r="E127" s="45">
        <f t="shared" si="16"/>
        <v>52</v>
      </c>
      <c r="F127" s="20">
        <f>+'19 SEMANA '!E13</f>
        <v>0</v>
      </c>
      <c r="G127" s="45">
        <f t="shared" si="17"/>
        <v>52</v>
      </c>
      <c r="H127" s="147">
        <f>+'19 SEMANA '!P13</f>
        <v>0</v>
      </c>
      <c r="I127" s="149">
        <f t="shared" si="27"/>
        <v>0</v>
      </c>
      <c r="J127" s="42">
        <f t="shared" si="19"/>
        <v>52</v>
      </c>
    </row>
    <row r="128" spans="1:12" x14ac:dyDescent="0.25">
      <c r="A128" s="37">
        <f>'19 SEMANA '!A14</f>
        <v>0</v>
      </c>
      <c r="B128" s="38">
        <f>'19 SEMANA '!B14</f>
        <v>0</v>
      </c>
      <c r="C128" s="38">
        <f>'19 SEMANA '!C14</f>
        <v>0</v>
      </c>
      <c r="D128" s="38">
        <f>+'19 SEMANA '!D14</f>
        <v>0</v>
      </c>
      <c r="E128" s="45">
        <f t="shared" si="16"/>
        <v>52</v>
      </c>
      <c r="F128" s="20">
        <f>+'19 SEMANA '!E14</f>
        <v>0</v>
      </c>
      <c r="G128" s="45">
        <f t="shared" si="17"/>
        <v>52</v>
      </c>
      <c r="H128" s="147">
        <f>+'19 SEMANA '!P14</f>
        <v>0</v>
      </c>
      <c r="I128" s="149">
        <f t="shared" si="27"/>
        <v>0</v>
      </c>
      <c r="J128" s="42">
        <f t="shared" si="19"/>
        <v>52</v>
      </c>
    </row>
    <row r="129" spans="1:10" x14ac:dyDescent="0.25">
      <c r="A129" s="37">
        <f>'20 SEMANA'!A9</f>
        <v>0</v>
      </c>
      <c r="B129" s="38">
        <f>'20 SEMANA'!B9</f>
        <v>0</v>
      </c>
      <c r="C129" s="38">
        <f>'20 SEMANA'!C9</f>
        <v>0</v>
      </c>
      <c r="D129" s="38">
        <f>+'20 SEMANA'!D9</f>
        <v>0</v>
      </c>
      <c r="E129" s="45">
        <f t="shared" si="16"/>
        <v>52</v>
      </c>
      <c r="F129" s="20">
        <f>+'20 SEMANA'!E9</f>
        <v>0</v>
      </c>
      <c r="G129" s="45">
        <f t="shared" si="17"/>
        <v>52</v>
      </c>
      <c r="H129" s="147">
        <f>+'20 SEMANA'!AB9</f>
        <v>0</v>
      </c>
      <c r="I129" s="149">
        <f t="shared" si="27"/>
        <v>0</v>
      </c>
      <c r="J129" s="42">
        <f t="shared" si="19"/>
        <v>52</v>
      </c>
    </row>
    <row r="130" spans="1:10" x14ac:dyDescent="0.25">
      <c r="A130" s="37">
        <f>'20 SEMANA'!A10</f>
        <v>0</v>
      </c>
      <c r="B130" s="38">
        <f>'20 SEMANA'!B10</f>
        <v>0</v>
      </c>
      <c r="C130" s="38">
        <f>'20 SEMANA'!C10</f>
        <v>0</v>
      </c>
      <c r="D130" s="38">
        <f>+'20 SEMANA'!D10</f>
        <v>0</v>
      </c>
      <c r="E130" s="45">
        <f t="shared" si="16"/>
        <v>52</v>
      </c>
      <c r="F130" s="20">
        <f>+'20 SEMANA'!E10</f>
        <v>0</v>
      </c>
      <c r="G130" s="45">
        <f t="shared" si="17"/>
        <v>52</v>
      </c>
      <c r="H130" s="147">
        <f>+'20 SEMANA'!AB10</f>
        <v>0</v>
      </c>
      <c r="I130" s="149">
        <f t="shared" ref="I130:I135" si="28">+F130-H130</f>
        <v>0</v>
      </c>
      <c r="J130" s="42">
        <f t="shared" si="19"/>
        <v>52</v>
      </c>
    </row>
    <row r="131" spans="1:10" x14ac:dyDescent="0.25">
      <c r="A131" s="37">
        <f>'20 SEMANA'!A11</f>
        <v>0</v>
      </c>
      <c r="B131" s="38">
        <f>'20 SEMANA'!B11</f>
        <v>0</v>
      </c>
      <c r="C131" s="38">
        <f>'20 SEMANA'!C11</f>
        <v>0</v>
      </c>
      <c r="D131" s="38">
        <f>+'20 SEMANA'!D11</f>
        <v>0</v>
      </c>
      <c r="E131" s="45">
        <f t="shared" si="16"/>
        <v>52</v>
      </c>
      <c r="F131" s="20">
        <f>+'20 SEMANA'!E11</f>
        <v>0</v>
      </c>
      <c r="G131" s="45">
        <f t="shared" si="17"/>
        <v>52</v>
      </c>
      <c r="H131" s="147">
        <f>+'20 SEMANA'!AB11</f>
        <v>0</v>
      </c>
      <c r="I131" s="149">
        <f t="shared" si="28"/>
        <v>0</v>
      </c>
      <c r="J131" s="42">
        <f t="shared" si="19"/>
        <v>52</v>
      </c>
    </row>
    <row r="132" spans="1:10" x14ac:dyDescent="0.25">
      <c r="A132" s="37">
        <f>'20 SEMANA'!A12</f>
        <v>0</v>
      </c>
      <c r="B132" s="38">
        <f>'20 SEMANA'!B12</f>
        <v>0</v>
      </c>
      <c r="C132" s="38">
        <f>'20 SEMANA'!C12</f>
        <v>0</v>
      </c>
      <c r="D132" s="38">
        <f>+'20 SEMANA'!D12</f>
        <v>0</v>
      </c>
      <c r="E132" s="45">
        <f t="shared" si="16"/>
        <v>52</v>
      </c>
      <c r="F132" s="20">
        <f>+'20 SEMANA'!E12</f>
        <v>0</v>
      </c>
      <c r="G132" s="45">
        <f t="shared" si="17"/>
        <v>52</v>
      </c>
      <c r="H132" s="147">
        <f>+'20 SEMANA'!AB12</f>
        <v>0</v>
      </c>
      <c r="I132" s="149">
        <f t="shared" si="28"/>
        <v>0</v>
      </c>
      <c r="J132" s="42">
        <f t="shared" si="19"/>
        <v>52</v>
      </c>
    </row>
    <row r="133" spans="1:10" x14ac:dyDescent="0.25">
      <c r="A133" s="37">
        <f>'20 SEMANA'!A13</f>
        <v>0</v>
      </c>
      <c r="B133" s="38">
        <f>'20 SEMANA'!B13</f>
        <v>0</v>
      </c>
      <c r="C133" s="38">
        <f>'20 SEMANA'!C13</f>
        <v>0</v>
      </c>
      <c r="D133" s="38">
        <f>+'20 SEMANA'!D13</f>
        <v>0</v>
      </c>
      <c r="E133" s="45">
        <f t="shared" si="16"/>
        <v>52</v>
      </c>
      <c r="F133" s="20">
        <f>+'20 SEMANA'!E13</f>
        <v>0</v>
      </c>
      <c r="G133" s="45">
        <f t="shared" si="17"/>
        <v>52</v>
      </c>
      <c r="H133" s="147">
        <f>+'20 SEMANA'!AB13</f>
        <v>0</v>
      </c>
      <c r="I133" s="149">
        <f t="shared" si="28"/>
        <v>0</v>
      </c>
      <c r="J133" s="42">
        <f t="shared" si="19"/>
        <v>52</v>
      </c>
    </row>
    <row r="134" spans="1:10" x14ac:dyDescent="0.25">
      <c r="A134" s="37">
        <f>'20 SEMANA'!A14</f>
        <v>0</v>
      </c>
      <c r="B134" s="38">
        <f>'20 SEMANA'!B14</f>
        <v>0</v>
      </c>
      <c r="C134" s="38">
        <f>'20 SEMANA'!C14</f>
        <v>0</v>
      </c>
      <c r="D134" s="38">
        <f>+'20 SEMANA'!D14</f>
        <v>0</v>
      </c>
      <c r="E134" s="45">
        <f t="shared" si="16"/>
        <v>52</v>
      </c>
      <c r="F134" s="20">
        <f>+'20 SEMANA'!E14</f>
        <v>0</v>
      </c>
      <c r="G134" s="45">
        <f t="shared" si="17"/>
        <v>52</v>
      </c>
      <c r="H134" s="147">
        <f>+'20 SEMANA'!AB14</f>
        <v>0</v>
      </c>
      <c r="I134" s="149">
        <f t="shared" si="28"/>
        <v>0</v>
      </c>
      <c r="J134" s="42">
        <f t="shared" si="19"/>
        <v>52</v>
      </c>
    </row>
    <row r="135" spans="1:10" x14ac:dyDescent="0.25">
      <c r="A135" s="37">
        <f>'21 SEMANA'!A9</f>
        <v>0</v>
      </c>
      <c r="B135" s="38">
        <f>'21 SEMANA'!B9</f>
        <v>0</v>
      </c>
      <c r="C135" s="38">
        <f>'21 SEMANA'!C9</f>
        <v>0</v>
      </c>
      <c r="D135" s="38">
        <f>+'21 SEMANA'!D9</f>
        <v>0</v>
      </c>
      <c r="E135" s="45">
        <f t="shared" si="16"/>
        <v>52</v>
      </c>
      <c r="F135" s="20">
        <f>+'21 SEMANA'!E9</f>
        <v>0</v>
      </c>
      <c r="G135" s="45">
        <f t="shared" si="17"/>
        <v>52</v>
      </c>
      <c r="H135" s="147">
        <f>+'21 SEMANA'!T9</f>
        <v>0</v>
      </c>
      <c r="I135" s="149">
        <f t="shared" si="28"/>
        <v>0</v>
      </c>
      <c r="J135" s="42">
        <f t="shared" si="19"/>
        <v>52</v>
      </c>
    </row>
    <row r="136" spans="1:10" x14ac:dyDescent="0.25">
      <c r="A136" s="37">
        <f>'21 SEMANA'!A10</f>
        <v>0</v>
      </c>
      <c r="B136" s="38">
        <f>'21 SEMANA'!B10</f>
        <v>0</v>
      </c>
      <c r="C136" s="38">
        <f>'21 SEMANA'!C10</f>
        <v>0</v>
      </c>
      <c r="D136" s="38">
        <f>+'21 SEMANA'!D10</f>
        <v>0</v>
      </c>
      <c r="E136" s="45">
        <f t="shared" si="16"/>
        <v>52</v>
      </c>
      <c r="F136" s="20">
        <f>+'21 SEMANA'!E10</f>
        <v>0</v>
      </c>
      <c r="G136" s="45">
        <f t="shared" si="17"/>
        <v>52</v>
      </c>
      <c r="H136" s="147">
        <f>+'21 SEMANA'!T10</f>
        <v>0</v>
      </c>
      <c r="I136" s="149">
        <f t="shared" ref="I136:I142" si="29">+F136-H136</f>
        <v>0</v>
      </c>
      <c r="J136" s="42">
        <f t="shared" si="19"/>
        <v>52</v>
      </c>
    </row>
    <row r="137" spans="1:10" x14ac:dyDescent="0.25">
      <c r="A137" s="37">
        <f>'21 SEMANA'!A11</f>
        <v>0</v>
      </c>
      <c r="B137" s="38">
        <f>'21 SEMANA'!B11</f>
        <v>0</v>
      </c>
      <c r="C137" s="38">
        <f>'21 SEMANA'!C11</f>
        <v>0</v>
      </c>
      <c r="D137" s="38">
        <f>+'21 SEMANA'!D11</f>
        <v>0</v>
      </c>
      <c r="E137" s="45">
        <f t="shared" si="16"/>
        <v>52</v>
      </c>
      <c r="F137" s="20">
        <f>+'21 SEMANA'!E11</f>
        <v>0</v>
      </c>
      <c r="G137" s="45">
        <f t="shared" si="17"/>
        <v>52</v>
      </c>
      <c r="H137" s="147">
        <f>+'21 SEMANA'!T11</f>
        <v>0</v>
      </c>
      <c r="I137" s="149">
        <f t="shared" si="29"/>
        <v>0</v>
      </c>
      <c r="J137" s="42">
        <f t="shared" si="19"/>
        <v>52</v>
      </c>
    </row>
    <row r="138" spans="1:10" x14ac:dyDescent="0.25">
      <c r="A138" s="37">
        <f>'21 SEMANA'!A12</f>
        <v>0</v>
      </c>
      <c r="B138" s="38">
        <f>'21 SEMANA'!B12</f>
        <v>0</v>
      </c>
      <c r="C138" s="38">
        <f>'21 SEMANA'!C12</f>
        <v>0</v>
      </c>
      <c r="D138" s="38">
        <f>+'21 SEMANA'!D12</f>
        <v>0</v>
      </c>
      <c r="E138" s="45">
        <f t="shared" si="16"/>
        <v>52</v>
      </c>
      <c r="F138" s="20">
        <f>+'21 SEMANA'!E12</f>
        <v>0</v>
      </c>
      <c r="G138" s="45">
        <f t="shared" si="17"/>
        <v>52</v>
      </c>
      <c r="H138" s="147">
        <f>+'21 SEMANA'!T12</f>
        <v>0</v>
      </c>
      <c r="I138" s="149">
        <f t="shared" si="29"/>
        <v>0</v>
      </c>
      <c r="J138" s="42">
        <f t="shared" si="19"/>
        <v>52</v>
      </c>
    </row>
    <row r="139" spans="1:10" x14ac:dyDescent="0.25">
      <c r="A139" s="37">
        <f>'21 SEMANA'!A13</f>
        <v>0</v>
      </c>
      <c r="B139" s="38">
        <f>'21 SEMANA'!B13</f>
        <v>0</v>
      </c>
      <c r="C139" s="38">
        <f>'21 SEMANA'!C13</f>
        <v>0</v>
      </c>
      <c r="D139" s="38">
        <f>+'21 SEMANA'!D13</f>
        <v>0</v>
      </c>
      <c r="E139" s="45">
        <f t="shared" si="16"/>
        <v>52</v>
      </c>
      <c r="F139" s="20">
        <f>+'21 SEMANA'!E13</f>
        <v>0</v>
      </c>
      <c r="G139" s="45">
        <f t="shared" si="17"/>
        <v>52</v>
      </c>
      <c r="H139" s="147">
        <f>+'21 SEMANA'!T13</f>
        <v>0</v>
      </c>
      <c r="I139" s="149">
        <f t="shared" si="29"/>
        <v>0</v>
      </c>
      <c r="J139" s="42">
        <f t="shared" si="19"/>
        <v>52</v>
      </c>
    </row>
    <row r="140" spans="1:10" x14ac:dyDescent="0.25">
      <c r="A140" s="37">
        <f>'21 SEMANA'!A14</f>
        <v>0</v>
      </c>
      <c r="B140" s="38">
        <f>'21 SEMANA'!B14</f>
        <v>0</v>
      </c>
      <c r="C140" s="38">
        <f>'21 SEMANA'!C14</f>
        <v>0</v>
      </c>
      <c r="D140" s="38">
        <f>+'21 SEMANA'!D14</f>
        <v>0</v>
      </c>
      <c r="E140" s="45">
        <f t="shared" ref="E140:E203" si="30">_xlfn.ISOWEEKNUM(A140)</f>
        <v>52</v>
      </c>
      <c r="F140" s="20">
        <f>+'21 SEMANA'!E14</f>
        <v>0</v>
      </c>
      <c r="G140" s="45">
        <f t="shared" ref="G140:G203" si="31">_xlfn.ISOWEEKNUM(A140)</f>
        <v>52</v>
      </c>
      <c r="H140" s="147">
        <f>+'21 SEMANA'!T14</f>
        <v>0</v>
      </c>
      <c r="I140" s="149">
        <f t="shared" si="29"/>
        <v>0</v>
      </c>
      <c r="J140" s="42">
        <f t="shared" ref="J140:J203" si="32">_xlfn.ISOWEEKNUM(A140)</f>
        <v>52</v>
      </c>
    </row>
    <row r="141" spans="1:10" x14ac:dyDescent="0.25">
      <c r="A141" s="37">
        <f>'21 SEMANA'!A15</f>
        <v>0</v>
      </c>
      <c r="B141" s="38">
        <f>'21 SEMANA'!B15</f>
        <v>0</v>
      </c>
      <c r="C141" s="38">
        <f>'21 SEMANA'!C15</f>
        <v>0</v>
      </c>
      <c r="D141" s="38">
        <f>+'21 SEMANA'!D15</f>
        <v>0</v>
      </c>
      <c r="E141" s="45">
        <f t="shared" si="30"/>
        <v>52</v>
      </c>
      <c r="F141" s="20">
        <f>+'21 SEMANA'!E15</f>
        <v>0</v>
      </c>
      <c r="G141" s="45">
        <f t="shared" si="31"/>
        <v>52</v>
      </c>
      <c r="H141" s="147">
        <f>+'21 SEMANA'!T15</f>
        <v>0</v>
      </c>
      <c r="I141" s="149">
        <f t="shared" si="29"/>
        <v>0</v>
      </c>
      <c r="J141" s="42">
        <f t="shared" si="32"/>
        <v>52</v>
      </c>
    </row>
    <row r="142" spans="1:10" x14ac:dyDescent="0.25">
      <c r="A142" s="37">
        <f>'22 SEMANA'!A9</f>
        <v>0</v>
      </c>
      <c r="B142" s="38">
        <f>'22 SEMANA'!B9</f>
        <v>0</v>
      </c>
      <c r="C142" s="38">
        <f>'22 SEMANA'!C9</f>
        <v>0</v>
      </c>
      <c r="D142" s="38">
        <f>+'22 SEMANA'!D9</f>
        <v>0</v>
      </c>
      <c r="E142" s="45">
        <f t="shared" si="30"/>
        <v>52</v>
      </c>
      <c r="F142" s="20">
        <f>+'22 SEMANA'!E9</f>
        <v>0</v>
      </c>
      <c r="G142" s="45">
        <f t="shared" si="31"/>
        <v>52</v>
      </c>
      <c r="H142" s="147">
        <f>+'22 SEMANA'!T9</f>
        <v>0</v>
      </c>
      <c r="I142" s="149">
        <f t="shared" si="29"/>
        <v>0</v>
      </c>
      <c r="J142" s="42">
        <f t="shared" si="32"/>
        <v>52</v>
      </c>
    </row>
    <row r="143" spans="1:10" x14ac:dyDescent="0.25">
      <c r="A143" s="37">
        <f>'22 SEMANA'!A10</f>
        <v>0</v>
      </c>
      <c r="B143" s="38">
        <f>'22 SEMANA'!B10</f>
        <v>0</v>
      </c>
      <c r="C143" s="38">
        <f>'22 SEMANA'!C10</f>
        <v>0</v>
      </c>
      <c r="D143" s="38">
        <f>+'22 SEMANA'!D10</f>
        <v>0</v>
      </c>
      <c r="E143" s="45">
        <f t="shared" si="30"/>
        <v>52</v>
      </c>
      <c r="F143" s="20">
        <f>+'22 SEMANA'!E10</f>
        <v>0</v>
      </c>
      <c r="G143" s="45">
        <f t="shared" si="31"/>
        <v>52</v>
      </c>
      <c r="H143" s="147">
        <f>+'22 SEMANA'!T10</f>
        <v>0</v>
      </c>
      <c r="I143" s="149">
        <f t="shared" ref="I143:I148" si="33">+F143-H143</f>
        <v>0</v>
      </c>
      <c r="J143" s="42">
        <f t="shared" si="32"/>
        <v>52</v>
      </c>
    </row>
    <row r="144" spans="1:10" x14ac:dyDescent="0.25">
      <c r="A144" s="37">
        <f>'22 SEMANA'!A11</f>
        <v>0</v>
      </c>
      <c r="B144" s="38">
        <f>'22 SEMANA'!B11</f>
        <v>0</v>
      </c>
      <c r="C144" s="38">
        <f>'22 SEMANA'!C11</f>
        <v>0</v>
      </c>
      <c r="D144" s="38">
        <f>+'22 SEMANA'!D11</f>
        <v>0</v>
      </c>
      <c r="E144" s="45">
        <f t="shared" si="30"/>
        <v>52</v>
      </c>
      <c r="F144" s="20">
        <f>+'22 SEMANA'!E11</f>
        <v>0</v>
      </c>
      <c r="G144" s="45">
        <f t="shared" si="31"/>
        <v>52</v>
      </c>
      <c r="H144" s="147">
        <f>+'22 SEMANA'!T11</f>
        <v>0</v>
      </c>
      <c r="I144" s="149">
        <f t="shared" si="33"/>
        <v>0</v>
      </c>
      <c r="J144" s="42">
        <f t="shared" si="32"/>
        <v>52</v>
      </c>
    </row>
    <row r="145" spans="1:10" x14ac:dyDescent="0.25">
      <c r="A145" s="37">
        <f>'22 SEMANA'!A12</f>
        <v>0</v>
      </c>
      <c r="B145" s="38">
        <f>'22 SEMANA'!B12</f>
        <v>0</v>
      </c>
      <c r="C145" s="38">
        <f>'22 SEMANA'!C12</f>
        <v>0</v>
      </c>
      <c r="D145" s="38">
        <f>+'22 SEMANA'!D12</f>
        <v>0</v>
      </c>
      <c r="E145" s="45">
        <f t="shared" si="30"/>
        <v>52</v>
      </c>
      <c r="F145" s="20">
        <f>+'22 SEMANA'!E12</f>
        <v>0</v>
      </c>
      <c r="G145" s="45">
        <f t="shared" si="31"/>
        <v>52</v>
      </c>
      <c r="H145" s="147">
        <f>+'22 SEMANA'!T12</f>
        <v>0</v>
      </c>
      <c r="I145" s="149">
        <f t="shared" si="33"/>
        <v>0</v>
      </c>
      <c r="J145" s="42">
        <f t="shared" si="32"/>
        <v>52</v>
      </c>
    </row>
    <row r="146" spans="1:10" x14ac:dyDescent="0.25">
      <c r="A146" s="37">
        <f>'22 SEMANA'!A13</f>
        <v>0</v>
      </c>
      <c r="B146" s="38">
        <f>'22 SEMANA'!B13</f>
        <v>0</v>
      </c>
      <c r="C146" s="38">
        <f>'22 SEMANA'!C13</f>
        <v>0</v>
      </c>
      <c r="D146" s="38">
        <f>+'22 SEMANA'!D13</f>
        <v>0</v>
      </c>
      <c r="E146" s="45">
        <f t="shared" si="30"/>
        <v>52</v>
      </c>
      <c r="F146" s="20">
        <f>+'22 SEMANA'!E13</f>
        <v>0</v>
      </c>
      <c r="G146" s="45">
        <f t="shared" si="31"/>
        <v>52</v>
      </c>
      <c r="H146" s="147">
        <f>+'22 SEMANA'!T13</f>
        <v>0</v>
      </c>
      <c r="I146" s="149">
        <f t="shared" si="33"/>
        <v>0</v>
      </c>
      <c r="J146" s="42">
        <f t="shared" si="32"/>
        <v>52</v>
      </c>
    </row>
    <row r="147" spans="1:10" x14ac:dyDescent="0.25">
      <c r="A147" s="37">
        <f>'22 SEMANA'!A14</f>
        <v>0</v>
      </c>
      <c r="B147" s="38">
        <f>'22 SEMANA'!B14</f>
        <v>0</v>
      </c>
      <c r="C147" s="38">
        <f>'22 SEMANA'!C14</f>
        <v>0</v>
      </c>
      <c r="D147" s="38">
        <f>+'22 SEMANA'!D14</f>
        <v>0</v>
      </c>
      <c r="E147" s="45">
        <f t="shared" si="30"/>
        <v>52</v>
      </c>
      <c r="F147" s="20">
        <f>+'22 SEMANA'!E14</f>
        <v>0</v>
      </c>
      <c r="G147" s="45">
        <f t="shared" si="31"/>
        <v>52</v>
      </c>
      <c r="H147" s="147">
        <f>+'22 SEMANA'!T14</f>
        <v>0</v>
      </c>
      <c r="I147" s="149">
        <f t="shared" si="33"/>
        <v>0</v>
      </c>
      <c r="J147" s="42">
        <f t="shared" si="32"/>
        <v>52</v>
      </c>
    </row>
    <row r="148" spans="1:10" x14ac:dyDescent="0.25">
      <c r="A148" s="37">
        <f>'23 SEMANA '!A9</f>
        <v>0</v>
      </c>
      <c r="B148" s="38">
        <f>'23 SEMANA '!B9</f>
        <v>0</v>
      </c>
      <c r="C148" s="38">
        <f>'23 SEMANA '!C9</f>
        <v>0</v>
      </c>
      <c r="D148" s="38">
        <f>+'23 SEMANA '!D9</f>
        <v>0</v>
      </c>
      <c r="E148" s="45">
        <f t="shared" si="30"/>
        <v>52</v>
      </c>
      <c r="F148" s="20">
        <f>+'23 SEMANA '!E9</f>
        <v>0</v>
      </c>
      <c r="G148" s="45">
        <f t="shared" si="31"/>
        <v>52</v>
      </c>
      <c r="H148" s="147">
        <f>+'23 SEMANA '!R9</f>
        <v>0</v>
      </c>
      <c r="I148" s="149">
        <f t="shared" si="33"/>
        <v>0</v>
      </c>
      <c r="J148" s="42">
        <f t="shared" si="32"/>
        <v>52</v>
      </c>
    </row>
    <row r="149" spans="1:10" x14ac:dyDescent="0.25">
      <c r="A149" s="37">
        <f>'23 SEMANA '!A10</f>
        <v>0</v>
      </c>
      <c r="B149" s="38">
        <f>'23 SEMANA '!B10</f>
        <v>0</v>
      </c>
      <c r="C149" s="38">
        <f>'23 SEMANA '!C10</f>
        <v>0</v>
      </c>
      <c r="D149" s="38">
        <f>+'23 SEMANA '!D10</f>
        <v>0</v>
      </c>
      <c r="E149" s="45">
        <f t="shared" si="30"/>
        <v>52</v>
      </c>
      <c r="F149" s="20">
        <f>+'23 SEMANA '!E10</f>
        <v>0</v>
      </c>
      <c r="G149" s="45">
        <f t="shared" si="31"/>
        <v>52</v>
      </c>
      <c r="H149" s="147">
        <f>+'23 SEMANA '!R10</f>
        <v>0</v>
      </c>
      <c r="I149" s="149">
        <f t="shared" ref="I149:I154" si="34">+F149-H149</f>
        <v>0</v>
      </c>
      <c r="J149" s="42">
        <f t="shared" si="32"/>
        <v>52</v>
      </c>
    </row>
    <row r="150" spans="1:10" x14ac:dyDescent="0.25">
      <c r="A150" s="37">
        <f>'23 SEMANA '!A11</f>
        <v>0</v>
      </c>
      <c r="B150" s="38">
        <f>'23 SEMANA '!B11</f>
        <v>0</v>
      </c>
      <c r="C150" s="38">
        <f>'23 SEMANA '!C11</f>
        <v>0</v>
      </c>
      <c r="D150" s="38">
        <f>+'23 SEMANA '!D11</f>
        <v>0</v>
      </c>
      <c r="E150" s="45">
        <f t="shared" si="30"/>
        <v>52</v>
      </c>
      <c r="F150" s="20">
        <f>+'23 SEMANA '!E11</f>
        <v>0</v>
      </c>
      <c r="G150" s="45">
        <f t="shared" si="31"/>
        <v>52</v>
      </c>
      <c r="H150" s="147">
        <f>+'23 SEMANA '!R11</f>
        <v>0</v>
      </c>
      <c r="I150" s="149">
        <f t="shared" si="34"/>
        <v>0</v>
      </c>
      <c r="J150" s="42">
        <f t="shared" si="32"/>
        <v>52</v>
      </c>
    </row>
    <row r="151" spans="1:10" x14ac:dyDescent="0.25">
      <c r="A151" s="37">
        <f>'23 SEMANA '!A12</f>
        <v>0</v>
      </c>
      <c r="B151" s="38">
        <f>'23 SEMANA '!B12</f>
        <v>0</v>
      </c>
      <c r="C151" s="38">
        <f>'23 SEMANA '!C12</f>
        <v>0</v>
      </c>
      <c r="D151" s="38">
        <f>+'23 SEMANA '!D12</f>
        <v>0</v>
      </c>
      <c r="E151" s="45">
        <f t="shared" si="30"/>
        <v>52</v>
      </c>
      <c r="F151" s="20">
        <f>+'23 SEMANA '!E12</f>
        <v>0</v>
      </c>
      <c r="G151" s="45">
        <f t="shared" si="31"/>
        <v>52</v>
      </c>
      <c r="H151" s="147">
        <f>+'23 SEMANA '!R12</f>
        <v>0</v>
      </c>
      <c r="I151" s="149">
        <f t="shared" si="34"/>
        <v>0</v>
      </c>
      <c r="J151" s="42">
        <f t="shared" si="32"/>
        <v>52</v>
      </c>
    </row>
    <row r="152" spans="1:10" x14ac:dyDescent="0.25">
      <c r="A152" s="37">
        <f>'23 SEMANA '!A13</f>
        <v>0</v>
      </c>
      <c r="B152" s="38">
        <f>'23 SEMANA '!B13</f>
        <v>0</v>
      </c>
      <c r="C152" s="38">
        <f>'23 SEMANA '!C13</f>
        <v>0</v>
      </c>
      <c r="D152" s="38">
        <f>+'23 SEMANA '!D13</f>
        <v>0</v>
      </c>
      <c r="E152" s="45">
        <f t="shared" si="30"/>
        <v>52</v>
      </c>
      <c r="F152" s="20">
        <f>+'23 SEMANA '!E13</f>
        <v>0</v>
      </c>
      <c r="G152" s="45">
        <f t="shared" si="31"/>
        <v>52</v>
      </c>
      <c r="H152" s="147">
        <f>+'23 SEMANA '!R13</f>
        <v>0</v>
      </c>
      <c r="I152" s="149">
        <f t="shared" si="34"/>
        <v>0</v>
      </c>
      <c r="J152" s="42">
        <f t="shared" si="32"/>
        <v>52</v>
      </c>
    </row>
    <row r="153" spans="1:10" x14ac:dyDescent="0.25">
      <c r="A153" s="37">
        <f>'23 SEMANA '!A14</f>
        <v>0</v>
      </c>
      <c r="B153" s="38">
        <f>'23 SEMANA '!B14</f>
        <v>0</v>
      </c>
      <c r="C153" s="38">
        <f>'23 SEMANA '!C14</f>
        <v>0</v>
      </c>
      <c r="D153" s="38">
        <f>+'23 SEMANA '!D14</f>
        <v>0</v>
      </c>
      <c r="E153" s="45">
        <f t="shared" si="30"/>
        <v>52</v>
      </c>
      <c r="F153" s="20">
        <f>+'23 SEMANA '!E14</f>
        <v>0</v>
      </c>
      <c r="G153" s="45">
        <f t="shared" si="31"/>
        <v>52</v>
      </c>
      <c r="H153" s="147">
        <f>+'23 SEMANA '!R14</f>
        <v>0</v>
      </c>
      <c r="I153" s="149">
        <f t="shared" si="34"/>
        <v>0</v>
      </c>
      <c r="J153" s="42">
        <f t="shared" si="32"/>
        <v>52</v>
      </c>
    </row>
    <row r="154" spans="1:10" x14ac:dyDescent="0.25">
      <c r="A154" s="37">
        <f>'24 SEMANA '!A9</f>
        <v>0</v>
      </c>
      <c r="B154" s="38">
        <f>'24 SEMANA '!B9</f>
        <v>0</v>
      </c>
      <c r="C154" s="38">
        <f>'24 SEMANA '!C9</f>
        <v>0</v>
      </c>
      <c r="D154" s="38">
        <f>+'24 SEMANA '!D9</f>
        <v>0</v>
      </c>
      <c r="E154" s="45">
        <f t="shared" si="30"/>
        <v>52</v>
      </c>
      <c r="F154" s="20">
        <f>+'24 SEMANA '!E9</f>
        <v>0</v>
      </c>
      <c r="G154" s="45">
        <f t="shared" si="31"/>
        <v>52</v>
      </c>
      <c r="H154" s="147">
        <f>+'24 SEMANA '!U9</f>
        <v>0</v>
      </c>
      <c r="I154" s="149">
        <f t="shared" si="34"/>
        <v>0</v>
      </c>
      <c r="J154" s="42">
        <f t="shared" si="32"/>
        <v>52</v>
      </c>
    </row>
    <row r="155" spans="1:10" x14ac:dyDescent="0.25">
      <c r="A155" s="37">
        <f>'24 SEMANA '!A10</f>
        <v>0</v>
      </c>
      <c r="B155" s="38">
        <f>'24 SEMANA '!B10</f>
        <v>0</v>
      </c>
      <c r="C155" s="38">
        <f>'24 SEMANA '!C10</f>
        <v>0</v>
      </c>
      <c r="D155" s="38">
        <f>+'24 SEMANA '!D10</f>
        <v>0</v>
      </c>
      <c r="E155" s="45">
        <f t="shared" si="30"/>
        <v>52</v>
      </c>
      <c r="F155" s="20">
        <f>+'24 SEMANA '!E10</f>
        <v>0</v>
      </c>
      <c r="G155" s="45">
        <f t="shared" si="31"/>
        <v>52</v>
      </c>
      <c r="H155" s="147">
        <f>+'24 SEMANA '!U10</f>
        <v>0</v>
      </c>
      <c r="I155" s="149">
        <f t="shared" ref="I155:I160" si="35">+F155-H155</f>
        <v>0</v>
      </c>
      <c r="J155" s="42">
        <f t="shared" si="32"/>
        <v>52</v>
      </c>
    </row>
    <row r="156" spans="1:10" x14ac:dyDescent="0.25">
      <c r="A156" s="37">
        <f>'24 SEMANA '!A11</f>
        <v>0</v>
      </c>
      <c r="B156" s="38">
        <f>'24 SEMANA '!B11</f>
        <v>0</v>
      </c>
      <c r="C156" s="38">
        <f>'24 SEMANA '!C11</f>
        <v>0</v>
      </c>
      <c r="D156" s="38">
        <f>+'24 SEMANA '!D11</f>
        <v>0</v>
      </c>
      <c r="E156" s="45">
        <f t="shared" si="30"/>
        <v>52</v>
      </c>
      <c r="F156" s="20">
        <f>+'24 SEMANA '!E11</f>
        <v>0</v>
      </c>
      <c r="G156" s="45">
        <f t="shared" si="31"/>
        <v>52</v>
      </c>
      <c r="H156" s="147">
        <f>+'24 SEMANA '!U11</f>
        <v>0</v>
      </c>
      <c r="I156" s="149">
        <f t="shared" si="35"/>
        <v>0</v>
      </c>
      <c r="J156" s="42">
        <f t="shared" si="32"/>
        <v>52</v>
      </c>
    </row>
    <row r="157" spans="1:10" x14ac:dyDescent="0.25">
      <c r="A157" s="37">
        <f>'24 SEMANA '!A12</f>
        <v>0</v>
      </c>
      <c r="B157" s="38">
        <f>'24 SEMANA '!B12</f>
        <v>0</v>
      </c>
      <c r="C157" s="38">
        <f>'24 SEMANA '!C12</f>
        <v>0</v>
      </c>
      <c r="D157" s="38">
        <f>+'24 SEMANA '!D12</f>
        <v>0</v>
      </c>
      <c r="E157" s="45">
        <f t="shared" si="30"/>
        <v>52</v>
      </c>
      <c r="F157" s="20">
        <f>+'24 SEMANA '!E12</f>
        <v>0</v>
      </c>
      <c r="G157" s="45">
        <f t="shared" si="31"/>
        <v>52</v>
      </c>
      <c r="H157" s="147">
        <f>+'24 SEMANA '!U12</f>
        <v>0</v>
      </c>
      <c r="I157" s="149">
        <f t="shared" si="35"/>
        <v>0</v>
      </c>
      <c r="J157" s="42">
        <f t="shared" si="32"/>
        <v>52</v>
      </c>
    </row>
    <row r="158" spans="1:10" x14ac:dyDescent="0.25">
      <c r="A158" s="37">
        <f>'24 SEMANA '!A13</f>
        <v>0</v>
      </c>
      <c r="B158" s="38">
        <f>'24 SEMANA '!B13</f>
        <v>0</v>
      </c>
      <c r="C158" s="38">
        <f>'24 SEMANA '!C13</f>
        <v>0</v>
      </c>
      <c r="D158" s="38">
        <f>+'24 SEMANA '!D13</f>
        <v>0</v>
      </c>
      <c r="E158" s="45">
        <f t="shared" si="30"/>
        <v>52</v>
      </c>
      <c r="F158" s="20">
        <f>+'24 SEMANA '!E13</f>
        <v>0</v>
      </c>
      <c r="G158" s="45">
        <f t="shared" si="31"/>
        <v>52</v>
      </c>
      <c r="H158" s="147">
        <f>+'24 SEMANA '!U13</f>
        <v>0</v>
      </c>
      <c r="I158" s="149">
        <f t="shared" si="35"/>
        <v>0</v>
      </c>
      <c r="J158" s="42">
        <f t="shared" si="32"/>
        <v>52</v>
      </c>
    </row>
    <row r="159" spans="1:10" x14ac:dyDescent="0.25">
      <c r="A159" s="37">
        <f>'24 SEMANA '!A14</f>
        <v>0</v>
      </c>
      <c r="B159" s="38">
        <f>'24 SEMANA '!B14</f>
        <v>0</v>
      </c>
      <c r="C159" s="38">
        <f>'24 SEMANA '!C14</f>
        <v>0</v>
      </c>
      <c r="D159" s="38">
        <f>+'24 SEMANA '!D14</f>
        <v>0</v>
      </c>
      <c r="E159" s="45">
        <f t="shared" si="30"/>
        <v>52</v>
      </c>
      <c r="F159" s="20">
        <f>+'24 SEMANA '!E14</f>
        <v>0</v>
      </c>
      <c r="G159" s="45">
        <f t="shared" si="31"/>
        <v>52</v>
      </c>
      <c r="H159" s="147">
        <f>+'24 SEMANA '!U14</f>
        <v>0</v>
      </c>
      <c r="I159" s="149">
        <f t="shared" si="35"/>
        <v>0</v>
      </c>
      <c r="J159" s="42">
        <f t="shared" si="32"/>
        <v>52</v>
      </c>
    </row>
    <row r="160" spans="1:10" x14ac:dyDescent="0.25">
      <c r="A160" s="37">
        <f>'25 SEMANA '!A9</f>
        <v>0</v>
      </c>
      <c r="B160" s="38">
        <f>'25 SEMANA '!B9</f>
        <v>0</v>
      </c>
      <c r="C160" s="38">
        <f>'25 SEMANA '!C9</f>
        <v>0</v>
      </c>
      <c r="D160" s="38">
        <f>'25 SEMANA '!D9</f>
        <v>0</v>
      </c>
      <c r="E160" s="45">
        <f t="shared" si="30"/>
        <v>52</v>
      </c>
      <c r="F160" s="20">
        <f>+'25 SEMANA '!E9</f>
        <v>0</v>
      </c>
      <c r="G160" s="45">
        <f t="shared" si="31"/>
        <v>52</v>
      </c>
      <c r="H160" s="147">
        <f>+'25 SEMANA '!T9</f>
        <v>0</v>
      </c>
      <c r="I160" s="149">
        <f t="shared" si="35"/>
        <v>0</v>
      </c>
      <c r="J160" s="42">
        <f t="shared" si="32"/>
        <v>52</v>
      </c>
    </row>
    <row r="161" spans="1:10" x14ac:dyDescent="0.25">
      <c r="A161" s="37">
        <f>'25 SEMANA '!A10</f>
        <v>0</v>
      </c>
      <c r="B161" s="38">
        <f>'25 SEMANA '!B10</f>
        <v>0</v>
      </c>
      <c r="C161" s="38">
        <f>'25 SEMANA '!C10</f>
        <v>0</v>
      </c>
      <c r="D161" s="38">
        <f>'25 SEMANA '!D10</f>
        <v>0</v>
      </c>
      <c r="E161" s="45">
        <f t="shared" si="30"/>
        <v>52</v>
      </c>
      <c r="F161" s="20">
        <f>+'25 SEMANA '!E10</f>
        <v>0</v>
      </c>
      <c r="G161" s="45">
        <f t="shared" si="31"/>
        <v>52</v>
      </c>
      <c r="H161" s="147">
        <f>+'25 SEMANA '!T10</f>
        <v>0</v>
      </c>
      <c r="I161" s="149">
        <f t="shared" ref="I161:I166" si="36">+F161-H161</f>
        <v>0</v>
      </c>
      <c r="J161" s="42">
        <f t="shared" si="32"/>
        <v>52</v>
      </c>
    </row>
    <row r="162" spans="1:10" x14ac:dyDescent="0.25">
      <c r="A162" s="37">
        <f>'25 SEMANA '!A11</f>
        <v>0</v>
      </c>
      <c r="B162" s="38">
        <f>'25 SEMANA '!B11</f>
        <v>0</v>
      </c>
      <c r="C162" s="38">
        <f>'25 SEMANA '!C11</f>
        <v>0</v>
      </c>
      <c r="D162" s="38">
        <f>'25 SEMANA '!D11</f>
        <v>0</v>
      </c>
      <c r="E162" s="45">
        <f t="shared" si="30"/>
        <v>52</v>
      </c>
      <c r="F162" s="20">
        <f>+'25 SEMANA '!E11</f>
        <v>0</v>
      </c>
      <c r="G162" s="45">
        <f t="shared" si="31"/>
        <v>52</v>
      </c>
      <c r="H162" s="147">
        <f>+'25 SEMANA '!T11</f>
        <v>0</v>
      </c>
      <c r="I162" s="149">
        <f t="shared" si="36"/>
        <v>0</v>
      </c>
      <c r="J162" s="42">
        <f t="shared" si="32"/>
        <v>52</v>
      </c>
    </row>
    <row r="163" spans="1:10" x14ac:dyDescent="0.25">
      <c r="A163" s="37">
        <f>'25 SEMANA '!A12</f>
        <v>0</v>
      </c>
      <c r="B163" s="38">
        <f>'25 SEMANA '!B12</f>
        <v>0</v>
      </c>
      <c r="C163" s="38">
        <f>'25 SEMANA '!C12</f>
        <v>0</v>
      </c>
      <c r="D163" s="38">
        <f>'25 SEMANA '!D12</f>
        <v>0</v>
      </c>
      <c r="E163" s="45">
        <f t="shared" si="30"/>
        <v>52</v>
      </c>
      <c r="F163" s="20">
        <f>+'25 SEMANA '!E12</f>
        <v>0</v>
      </c>
      <c r="G163" s="45">
        <f t="shared" si="31"/>
        <v>52</v>
      </c>
      <c r="H163" s="147">
        <f>+'25 SEMANA '!T12</f>
        <v>0</v>
      </c>
      <c r="I163" s="149">
        <f t="shared" si="36"/>
        <v>0</v>
      </c>
      <c r="J163" s="42">
        <f t="shared" si="32"/>
        <v>52</v>
      </c>
    </row>
    <row r="164" spans="1:10" x14ac:dyDescent="0.25">
      <c r="A164" s="37">
        <f>'25 SEMANA '!A13</f>
        <v>0</v>
      </c>
      <c r="B164" s="38">
        <f>'25 SEMANA '!B13</f>
        <v>0</v>
      </c>
      <c r="C164" s="38">
        <f>'25 SEMANA '!C13</f>
        <v>0</v>
      </c>
      <c r="D164" s="38">
        <f>'25 SEMANA '!D13</f>
        <v>0</v>
      </c>
      <c r="E164" s="45">
        <f t="shared" si="30"/>
        <v>52</v>
      </c>
      <c r="F164" s="20">
        <f>+'25 SEMANA '!E13</f>
        <v>0</v>
      </c>
      <c r="G164" s="45">
        <f t="shared" si="31"/>
        <v>52</v>
      </c>
      <c r="H164" s="147">
        <f>+'25 SEMANA '!T13</f>
        <v>0</v>
      </c>
      <c r="I164" s="149">
        <f t="shared" si="36"/>
        <v>0</v>
      </c>
      <c r="J164" s="42">
        <f t="shared" si="32"/>
        <v>52</v>
      </c>
    </row>
    <row r="165" spans="1:10" x14ac:dyDescent="0.25">
      <c r="A165" s="37">
        <f>'25 SEMANA '!A14</f>
        <v>0</v>
      </c>
      <c r="B165" s="38">
        <f>'25 SEMANA '!B14</f>
        <v>0</v>
      </c>
      <c r="C165" s="38">
        <f>'25 SEMANA '!C14</f>
        <v>0</v>
      </c>
      <c r="D165" s="38">
        <f>'25 SEMANA '!D14</f>
        <v>0</v>
      </c>
      <c r="E165" s="45">
        <f t="shared" si="30"/>
        <v>52</v>
      </c>
      <c r="F165" s="20">
        <f>+'25 SEMANA '!E14</f>
        <v>0</v>
      </c>
      <c r="G165" s="45">
        <f t="shared" si="31"/>
        <v>52</v>
      </c>
      <c r="H165" s="147">
        <f>+'25 SEMANA '!T14</f>
        <v>0</v>
      </c>
      <c r="I165" s="149">
        <f t="shared" si="36"/>
        <v>0</v>
      </c>
      <c r="J165" s="42">
        <f t="shared" si="32"/>
        <v>52</v>
      </c>
    </row>
    <row r="166" spans="1:10" x14ac:dyDescent="0.25">
      <c r="A166" s="37">
        <f>'26 SEMANA'!A9</f>
        <v>0</v>
      </c>
      <c r="B166" s="38">
        <f>'26 SEMANA'!B9</f>
        <v>0</v>
      </c>
      <c r="C166" s="38">
        <f>'26 SEMANA'!C9</f>
        <v>0</v>
      </c>
      <c r="D166" s="38">
        <f>'26 SEMANA'!D9</f>
        <v>0</v>
      </c>
      <c r="E166" s="45">
        <f t="shared" si="30"/>
        <v>52</v>
      </c>
      <c r="F166" s="20">
        <f>+'26 SEMANA'!E9</f>
        <v>0</v>
      </c>
      <c r="G166" s="45">
        <f t="shared" si="31"/>
        <v>52</v>
      </c>
      <c r="H166" s="147">
        <f>+'26 SEMANA'!S9</f>
        <v>0</v>
      </c>
      <c r="I166" s="149">
        <f t="shared" si="36"/>
        <v>0</v>
      </c>
      <c r="J166" s="42">
        <f t="shared" si="32"/>
        <v>52</v>
      </c>
    </row>
    <row r="167" spans="1:10" x14ac:dyDescent="0.25">
      <c r="A167" s="37">
        <f>'26 SEMANA'!A10</f>
        <v>0</v>
      </c>
      <c r="B167" s="38">
        <f>'26 SEMANA'!B10</f>
        <v>0</v>
      </c>
      <c r="C167" s="38">
        <f>'26 SEMANA'!C10</f>
        <v>0</v>
      </c>
      <c r="D167" s="38">
        <f>'26 SEMANA'!D10</f>
        <v>0</v>
      </c>
      <c r="E167" s="45">
        <f t="shared" si="30"/>
        <v>52</v>
      </c>
      <c r="F167" s="20">
        <f>+'26 SEMANA'!E10</f>
        <v>0</v>
      </c>
      <c r="G167" s="45">
        <f t="shared" si="31"/>
        <v>52</v>
      </c>
      <c r="H167" s="147">
        <f>+'26 SEMANA'!S10</f>
        <v>0</v>
      </c>
      <c r="I167" s="149">
        <f t="shared" ref="I167:I172" si="37">+F167-H167</f>
        <v>0</v>
      </c>
      <c r="J167" s="42">
        <f t="shared" si="32"/>
        <v>52</v>
      </c>
    </row>
    <row r="168" spans="1:10" x14ac:dyDescent="0.25">
      <c r="A168" s="37">
        <f>'26 SEMANA'!A11</f>
        <v>0</v>
      </c>
      <c r="B168" s="38">
        <f>'26 SEMANA'!B11</f>
        <v>0</v>
      </c>
      <c r="C168" s="38">
        <f>'26 SEMANA'!C11</f>
        <v>0</v>
      </c>
      <c r="D168" s="38">
        <f>'26 SEMANA'!D11</f>
        <v>0</v>
      </c>
      <c r="E168" s="45">
        <f t="shared" si="30"/>
        <v>52</v>
      </c>
      <c r="F168" s="20">
        <f>+'26 SEMANA'!E11</f>
        <v>0</v>
      </c>
      <c r="G168" s="45">
        <f t="shared" si="31"/>
        <v>52</v>
      </c>
      <c r="H168" s="147">
        <f>+'26 SEMANA'!S11</f>
        <v>0</v>
      </c>
      <c r="I168" s="149">
        <f t="shared" si="37"/>
        <v>0</v>
      </c>
      <c r="J168" s="42">
        <f t="shared" si="32"/>
        <v>52</v>
      </c>
    </row>
    <row r="169" spans="1:10" x14ac:dyDescent="0.25">
      <c r="A169" s="37">
        <f>'26 SEMANA'!A12</f>
        <v>0</v>
      </c>
      <c r="B169" s="38">
        <f>'26 SEMANA'!B12</f>
        <v>0</v>
      </c>
      <c r="C169" s="38">
        <f>'26 SEMANA'!C12</f>
        <v>0</v>
      </c>
      <c r="D169" s="38">
        <f>'26 SEMANA'!D12</f>
        <v>0</v>
      </c>
      <c r="E169" s="45">
        <f t="shared" si="30"/>
        <v>52</v>
      </c>
      <c r="F169" s="20">
        <f>+'26 SEMANA'!E12</f>
        <v>0</v>
      </c>
      <c r="G169" s="45">
        <f t="shared" si="31"/>
        <v>52</v>
      </c>
      <c r="H169" s="147">
        <f>+'26 SEMANA'!S12</f>
        <v>0</v>
      </c>
      <c r="I169" s="149">
        <f t="shared" si="37"/>
        <v>0</v>
      </c>
      <c r="J169" s="42">
        <f t="shared" si="32"/>
        <v>52</v>
      </c>
    </row>
    <row r="170" spans="1:10" x14ac:dyDescent="0.25">
      <c r="A170" s="37">
        <f>'26 SEMANA'!A13</f>
        <v>0</v>
      </c>
      <c r="B170" s="38">
        <f>'26 SEMANA'!B13</f>
        <v>0</v>
      </c>
      <c r="C170" s="38">
        <f>'26 SEMANA'!C13</f>
        <v>0</v>
      </c>
      <c r="D170" s="38">
        <f>'26 SEMANA'!D13</f>
        <v>0</v>
      </c>
      <c r="E170" s="45">
        <f t="shared" si="30"/>
        <v>52</v>
      </c>
      <c r="F170" s="20">
        <f>+'26 SEMANA'!E13</f>
        <v>0</v>
      </c>
      <c r="G170" s="45">
        <f t="shared" si="31"/>
        <v>52</v>
      </c>
      <c r="H170" s="147">
        <f>+'26 SEMANA'!S13</f>
        <v>0</v>
      </c>
      <c r="I170" s="149">
        <f t="shared" si="37"/>
        <v>0</v>
      </c>
      <c r="J170" s="42">
        <f t="shared" si="32"/>
        <v>52</v>
      </c>
    </row>
    <row r="171" spans="1:10" x14ac:dyDescent="0.25">
      <c r="A171" s="37">
        <f>'26 SEMANA'!A14</f>
        <v>0</v>
      </c>
      <c r="B171" s="38">
        <f>'26 SEMANA'!B14</f>
        <v>0</v>
      </c>
      <c r="C171" s="38">
        <f>'26 SEMANA'!C14</f>
        <v>0</v>
      </c>
      <c r="D171" s="38">
        <f>'26 SEMANA'!D14</f>
        <v>0</v>
      </c>
      <c r="E171" s="45">
        <f t="shared" si="30"/>
        <v>52</v>
      </c>
      <c r="F171" s="20">
        <f>+'26 SEMANA'!E14</f>
        <v>0</v>
      </c>
      <c r="G171" s="45">
        <f t="shared" si="31"/>
        <v>52</v>
      </c>
      <c r="H171" s="147">
        <f>+'26 SEMANA'!S14</f>
        <v>0</v>
      </c>
      <c r="I171" s="149">
        <f t="shared" si="37"/>
        <v>0</v>
      </c>
      <c r="J171" s="42">
        <f t="shared" si="32"/>
        <v>52</v>
      </c>
    </row>
    <row r="172" spans="1:10" x14ac:dyDescent="0.25">
      <c r="A172" s="37">
        <f>'27 SEMANA'!A9</f>
        <v>0</v>
      </c>
      <c r="B172" s="38">
        <f>'27 SEMANA'!B9</f>
        <v>0</v>
      </c>
      <c r="C172" s="38">
        <f>'27 SEMANA'!C9</f>
        <v>0</v>
      </c>
      <c r="D172" s="38">
        <f>'27 SEMANA'!D9</f>
        <v>0</v>
      </c>
      <c r="E172" s="45">
        <f t="shared" si="30"/>
        <v>52</v>
      </c>
      <c r="F172" s="20">
        <f>+'27 SEMANA'!E9</f>
        <v>0</v>
      </c>
      <c r="G172" s="45">
        <f t="shared" si="31"/>
        <v>52</v>
      </c>
      <c r="H172" s="147">
        <f>+'27 SEMANA'!W9</f>
        <v>0</v>
      </c>
      <c r="I172" s="149">
        <f t="shared" si="37"/>
        <v>0</v>
      </c>
      <c r="J172" s="42">
        <f t="shared" si="32"/>
        <v>52</v>
      </c>
    </row>
    <row r="173" spans="1:10" x14ac:dyDescent="0.25">
      <c r="A173" s="37">
        <f>'27 SEMANA'!A10</f>
        <v>0</v>
      </c>
      <c r="B173" s="38">
        <f>'27 SEMANA'!B10</f>
        <v>0</v>
      </c>
      <c r="C173" s="38">
        <f>'27 SEMANA'!C10</f>
        <v>0</v>
      </c>
      <c r="D173" s="38">
        <f>'27 SEMANA'!D10</f>
        <v>0</v>
      </c>
      <c r="E173" s="45">
        <f t="shared" si="30"/>
        <v>52</v>
      </c>
      <c r="F173" s="20">
        <f>+'27 SEMANA'!E10</f>
        <v>0</v>
      </c>
      <c r="G173" s="45">
        <f t="shared" si="31"/>
        <v>52</v>
      </c>
      <c r="H173" s="147">
        <f>+'27 SEMANA'!W10</f>
        <v>0</v>
      </c>
      <c r="I173" s="149">
        <f t="shared" ref="I173:I178" si="38">+F173-H173</f>
        <v>0</v>
      </c>
      <c r="J173" s="42">
        <f t="shared" si="32"/>
        <v>52</v>
      </c>
    </row>
    <row r="174" spans="1:10" x14ac:dyDescent="0.25">
      <c r="A174" s="37">
        <f>'27 SEMANA'!A11</f>
        <v>0</v>
      </c>
      <c r="B174" s="38">
        <f>'27 SEMANA'!B11</f>
        <v>0</v>
      </c>
      <c r="C174" s="38">
        <f>'27 SEMANA'!C11</f>
        <v>0</v>
      </c>
      <c r="D174" s="38">
        <f>'27 SEMANA'!D11</f>
        <v>0</v>
      </c>
      <c r="E174" s="45">
        <f t="shared" si="30"/>
        <v>52</v>
      </c>
      <c r="F174" s="20">
        <f>+'27 SEMANA'!E11</f>
        <v>0</v>
      </c>
      <c r="G174" s="45">
        <f t="shared" si="31"/>
        <v>52</v>
      </c>
      <c r="H174" s="147">
        <f>+'27 SEMANA'!W11</f>
        <v>0</v>
      </c>
      <c r="I174" s="149">
        <f t="shared" si="38"/>
        <v>0</v>
      </c>
      <c r="J174" s="42">
        <f t="shared" si="32"/>
        <v>52</v>
      </c>
    </row>
    <row r="175" spans="1:10" x14ac:dyDescent="0.25">
      <c r="A175" s="37">
        <f>'27 SEMANA'!A12</f>
        <v>0</v>
      </c>
      <c r="B175" s="38">
        <f>'27 SEMANA'!B12</f>
        <v>0</v>
      </c>
      <c r="C175" s="38">
        <f>'27 SEMANA'!C12</f>
        <v>0</v>
      </c>
      <c r="D175" s="38">
        <f>'27 SEMANA'!D12</f>
        <v>0</v>
      </c>
      <c r="E175" s="45">
        <f t="shared" si="30"/>
        <v>52</v>
      </c>
      <c r="F175" s="20">
        <f>+'27 SEMANA'!E12</f>
        <v>0</v>
      </c>
      <c r="G175" s="45">
        <f t="shared" si="31"/>
        <v>52</v>
      </c>
      <c r="H175" s="147">
        <f>+'27 SEMANA'!W12</f>
        <v>0</v>
      </c>
      <c r="I175" s="149">
        <f t="shared" si="38"/>
        <v>0</v>
      </c>
      <c r="J175" s="42">
        <f t="shared" si="32"/>
        <v>52</v>
      </c>
    </row>
    <row r="176" spans="1:10" x14ac:dyDescent="0.25">
      <c r="A176" s="37">
        <f>'27 SEMANA'!A13</f>
        <v>0</v>
      </c>
      <c r="B176" s="38">
        <f>'27 SEMANA'!B13</f>
        <v>0</v>
      </c>
      <c r="C176" s="38">
        <f>'27 SEMANA'!C13</f>
        <v>0</v>
      </c>
      <c r="D176" s="38">
        <f>'27 SEMANA'!D13</f>
        <v>0</v>
      </c>
      <c r="E176" s="45">
        <f t="shared" si="30"/>
        <v>52</v>
      </c>
      <c r="F176" s="20">
        <f>+'27 SEMANA'!E13</f>
        <v>0</v>
      </c>
      <c r="G176" s="45">
        <f t="shared" si="31"/>
        <v>52</v>
      </c>
      <c r="H176" s="147">
        <f>+'27 SEMANA'!W13</f>
        <v>0</v>
      </c>
      <c r="I176" s="149">
        <f t="shared" si="38"/>
        <v>0</v>
      </c>
      <c r="J176" s="42">
        <f t="shared" si="32"/>
        <v>52</v>
      </c>
    </row>
    <row r="177" spans="1:10" x14ac:dyDescent="0.25">
      <c r="A177" s="37">
        <f>'27 SEMANA'!A14</f>
        <v>0</v>
      </c>
      <c r="B177" s="38">
        <f>'27 SEMANA'!B14</f>
        <v>0</v>
      </c>
      <c r="C177" s="38">
        <f>'27 SEMANA'!C14</f>
        <v>0</v>
      </c>
      <c r="D177" s="38">
        <f>'27 SEMANA'!D14</f>
        <v>0</v>
      </c>
      <c r="E177" s="45">
        <f t="shared" si="30"/>
        <v>52</v>
      </c>
      <c r="F177" s="20">
        <f>+'27 SEMANA'!E14</f>
        <v>0</v>
      </c>
      <c r="G177" s="45">
        <f t="shared" si="31"/>
        <v>52</v>
      </c>
      <c r="H177" s="147">
        <f>+'27 SEMANA'!W14</f>
        <v>0</v>
      </c>
      <c r="I177" s="149">
        <f t="shared" si="38"/>
        <v>0</v>
      </c>
      <c r="J177" s="42">
        <f t="shared" si="32"/>
        <v>52</v>
      </c>
    </row>
    <row r="178" spans="1:10" x14ac:dyDescent="0.25">
      <c r="A178" s="37">
        <f>'28 SEMANA '!A9</f>
        <v>0</v>
      </c>
      <c r="B178" s="38">
        <f>'28 SEMANA '!B9</f>
        <v>0</v>
      </c>
      <c r="C178" s="38">
        <f>'28 SEMANA '!C9</f>
        <v>0</v>
      </c>
      <c r="D178" s="38">
        <f>'28 SEMANA '!D9</f>
        <v>0</v>
      </c>
      <c r="E178" s="45">
        <f t="shared" si="30"/>
        <v>52</v>
      </c>
      <c r="F178" s="20">
        <f>+'28 SEMANA '!E9</f>
        <v>0</v>
      </c>
      <c r="G178" s="45">
        <f t="shared" si="31"/>
        <v>52</v>
      </c>
      <c r="H178" s="147">
        <f>+'28 SEMANA '!Q9</f>
        <v>0</v>
      </c>
      <c r="I178" s="149">
        <f t="shared" si="38"/>
        <v>0</v>
      </c>
      <c r="J178" s="42">
        <f t="shared" si="32"/>
        <v>52</v>
      </c>
    </row>
    <row r="179" spans="1:10" x14ac:dyDescent="0.25">
      <c r="A179" s="37">
        <f>'28 SEMANA '!A10</f>
        <v>0</v>
      </c>
      <c r="B179" s="38">
        <f>'28 SEMANA '!B10</f>
        <v>0</v>
      </c>
      <c r="C179" s="38">
        <f>'28 SEMANA '!C10</f>
        <v>0</v>
      </c>
      <c r="D179" s="38">
        <f>'28 SEMANA '!D10</f>
        <v>0</v>
      </c>
      <c r="E179" s="45">
        <f t="shared" si="30"/>
        <v>52</v>
      </c>
      <c r="F179" s="20">
        <f>+'28 SEMANA '!E10</f>
        <v>0</v>
      </c>
      <c r="G179" s="45">
        <f t="shared" si="31"/>
        <v>52</v>
      </c>
      <c r="H179" s="147">
        <f>+'28 SEMANA '!Q10</f>
        <v>0</v>
      </c>
      <c r="I179" s="149">
        <f t="shared" ref="I179:I184" si="39">+F179-H179</f>
        <v>0</v>
      </c>
      <c r="J179" s="42">
        <f t="shared" si="32"/>
        <v>52</v>
      </c>
    </row>
    <row r="180" spans="1:10" x14ac:dyDescent="0.25">
      <c r="A180" s="37">
        <f>'28 SEMANA '!A11</f>
        <v>0</v>
      </c>
      <c r="B180" s="38">
        <f>'28 SEMANA '!B11</f>
        <v>0</v>
      </c>
      <c r="C180" s="38">
        <f>'28 SEMANA '!C11</f>
        <v>0</v>
      </c>
      <c r="D180" s="38">
        <f>'28 SEMANA '!D11</f>
        <v>0</v>
      </c>
      <c r="E180" s="45">
        <f t="shared" si="30"/>
        <v>52</v>
      </c>
      <c r="F180" s="20">
        <f>+'28 SEMANA '!E11</f>
        <v>0</v>
      </c>
      <c r="G180" s="45">
        <f t="shared" si="31"/>
        <v>52</v>
      </c>
      <c r="H180" s="147">
        <f>+'28 SEMANA '!Q11</f>
        <v>0</v>
      </c>
      <c r="I180" s="149">
        <f t="shared" si="39"/>
        <v>0</v>
      </c>
      <c r="J180" s="42">
        <f t="shared" si="32"/>
        <v>52</v>
      </c>
    </row>
    <row r="181" spans="1:10" x14ac:dyDescent="0.25">
      <c r="A181" s="37">
        <f>'28 SEMANA '!A12</f>
        <v>0</v>
      </c>
      <c r="B181" s="38">
        <f>'28 SEMANA '!B12</f>
        <v>0</v>
      </c>
      <c r="C181" s="38">
        <f>'28 SEMANA '!C12</f>
        <v>0</v>
      </c>
      <c r="D181" s="38">
        <f>'28 SEMANA '!D12</f>
        <v>0</v>
      </c>
      <c r="E181" s="45">
        <f t="shared" si="30"/>
        <v>52</v>
      </c>
      <c r="F181" s="20">
        <f>+'28 SEMANA '!E12</f>
        <v>0</v>
      </c>
      <c r="G181" s="45">
        <f t="shared" si="31"/>
        <v>52</v>
      </c>
      <c r="H181" s="147">
        <f>+'28 SEMANA '!Q12</f>
        <v>0</v>
      </c>
      <c r="I181" s="149">
        <f t="shared" si="39"/>
        <v>0</v>
      </c>
      <c r="J181" s="42">
        <f t="shared" si="32"/>
        <v>52</v>
      </c>
    </row>
    <row r="182" spans="1:10" x14ac:dyDescent="0.25">
      <c r="A182" s="37">
        <f>'28 SEMANA '!A13</f>
        <v>0</v>
      </c>
      <c r="B182" s="38">
        <f>'28 SEMANA '!B13</f>
        <v>0</v>
      </c>
      <c r="C182" s="38">
        <f>'28 SEMANA '!C13</f>
        <v>0</v>
      </c>
      <c r="D182" s="38">
        <f>'28 SEMANA '!D13</f>
        <v>0</v>
      </c>
      <c r="E182" s="45">
        <f t="shared" si="30"/>
        <v>52</v>
      </c>
      <c r="F182" s="20">
        <f>+'28 SEMANA '!E13</f>
        <v>0</v>
      </c>
      <c r="G182" s="45">
        <f t="shared" si="31"/>
        <v>52</v>
      </c>
      <c r="H182" s="147">
        <f>+'28 SEMANA '!Q13</f>
        <v>0</v>
      </c>
      <c r="I182" s="149">
        <f t="shared" si="39"/>
        <v>0</v>
      </c>
      <c r="J182" s="42">
        <f t="shared" si="32"/>
        <v>52</v>
      </c>
    </row>
    <row r="183" spans="1:10" x14ac:dyDescent="0.25">
      <c r="A183" s="37">
        <f>'28 SEMANA '!A14</f>
        <v>0</v>
      </c>
      <c r="B183" s="38">
        <f>'28 SEMANA '!B14</f>
        <v>0</v>
      </c>
      <c r="C183" s="38">
        <f>'28 SEMANA '!C14</f>
        <v>0</v>
      </c>
      <c r="D183" s="38">
        <f>'28 SEMANA '!D14</f>
        <v>0</v>
      </c>
      <c r="E183" s="45">
        <f t="shared" si="30"/>
        <v>52</v>
      </c>
      <c r="F183" s="20">
        <f>+'28 SEMANA '!E14</f>
        <v>0</v>
      </c>
      <c r="G183" s="45">
        <f t="shared" si="31"/>
        <v>52</v>
      </c>
      <c r="H183" s="147">
        <f>+'28 SEMANA '!Q14</f>
        <v>0</v>
      </c>
      <c r="I183" s="149">
        <f t="shared" si="39"/>
        <v>0</v>
      </c>
      <c r="J183" s="42">
        <f t="shared" si="32"/>
        <v>52</v>
      </c>
    </row>
    <row r="184" spans="1:10" x14ac:dyDescent="0.25">
      <c r="A184" s="37">
        <f>'29 SEMANA '!A9</f>
        <v>0</v>
      </c>
      <c r="B184" s="38">
        <f>'29 SEMANA '!B9</f>
        <v>0</v>
      </c>
      <c r="C184" s="38">
        <f>'29 SEMANA '!C9</f>
        <v>0</v>
      </c>
      <c r="D184" s="38">
        <f>'29 SEMANA '!D9</f>
        <v>0</v>
      </c>
      <c r="E184" s="45">
        <f t="shared" si="30"/>
        <v>52</v>
      </c>
      <c r="F184" s="20">
        <f>+'29 SEMANA '!E9</f>
        <v>0</v>
      </c>
      <c r="G184" s="45">
        <f t="shared" si="31"/>
        <v>52</v>
      </c>
      <c r="H184" s="147">
        <f>+'29 SEMANA '!U9</f>
        <v>0</v>
      </c>
      <c r="I184" s="149">
        <f t="shared" si="39"/>
        <v>0</v>
      </c>
      <c r="J184" s="42">
        <f t="shared" si="32"/>
        <v>52</v>
      </c>
    </row>
    <row r="185" spans="1:10" x14ac:dyDescent="0.25">
      <c r="A185" s="37">
        <f>'29 SEMANA '!A10</f>
        <v>0</v>
      </c>
      <c r="B185" s="38">
        <f>'29 SEMANA '!B10</f>
        <v>0</v>
      </c>
      <c r="C185" s="38">
        <f>'29 SEMANA '!C10</f>
        <v>0</v>
      </c>
      <c r="D185" s="38">
        <f>'29 SEMANA '!D10</f>
        <v>0</v>
      </c>
      <c r="E185" s="45">
        <f t="shared" si="30"/>
        <v>52</v>
      </c>
      <c r="F185" s="20">
        <f>+'29 SEMANA '!E10</f>
        <v>0</v>
      </c>
      <c r="G185" s="45">
        <f t="shared" si="31"/>
        <v>52</v>
      </c>
      <c r="H185" s="147">
        <f>+'29 SEMANA '!U10</f>
        <v>0</v>
      </c>
      <c r="I185" s="149">
        <f t="shared" ref="I185:I190" si="40">+F185-H185</f>
        <v>0</v>
      </c>
      <c r="J185" s="42">
        <f t="shared" si="32"/>
        <v>52</v>
      </c>
    </row>
    <row r="186" spans="1:10" x14ac:dyDescent="0.25">
      <c r="A186" s="37">
        <f>'29 SEMANA '!A11</f>
        <v>0</v>
      </c>
      <c r="B186" s="38">
        <f>'29 SEMANA '!B11</f>
        <v>0</v>
      </c>
      <c r="C186" s="38">
        <f>'29 SEMANA '!C11</f>
        <v>0</v>
      </c>
      <c r="D186" s="38">
        <f>'29 SEMANA '!D11</f>
        <v>0</v>
      </c>
      <c r="E186" s="45">
        <f t="shared" si="30"/>
        <v>52</v>
      </c>
      <c r="F186" s="20">
        <f>+'29 SEMANA '!E11</f>
        <v>0</v>
      </c>
      <c r="G186" s="45">
        <f t="shared" si="31"/>
        <v>52</v>
      </c>
      <c r="H186" s="147">
        <f>+'29 SEMANA '!U11</f>
        <v>0</v>
      </c>
      <c r="I186" s="149">
        <f t="shared" si="40"/>
        <v>0</v>
      </c>
      <c r="J186" s="42">
        <f t="shared" si="32"/>
        <v>52</v>
      </c>
    </row>
    <row r="187" spans="1:10" x14ac:dyDescent="0.25">
      <c r="A187" s="37">
        <f>'29 SEMANA '!A12</f>
        <v>0</v>
      </c>
      <c r="B187" s="38">
        <f>'29 SEMANA '!B12</f>
        <v>0</v>
      </c>
      <c r="C187" s="38">
        <f>'29 SEMANA '!C12</f>
        <v>0</v>
      </c>
      <c r="D187" s="38">
        <f>'29 SEMANA '!D12</f>
        <v>0</v>
      </c>
      <c r="E187" s="45">
        <f t="shared" si="30"/>
        <v>52</v>
      </c>
      <c r="F187" s="20">
        <f>+'29 SEMANA '!E12</f>
        <v>0</v>
      </c>
      <c r="G187" s="45">
        <f t="shared" si="31"/>
        <v>52</v>
      </c>
      <c r="H187" s="147">
        <f>+'29 SEMANA '!U12</f>
        <v>0</v>
      </c>
      <c r="I187" s="149">
        <f t="shared" si="40"/>
        <v>0</v>
      </c>
      <c r="J187" s="42">
        <f t="shared" si="32"/>
        <v>52</v>
      </c>
    </row>
    <row r="188" spans="1:10" x14ac:dyDescent="0.25">
      <c r="A188" s="37">
        <f>'29 SEMANA '!A13</f>
        <v>0</v>
      </c>
      <c r="B188" s="38">
        <f>'29 SEMANA '!B13</f>
        <v>0</v>
      </c>
      <c r="C188" s="38">
        <f>'29 SEMANA '!C13</f>
        <v>0</v>
      </c>
      <c r="D188" s="38">
        <f>'29 SEMANA '!D13</f>
        <v>0</v>
      </c>
      <c r="E188" s="45">
        <f t="shared" si="30"/>
        <v>52</v>
      </c>
      <c r="F188" s="20">
        <f>+'29 SEMANA '!E13</f>
        <v>0</v>
      </c>
      <c r="G188" s="45">
        <f t="shared" si="31"/>
        <v>52</v>
      </c>
      <c r="H188" s="147">
        <f>+'29 SEMANA '!U13</f>
        <v>0</v>
      </c>
      <c r="I188" s="149">
        <f t="shared" si="40"/>
        <v>0</v>
      </c>
      <c r="J188" s="42">
        <f t="shared" si="32"/>
        <v>52</v>
      </c>
    </row>
    <row r="189" spans="1:10" x14ac:dyDescent="0.25">
      <c r="A189" s="37">
        <f>'29 SEMANA '!A14</f>
        <v>0</v>
      </c>
      <c r="B189" s="38">
        <f>'29 SEMANA '!B14</f>
        <v>0</v>
      </c>
      <c r="C189" s="38">
        <f>'29 SEMANA '!C14</f>
        <v>0</v>
      </c>
      <c r="D189" s="38">
        <f>'29 SEMANA '!D14</f>
        <v>0</v>
      </c>
      <c r="E189" s="45">
        <f t="shared" si="30"/>
        <v>52</v>
      </c>
      <c r="F189" s="20">
        <f>+'29 SEMANA '!E14</f>
        <v>0</v>
      </c>
      <c r="G189" s="45">
        <f t="shared" si="31"/>
        <v>52</v>
      </c>
      <c r="H189" s="147">
        <f>+'29 SEMANA '!U14</f>
        <v>0</v>
      </c>
      <c r="I189" s="149">
        <f t="shared" si="40"/>
        <v>0</v>
      </c>
      <c r="J189" s="42">
        <f t="shared" si="32"/>
        <v>52</v>
      </c>
    </row>
    <row r="190" spans="1:10" x14ac:dyDescent="0.25">
      <c r="A190" s="37">
        <f>'30 SEMANA '!A9</f>
        <v>0</v>
      </c>
      <c r="B190" s="38">
        <f>'30 SEMANA '!B9</f>
        <v>0</v>
      </c>
      <c r="C190" s="38">
        <f>'30 SEMANA '!C9</f>
        <v>0</v>
      </c>
      <c r="D190" s="38">
        <f>'30 SEMANA '!D9</f>
        <v>0</v>
      </c>
      <c r="E190" s="45">
        <f t="shared" si="30"/>
        <v>52</v>
      </c>
      <c r="F190" s="20">
        <f>+'30 SEMANA '!E9</f>
        <v>0</v>
      </c>
      <c r="G190" s="45">
        <f t="shared" si="31"/>
        <v>52</v>
      </c>
      <c r="H190" s="147">
        <f>+'30 SEMANA '!R9</f>
        <v>0</v>
      </c>
      <c r="I190" s="149">
        <f t="shared" si="40"/>
        <v>0</v>
      </c>
      <c r="J190" s="42">
        <f t="shared" si="32"/>
        <v>52</v>
      </c>
    </row>
    <row r="191" spans="1:10" x14ac:dyDescent="0.25">
      <c r="A191" s="37">
        <f>'30 SEMANA '!A10</f>
        <v>0</v>
      </c>
      <c r="B191" s="38">
        <f>'30 SEMANA '!B10</f>
        <v>0</v>
      </c>
      <c r="C191" s="38">
        <f>'30 SEMANA '!C10</f>
        <v>0</v>
      </c>
      <c r="D191" s="38">
        <f>'30 SEMANA '!D10</f>
        <v>0</v>
      </c>
      <c r="E191" s="45">
        <f t="shared" si="30"/>
        <v>52</v>
      </c>
      <c r="F191" s="20">
        <f>+'30 SEMANA '!E10</f>
        <v>0</v>
      </c>
      <c r="G191" s="45">
        <f t="shared" si="31"/>
        <v>52</v>
      </c>
      <c r="H191" s="147">
        <f>+'30 SEMANA '!R10</f>
        <v>0</v>
      </c>
      <c r="I191" s="149">
        <f t="shared" ref="I191:I196" si="41">+F191-H191</f>
        <v>0</v>
      </c>
      <c r="J191" s="42">
        <f t="shared" si="32"/>
        <v>52</v>
      </c>
    </row>
    <row r="192" spans="1:10" x14ac:dyDescent="0.25">
      <c r="A192" s="37">
        <f>'30 SEMANA '!A11</f>
        <v>0</v>
      </c>
      <c r="B192" s="38">
        <f>'30 SEMANA '!B11</f>
        <v>0</v>
      </c>
      <c r="C192" s="38">
        <f>'30 SEMANA '!C11</f>
        <v>0</v>
      </c>
      <c r="D192" s="38">
        <f>'30 SEMANA '!D11</f>
        <v>0</v>
      </c>
      <c r="E192" s="45">
        <f t="shared" si="30"/>
        <v>52</v>
      </c>
      <c r="F192" s="20">
        <f>+'30 SEMANA '!E11</f>
        <v>0</v>
      </c>
      <c r="G192" s="45">
        <f t="shared" si="31"/>
        <v>52</v>
      </c>
      <c r="H192" s="147">
        <f>+'30 SEMANA '!R11</f>
        <v>0</v>
      </c>
      <c r="I192" s="149">
        <f t="shared" si="41"/>
        <v>0</v>
      </c>
      <c r="J192" s="42">
        <f t="shared" si="32"/>
        <v>52</v>
      </c>
    </row>
    <row r="193" spans="1:10" x14ac:dyDescent="0.25">
      <c r="A193" s="37">
        <f>'30 SEMANA '!A12</f>
        <v>0</v>
      </c>
      <c r="B193" s="38">
        <f>'30 SEMANA '!B12</f>
        <v>0</v>
      </c>
      <c r="C193" s="38">
        <f>'30 SEMANA '!C12</f>
        <v>0</v>
      </c>
      <c r="D193" s="38">
        <f>'30 SEMANA '!D12</f>
        <v>0</v>
      </c>
      <c r="E193" s="45">
        <f t="shared" si="30"/>
        <v>52</v>
      </c>
      <c r="F193" s="20">
        <f>+'30 SEMANA '!E12</f>
        <v>0</v>
      </c>
      <c r="G193" s="45">
        <f t="shared" si="31"/>
        <v>52</v>
      </c>
      <c r="H193" s="147">
        <f>+'30 SEMANA '!R12</f>
        <v>0</v>
      </c>
      <c r="I193" s="149">
        <f t="shared" si="41"/>
        <v>0</v>
      </c>
      <c r="J193" s="42">
        <f t="shared" si="32"/>
        <v>52</v>
      </c>
    </row>
    <row r="194" spans="1:10" x14ac:dyDescent="0.25">
      <c r="A194" s="37">
        <f>'30 SEMANA '!A13</f>
        <v>0</v>
      </c>
      <c r="B194" s="38">
        <f>'30 SEMANA '!B13</f>
        <v>0</v>
      </c>
      <c r="C194" s="38">
        <f>'30 SEMANA '!C13</f>
        <v>0</v>
      </c>
      <c r="D194" s="38">
        <f>'30 SEMANA '!D13</f>
        <v>0</v>
      </c>
      <c r="E194" s="45">
        <f t="shared" si="30"/>
        <v>52</v>
      </c>
      <c r="F194" s="20">
        <f>+'30 SEMANA '!E13</f>
        <v>0</v>
      </c>
      <c r="G194" s="45">
        <f t="shared" si="31"/>
        <v>52</v>
      </c>
      <c r="H194" s="147">
        <f>+'30 SEMANA '!R13</f>
        <v>0</v>
      </c>
      <c r="I194" s="149">
        <f t="shared" si="41"/>
        <v>0</v>
      </c>
      <c r="J194" s="42">
        <f t="shared" si="32"/>
        <v>52</v>
      </c>
    </row>
    <row r="195" spans="1:10" x14ac:dyDescent="0.25">
      <c r="A195" s="37">
        <f>'30 SEMANA '!A14</f>
        <v>0</v>
      </c>
      <c r="B195" s="38">
        <f>'30 SEMANA '!B14</f>
        <v>0</v>
      </c>
      <c r="C195" s="38">
        <f>'30 SEMANA '!C14</f>
        <v>0</v>
      </c>
      <c r="D195" s="38">
        <f>'30 SEMANA '!D14</f>
        <v>0</v>
      </c>
      <c r="E195" s="45">
        <f t="shared" si="30"/>
        <v>52</v>
      </c>
      <c r="F195" s="20">
        <f>+'30 SEMANA '!E14</f>
        <v>0</v>
      </c>
      <c r="G195" s="45">
        <f t="shared" si="31"/>
        <v>52</v>
      </c>
      <c r="H195" s="147">
        <f>+'30 SEMANA '!R14</f>
        <v>0</v>
      </c>
      <c r="I195" s="149">
        <f t="shared" si="41"/>
        <v>0</v>
      </c>
      <c r="J195" s="42">
        <f t="shared" si="32"/>
        <v>52</v>
      </c>
    </row>
    <row r="196" spans="1:10" x14ac:dyDescent="0.25">
      <c r="A196" s="37">
        <f>'31 SEMANA '!A9</f>
        <v>0</v>
      </c>
      <c r="B196" s="38">
        <f>'31 SEMANA '!B9</f>
        <v>0</v>
      </c>
      <c r="C196" s="38">
        <f>'31 SEMANA '!C9</f>
        <v>0</v>
      </c>
      <c r="D196" s="38">
        <f>'31 SEMANA '!D9</f>
        <v>0</v>
      </c>
      <c r="E196" s="45">
        <f t="shared" si="30"/>
        <v>52</v>
      </c>
      <c r="F196" s="20">
        <f>+'31 SEMANA '!E9</f>
        <v>0</v>
      </c>
      <c r="G196" s="45">
        <f t="shared" si="31"/>
        <v>52</v>
      </c>
      <c r="H196" s="147">
        <f>+'31 SEMANA '!Q9</f>
        <v>0</v>
      </c>
      <c r="I196" s="149">
        <f t="shared" si="41"/>
        <v>0</v>
      </c>
      <c r="J196" s="42">
        <f t="shared" si="32"/>
        <v>52</v>
      </c>
    </row>
    <row r="197" spans="1:10" x14ac:dyDescent="0.25">
      <c r="A197" s="37">
        <f>'31 SEMANA '!A10</f>
        <v>0</v>
      </c>
      <c r="B197" s="38">
        <f>'31 SEMANA '!B10</f>
        <v>0</v>
      </c>
      <c r="C197" s="38">
        <f>'31 SEMANA '!C10</f>
        <v>0</v>
      </c>
      <c r="D197" s="38">
        <f>'31 SEMANA '!D10</f>
        <v>0</v>
      </c>
      <c r="E197" s="45">
        <f t="shared" si="30"/>
        <v>52</v>
      </c>
      <c r="F197" s="20">
        <f>+'31 SEMANA '!E10</f>
        <v>0</v>
      </c>
      <c r="G197" s="45">
        <f t="shared" si="31"/>
        <v>52</v>
      </c>
      <c r="H197" s="147">
        <f>+'31 SEMANA '!Q10</f>
        <v>0</v>
      </c>
      <c r="I197" s="149">
        <f t="shared" ref="I197:I202" si="42">+F197-H197</f>
        <v>0</v>
      </c>
      <c r="J197" s="42">
        <f t="shared" si="32"/>
        <v>52</v>
      </c>
    </row>
    <row r="198" spans="1:10" x14ac:dyDescent="0.25">
      <c r="A198" s="37">
        <f>'31 SEMANA '!A11</f>
        <v>0</v>
      </c>
      <c r="B198" s="38">
        <f>'31 SEMANA '!B11</f>
        <v>0</v>
      </c>
      <c r="C198" s="38">
        <f>'31 SEMANA '!C11</f>
        <v>0</v>
      </c>
      <c r="D198" s="38">
        <f>'31 SEMANA '!D11</f>
        <v>0</v>
      </c>
      <c r="E198" s="45">
        <f t="shared" si="30"/>
        <v>52</v>
      </c>
      <c r="F198" s="20">
        <f>+'31 SEMANA '!E11</f>
        <v>0</v>
      </c>
      <c r="G198" s="45">
        <f t="shared" si="31"/>
        <v>52</v>
      </c>
      <c r="H198" s="147">
        <f>+'31 SEMANA '!Q11</f>
        <v>0</v>
      </c>
      <c r="I198" s="149">
        <f t="shared" si="42"/>
        <v>0</v>
      </c>
      <c r="J198" s="42">
        <f t="shared" si="32"/>
        <v>52</v>
      </c>
    </row>
    <row r="199" spans="1:10" x14ac:dyDescent="0.25">
      <c r="A199" s="37">
        <f>'31 SEMANA '!A12</f>
        <v>0</v>
      </c>
      <c r="B199" s="38">
        <f>'31 SEMANA '!B12</f>
        <v>0</v>
      </c>
      <c r="C199" s="38">
        <f>'31 SEMANA '!C12</f>
        <v>0</v>
      </c>
      <c r="D199" s="38">
        <f>'31 SEMANA '!D12</f>
        <v>0</v>
      </c>
      <c r="E199" s="45">
        <f t="shared" si="30"/>
        <v>52</v>
      </c>
      <c r="F199" s="20">
        <f>+'31 SEMANA '!E12</f>
        <v>0</v>
      </c>
      <c r="G199" s="45">
        <f t="shared" si="31"/>
        <v>52</v>
      </c>
      <c r="H199" s="147">
        <f>+'31 SEMANA '!Q12</f>
        <v>0</v>
      </c>
      <c r="I199" s="149">
        <f t="shared" si="42"/>
        <v>0</v>
      </c>
      <c r="J199" s="42">
        <f t="shared" si="32"/>
        <v>52</v>
      </c>
    </row>
    <row r="200" spans="1:10" x14ac:dyDescent="0.25">
      <c r="A200" s="37">
        <f>'31 SEMANA '!A13</f>
        <v>0</v>
      </c>
      <c r="B200" s="38">
        <f>'31 SEMANA '!B13</f>
        <v>0</v>
      </c>
      <c r="C200" s="38">
        <f>'31 SEMANA '!C13</f>
        <v>0</v>
      </c>
      <c r="D200" s="38">
        <f>'31 SEMANA '!D13</f>
        <v>0</v>
      </c>
      <c r="E200" s="45">
        <f t="shared" si="30"/>
        <v>52</v>
      </c>
      <c r="F200" s="20">
        <f>+'31 SEMANA '!E13</f>
        <v>0</v>
      </c>
      <c r="G200" s="45">
        <f t="shared" si="31"/>
        <v>52</v>
      </c>
      <c r="H200" s="147">
        <f>+'31 SEMANA '!Q13</f>
        <v>0</v>
      </c>
      <c r="I200" s="149">
        <f t="shared" si="42"/>
        <v>0</v>
      </c>
      <c r="J200" s="42">
        <f t="shared" si="32"/>
        <v>52</v>
      </c>
    </row>
    <row r="201" spans="1:10" x14ac:dyDescent="0.25">
      <c r="A201" s="37">
        <f>'31 SEMANA '!A14</f>
        <v>0</v>
      </c>
      <c r="B201" s="38">
        <f>'31 SEMANA '!B14</f>
        <v>0</v>
      </c>
      <c r="C201" s="38">
        <f>'31 SEMANA '!C14</f>
        <v>0</v>
      </c>
      <c r="D201" s="38">
        <f>'31 SEMANA '!D14</f>
        <v>0</v>
      </c>
      <c r="E201" s="45">
        <f t="shared" si="30"/>
        <v>52</v>
      </c>
      <c r="F201" s="20">
        <f>+'31 SEMANA '!E14</f>
        <v>0</v>
      </c>
      <c r="G201" s="45">
        <f t="shared" si="31"/>
        <v>52</v>
      </c>
      <c r="H201" s="147">
        <f>+'31 SEMANA '!Q14</f>
        <v>0</v>
      </c>
      <c r="I201" s="149">
        <f t="shared" si="42"/>
        <v>0</v>
      </c>
      <c r="J201" s="42">
        <f t="shared" si="32"/>
        <v>52</v>
      </c>
    </row>
    <row r="202" spans="1:10" x14ac:dyDescent="0.25">
      <c r="A202" s="37">
        <f>'32 SEMANA '!A9</f>
        <v>0</v>
      </c>
      <c r="B202" s="38">
        <f>'32 SEMANA '!B9</f>
        <v>0</v>
      </c>
      <c r="C202" s="38">
        <f>'32 SEMANA '!C9</f>
        <v>0</v>
      </c>
      <c r="D202" s="38">
        <f>'32 SEMANA '!D9</f>
        <v>0</v>
      </c>
      <c r="E202" s="45">
        <f t="shared" si="30"/>
        <v>52</v>
      </c>
      <c r="F202" s="20">
        <f>+'32 SEMANA '!E9</f>
        <v>0</v>
      </c>
      <c r="G202" s="45">
        <f t="shared" si="31"/>
        <v>52</v>
      </c>
      <c r="H202" s="147">
        <f>+'32 SEMANA '!U9</f>
        <v>0</v>
      </c>
      <c r="I202" s="149">
        <f t="shared" si="42"/>
        <v>0</v>
      </c>
      <c r="J202" s="42">
        <f t="shared" si="32"/>
        <v>52</v>
      </c>
    </row>
    <row r="203" spans="1:10" x14ac:dyDescent="0.25">
      <c r="A203" s="37">
        <f>'32 SEMANA '!A10</f>
        <v>0</v>
      </c>
      <c r="B203" s="38">
        <f>'32 SEMANA '!B10</f>
        <v>0</v>
      </c>
      <c r="C203" s="38">
        <f>'32 SEMANA '!C10</f>
        <v>0</v>
      </c>
      <c r="D203" s="38">
        <f>'32 SEMANA '!D10</f>
        <v>0</v>
      </c>
      <c r="E203" s="45">
        <f t="shared" si="30"/>
        <v>52</v>
      </c>
      <c r="F203" s="20">
        <f>+'32 SEMANA '!E10</f>
        <v>0</v>
      </c>
      <c r="G203" s="45">
        <f t="shared" si="31"/>
        <v>52</v>
      </c>
      <c r="H203" s="147">
        <f>+'32 SEMANA '!U10</f>
        <v>0</v>
      </c>
      <c r="I203" s="149">
        <f t="shared" ref="I203:I208" si="43">+F203-H203</f>
        <v>0</v>
      </c>
      <c r="J203" s="42">
        <f t="shared" si="32"/>
        <v>52</v>
      </c>
    </row>
    <row r="204" spans="1:10" x14ac:dyDescent="0.25">
      <c r="A204" s="37">
        <f>'32 SEMANA '!A11</f>
        <v>0</v>
      </c>
      <c r="B204" s="38">
        <f>'32 SEMANA '!B11</f>
        <v>0</v>
      </c>
      <c r="C204" s="38">
        <f>'32 SEMANA '!C11</f>
        <v>0</v>
      </c>
      <c r="D204" s="38">
        <f>'32 SEMANA '!D11</f>
        <v>0</v>
      </c>
      <c r="E204" s="45">
        <f t="shared" ref="E204:E267" si="44">_xlfn.ISOWEEKNUM(A204)</f>
        <v>52</v>
      </c>
      <c r="F204" s="20">
        <f>+'32 SEMANA '!E11</f>
        <v>0</v>
      </c>
      <c r="G204" s="45">
        <f t="shared" ref="G204:G267" si="45">_xlfn.ISOWEEKNUM(A204)</f>
        <v>52</v>
      </c>
      <c r="H204" s="147">
        <f>+'32 SEMANA '!U11</f>
        <v>0</v>
      </c>
      <c r="I204" s="149">
        <f t="shared" si="43"/>
        <v>0</v>
      </c>
      <c r="J204" s="42">
        <f t="shared" ref="J204:J267" si="46">_xlfn.ISOWEEKNUM(A204)</f>
        <v>52</v>
      </c>
    </row>
    <row r="205" spans="1:10" x14ac:dyDescent="0.25">
      <c r="A205" s="37">
        <f>'32 SEMANA '!A12</f>
        <v>0</v>
      </c>
      <c r="B205" s="38">
        <f>'32 SEMANA '!B12</f>
        <v>0</v>
      </c>
      <c r="C205" s="38">
        <f>'32 SEMANA '!C12</f>
        <v>0</v>
      </c>
      <c r="D205" s="38">
        <f>'32 SEMANA '!D12</f>
        <v>0</v>
      </c>
      <c r="E205" s="45">
        <f t="shared" si="44"/>
        <v>52</v>
      </c>
      <c r="F205" s="20">
        <f>+'32 SEMANA '!E12</f>
        <v>0</v>
      </c>
      <c r="G205" s="45">
        <f t="shared" si="45"/>
        <v>52</v>
      </c>
      <c r="H205" s="147">
        <f>+'32 SEMANA '!U12</f>
        <v>0</v>
      </c>
      <c r="I205" s="149">
        <f t="shared" si="43"/>
        <v>0</v>
      </c>
      <c r="J205" s="42">
        <f t="shared" si="46"/>
        <v>52</v>
      </c>
    </row>
    <row r="206" spans="1:10" x14ac:dyDescent="0.25">
      <c r="A206" s="37">
        <f>'32 SEMANA '!A13</f>
        <v>0</v>
      </c>
      <c r="B206" s="38">
        <f>'32 SEMANA '!B13</f>
        <v>0</v>
      </c>
      <c r="C206" s="38">
        <f>'32 SEMANA '!C13</f>
        <v>0</v>
      </c>
      <c r="D206" s="38">
        <f>'32 SEMANA '!D13</f>
        <v>0</v>
      </c>
      <c r="E206" s="45">
        <f t="shared" si="44"/>
        <v>52</v>
      </c>
      <c r="F206" s="20">
        <f>+'32 SEMANA '!E13</f>
        <v>0</v>
      </c>
      <c r="G206" s="45">
        <f t="shared" si="45"/>
        <v>52</v>
      </c>
      <c r="H206" s="147">
        <f>+'32 SEMANA '!U13</f>
        <v>0</v>
      </c>
      <c r="I206" s="149">
        <f t="shared" si="43"/>
        <v>0</v>
      </c>
      <c r="J206" s="42">
        <f t="shared" si="46"/>
        <v>52</v>
      </c>
    </row>
    <row r="207" spans="1:10" x14ac:dyDescent="0.25">
      <c r="A207" s="37">
        <f>'32 SEMANA '!A14</f>
        <v>0</v>
      </c>
      <c r="B207" s="38">
        <f>'32 SEMANA '!B14</f>
        <v>0</v>
      </c>
      <c r="C207" s="38">
        <f>'32 SEMANA '!C14</f>
        <v>0</v>
      </c>
      <c r="D207" s="38">
        <f>'32 SEMANA '!D14</f>
        <v>0</v>
      </c>
      <c r="E207" s="45">
        <f t="shared" si="44"/>
        <v>52</v>
      </c>
      <c r="F207" s="20">
        <f>+'32 SEMANA '!E14</f>
        <v>0</v>
      </c>
      <c r="G207" s="45">
        <f t="shared" si="45"/>
        <v>52</v>
      </c>
      <c r="H207" s="147">
        <f>+'32 SEMANA '!U14</f>
        <v>0</v>
      </c>
      <c r="I207" s="149">
        <f t="shared" si="43"/>
        <v>0</v>
      </c>
      <c r="J207" s="42">
        <f t="shared" si="46"/>
        <v>52</v>
      </c>
    </row>
    <row r="208" spans="1:10" x14ac:dyDescent="0.25">
      <c r="A208" s="37">
        <f>'33 SEMANA '!A9</f>
        <v>0</v>
      </c>
      <c r="B208" s="38">
        <f>'33 SEMANA '!B9</f>
        <v>0</v>
      </c>
      <c r="C208" s="38">
        <f>'33 SEMANA '!C9</f>
        <v>0</v>
      </c>
      <c r="D208" s="38">
        <f>'33 SEMANA '!D9</f>
        <v>0</v>
      </c>
      <c r="E208" s="45">
        <f t="shared" si="44"/>
        <v>52</v>
      </c>
      <c r="F208" s="20">
        <f>+'33 SEMANA '!E9</f>
        <v>0</v>
      </c>
      <c r="G208" s="45">
        <f t="shared" si="45"/>
        <v>52</v>
      </c>
      <c r="H208" s="147">
        <f>+'33 SEMANA '!X9</f>
        <v>0</v>
      </c>
      <c r="I208" s="149">
        <f t="shared" si="43"/>
        <v>0</v>
      </c>
      <c r="J208" s="42">
        <f t="shared" si="46"/>
        <v>52</v>
      </c>
    </row>
    <row r="209" spans="1:10" x14ac:dyDescent="0.25">
      <c r="A209" s="37">
        <f>'33 SEMANA '!A10</f>
        <v>0</v>
      </c>
      <c r="B209" s="38">
        <f>'33 SEMANA '!B10</f>
        <v>0</v>
      </c>
      <c r="C209" s="38">
        <f>'33 SEMANA '!C10</f>
        <v>0</v>
      </c>
      <c r="D209" s="38">
        <f>'33 SEMANA '!D10</f>
        <v>0</v>
      </c>
      <c r="E209" s="45">
        <f t="shared" si="44"/>
        <v>52</v>
      </c>
      <c r="F209" s="20">
        <f>+'33 SEMANA '!E10</f>
        <v>0</v>
      </c>
      <c r="G209" s="45">
        <f t="shared" si="45"/>
        <v>52</v>
      </c>
      <c r="H209" s="147">
        <f>+'33 SEMANA '!X10</f>
        <v>0</v>
      </c>
      <c r="I209" s="149">
        <f t="shared" ref="I209:I214" si="47">+F209-H209</f>
        <v>0</v>
      </c>
      <c r="J209" s="42">
        <f t="shared" si="46"/>
        <v>52</v>
      </c>
    </row>
    <row r="210" spans="1:10" x14ac:dyDescent="0.25">
      <c r="A210" s="37">
        <f>'33 SEMANA '!A11</f>
        <v>0</v>
      </c>
      <c r="B210" s="38">
        <f>'33 SEMANA '!B11</f>
        <v>0</v>
      </c>
      <c r="C210" s="38">
        <f>'33 SEMANA '!C11</f>
        <v>0</v>
      </c>
      <c r="D210" s="38">
        <f>'33 SEMANA '!D11</f>
        <v>0</v>
      </c>
      <c r="E210" s="45">
        <f t="shared" si="44"/>
        <v>52</v>
      </c>
      <c r="F210" s="20">
        <f>+'33 SEMANA '!E11</f>
        <v>0</v>
      </c>
      <c r="G210" s="45">
        <f t="shared" si="45"/>
        <v>52</v>
      </c>
      <c r="H210" s="147">
        <f>+'33 SEMANA '!X11</f>
        <v>0</v>
      </c>
      <c r="I210" s="149">
        <f t="shared" si="47"/>
        <v>0</v>
      </c>
      <c r="J210" s="42">
        <f t="shared" si="46"/>
        <v>52</v>
      </c>
    </row>
    <row r="211" spans="1:10" x14ac:dyDescent="0.25">
      <c r="A211" s="37">
        <f>'33 SEMANA '!A12</f>
        <v>0</v>
      </c>
      <c r="B211" s="38">
        <f>'33 SEMANA '!B12</f>
        <v>0</v>
      </c>
      <c r="C211" s="38">
        <f>'33 SEMANA '!C12</f>
        <v>0</v>
      </c>
      <c r="D211" s="38">
        <f>'33 SEMANA '!D12</f>
        <v>0</v>
      </c>
      <c r="E211" s="45">
        <f t="shared" si="44"/>
        <v>52</v>
      </c>
      <c r="F211" s="20">
        <f>+'33 SEMANA '!E12</f>
        <v>0</v>
      </c>
      <c r="G211" s="45">
        <f t="shared" si="45"/>
        <v>52</v>
      </c>
      <c r="H211" s="147">
        <f>+'33 SEMANA '!X12</f>
        <v>0</v>
      </c>
      <c r="I211" s="149">
        <f t="shared" si="47"/>
        <v>0</v>
      </c>
      <c r="J211" s="42">
        <f t="shared" si="46"/>
        <v>52</v>
      </c>
    </row>
    <row r="212" spans="1:10" x14ac:dyDescent="0.25">
      <c r="A212" s="37">
        <f>'33 SEMANA '!A13</f>
        <v>0</v>
      </c>
      <c r="B212" s="38">
        <f>'33 SEMANA '!B13</f>
        <v>0</v>
      </c>
      <c r="C212" s="38">
        <f>'33 SEMANA '!C13</f>
        <v>0</v>
      </c>
      <c r="D212" s="38">
        <f>'33 SEMANA '!D13</f>
        <v>0</v>
      </c>
      <c r="E212" s="45">
        <f t="shared" si="44"/>
        <v>52</v>
      </c>
      <c r="F212" s="20">
        <f>+'33 SEMANA '!E13</f>
        <v>0</v>
      </c>
      <c r="G212" s="45">
        <f t="shared" si="45"/>
        <v>52</v>
      </c>
      <c r="H212" s="147">
        <f>+'33 SEMANA '!X13</f>
        <v>0</v>
      </c>
      <c r="I212" s="149">
        <f t="shared" si="47"/>
        <v>0</v>
      </c>
      <c r="J212" s="42">
        <f t="shared" si="46"/>
        <v>52</v>
      </c>
    </row>
    <row r="213" spans="1:10" x14ac:dyDescent="0.25">
      <c r="A213" s="37">
        <f>'33 SEMANA '!A14</f>
        <v>0</v>
      </c>
      <c r="B213" s="38">
        <f>'33 SEMANA '!B14</f>
        <v>0</v>
      </c>
      <c r="C213" s="38">
        <f>'33 SEMANA '!C14</f>
        <v>0</v>
      </c>
      <c r="D213" s="38">
        <f>'33 SEMANA '!D14</f>
        <v>0</v>
      </c>
      <c r="E213" s="45">
        <f t="shared" si="44"/>
        <v>52</v>
      </c>
      <c r="F213" s="20">
        <f>+'33 SEMANA '!E14</f>
        <v>0</v>
      </c>
      <c r="G213" s="45">
        <f t="shared" si="45"/>
        <v>52</v>
      </c>
      <c r="H213" s="147">
        <f>+'33 SEMANA '!X14</f>
        <v>0</v>
      </c>
      <c r="I213" s="149">
        <f t="shared" si="47"/>
        <v>0</v>
      </c>
      <c r="J213" s="42">
        <f t="shared" si="46"/>
        <v>52</v>
      </c>
    </row>
    <row r="214" spans="1:10" x14ac:dyDescent="0.25">
      <c r="A214" s="142">
        <f>+'34 SEMANA'!A9</f>
        <v>0</v>
      </c>
      <c r="B214" s="143">
        <f>+'34 SEMANA'!B9</f>
        <v>0</v>
      </c>
      <c r="C214" s="143">
        <f>+'34 SEMANA'!C9</f>
        <v>0</v>
      </c>
      <c r="D214" s="143">
        <f>+'34 SEMANA'!D9</f>
        <v>0</v>
      </c>
      <c r="E214" s="45">
        <f t="shared" si="44"/>
        <v>52</v>
      </c>
      <c r="F214" s="20">
        <f>+'34 SEMANA'!E9</f>
        <v>0</v>
      </c>
      <c r="G214" s="45">
        <f t="shared" si="45"/>
        <v>52</v>
      </c>
      <c r="H214" s="147">
        <f>'34 SEMANA'!U9</f>
        <v>0</v>
      </c>
      <c r="I214" s="149">
        <f t="shared" si="47"/>
        <v>0</v>
      </c>
      <c r="J214" s="42">
        <f t="shared" si="46"/>
        <v>52</v>
      </c>
    </row>
    <row r="215" spans="1:10" x14ac:dyDescent="0.25">
      <c r="A215" s="142">
        <f>+'34 SEMANA'!A10</f>
        <v>0</v>
      </c>
      <c r="B215" s="143">
        <f>+'34 SEMANA'!B10</f>
        <v>0</v>
      </c>
      <c r="C215" s="143">
        <f>+'34 SEMANA'!C10</f>
        <v>0</v>
      </c>
      <c r="D215" s="143">
        <f>+'34 SEMANA'!D10</f>
        <v>0</v>
      </c>
      <c r="E215" s="45">
        <f t="shared" si="44"/>
        <v>52</v>
      </c>
      <c r="F215" s="20">
        <f>+'34 SEMANA'!E10</f>
        <v>0</v>
      </c>
      <c r="G215" s="45">
        <f t="shared" si="45"/>
        <v>52</v>
      </c>
      <c r="H215" s="147">
        <f>'34 SEMANA'!U10</f>
        <v>0</v>
      </c>
      <c r="I215" s="149">
        <f t="shared" ref="I215:I220" si="48">+F215-H215</f>
        <v>0</v>
      </c>
      <c r="J215" s="42">
        <f t="shared" si="46"/>
        <v>52</v>
      </c>
    </row>
    <row r="216" spans="1:10" x14ac:dyDescent="0.25">
      <c r="A216" s="142">
        <f>+'34 SEMANA'!A11</f>
        <v>0</v>
      </c>
      <c r="B216" s="143">
        <f>+'34 SEMANA'!B11</f>
        <v>0</v>
      </c>
      <c r="C216" s="143">
        <f>+'34 SEMANA'!C11</f>
        <v>0</v>
      </c>
      <c r="D216" s="143">
        <f>+'34 SEMANA'!D11</f>
        <v>0</v>
      </c>
      <c r="E216" s="45">
        <f t="shared" si="44"/>
        <v>52</v>
      </c>
      <c r="F216" s="20">
        <f>+'34 SEMANA'!E11</f>
        <v>0</v>
      </c>
      <c r="G216" s="45">
        <f t="shared" si="45"/>
        <v>52</v>
      </c>
      <c r="H216" s="147">
        <f>'34 SEMANA'!U11</f>
        <v>0</v>
      </c>
      <c r="I216" s="149">
        <f t="shared" si="48"/>
        <v>0</v>
      </c>
      <c r="J216" s="42">
        <f t="shared" si="46"/>
        <v>52</v>
      </c>
    </row>
    <row r="217" spans="1:10" x14ac:dyDescent="0.25">
      <c r="A217" s="142">
        <f>+'34 SEMANA'!A12</f>
        <v>0</v>
      </c>
      <c r="B217" s="143">
        <f>+'34 SEMANA'!B12</f>
        <v>0</v>
      </c>
      <c r="C217" s="143">
        <f>+'34 SEMANA'!C12</f>
        <v>0</v>
      </c>
      <c r="D217" s="143">
        <f>+'34 SEMANA'!D12</f>
        <v>0</v>
      </c>
      <c r="E217" s="45">
        <f t="shared" si="44"/>
        <v>52</v>
      </c>
      <c r="F217" s="20">
        <f>+'34 SEMANA'!E12</f>
        <v>0</v>
      </c>
      <c r="G217" s="45">
        <f t="shared" si="45"/>
        <v>52</v>
      </c>
      <c r="H217" s="147">
        <f>'34 SEMANA'!U12</f>
        <v>0</v>
      </c>
      <c r="I217" s="149">
        <f t="shared" si="48"/>
        <v>0</v>
      </c>
      <c r="J217" s="42">
        <f t="shared" si="46"/>
        <v>52</v>
      </c>
    </row>
    <row r="218" spans="1:10" x14ac:dyDescent="0.25">
      <c r="A218" s="142">
        <f>+'34 SEMANA'!A13</f>
        <v>0</v>
      </c>
      <c r="B218" s="143">
        <f>+'34 SEMANA'!B13</f>
        <v>0</v>
      </c>
      <c r="C218" s="143">
        <f>+'34 SEMANA'!C13</f>
        <v>0</v>
      </c>
      <c r="D218" s="143">
        <f>+'34 SEMANA'!D13</f>
        <v>0</v>
      </c>
      <c r="E218" s="45">
        <f t="shared" si="44"/>
        <v>52</v>
      </c>
      <c r="F218" s="20">
        <f>+'34 SEMANA'!E13</f>
        <v>0</v>
      </c>
      <c r="G218" s="45">
        <f t="shared" si="45"/>
        <v>52</v>
      </c>
      <c r="H218" s="147">
        <f>'34 SEMANA'!U13</f>
        <v>0</v>
      </c>
      <c r="I218" s="149">
        <f t="shared" si="48"/>
        <v>0</v>
      </c>
      <c r="J218" s="42">
        <f t="shared" si="46"/>
        <v>52</v>
      </c>
    </row>
    <row r="219" spans="1:10" x14ac:dyDescent="0.25">
      <c r="A219" s="142">
        <f>+'34 SEMANA'!A14</f>
        <v>0</v>
      </c>
      <c r="B219" s="143">
        <f>+'34 SEMANA'!B14</f>
        <v>0</v>
      </c>
      <c r="C219" s="143">
        <f>+'34 SEMANA'!C14</f>
        <v>0</v>
      </c>
      <c r="D219" s="143">
        <f>+'34 SEMANA'!D14</f>
        <v>0</v>
      </c>
      <c r="E219" s="45">
        <f t="shared" si="44"/>
        <v>52</v>
      </c>
      <c r="F219" s="20">
        <f>+'34 SEMANA'!E14</f>
        <v>0</v>
      </c>
      <c r="G219" s="45">
        <f t="shared" si="45"/>
        <v>52</v>
      </c>
      <c r="H219" s="147">
        <f>'34 SEMANA'!U14</f>
        <v>0</v>
      </c>
      <c r="I219" s="149">
        <f t="shared" si="48"/>
        <v>0</v>
      </c>
      <c r="J219" s="42">
        <f t="shared" si="46"/>
        <v>52</v>
      </c>
    </row>
    <row r="220" spans="1:10" x14ac:dyDescent="0.25">
      <c r="A220" s="144">
        <f>'35 SEMANA '!A9</f>
        <v>0</v>
      </c>
      <c r="B220" s="145">
        <f>'35 SEMANA '!B9</f>
        <v>0</v>
      </c>
      <c r="C220" s="145">
        <f>'35 SEMANA '!C9</f>
        <v>0</v>
      </c>
      <c r="D220" s="145">
        <f>'35 SEMANA '!D9</f>
        <v>0</v>
      </c>
      <c r="E220" s="45">
        <f t="shared" si="44"/>
        <v>52</v>
      </c>
      <c r="F220" s="20">
        <f>+'35 SEMANA '!E9</f>
        <v>0</v>
      </c>
      <c r="G220" s="45">
        <f t="shared" si="45"/>
        <v>52</v>
      </c>
      <c r="H220" s="147">
        <f>+'35 SEMANA '!S9</f>
        <v>0</v>
      </c>
      <c r="I220" s="149">
        <f t="shared" si="48"/>
        <v>0</v>
      </c>
      <c r="J220" s="42">
        <f t="shared" si="46"/>
        <v>52</v>
      </c>
    </row>
    <row r="221" spans="1:10" x14ac:dyDescent="0.25">
      <c r="A221" s="144">
        <f>'35 SEMANA '!A10</f>
        <v>0</v>
      </c>
      <c r="B221" s="145">
        <f>'35 SEMANA '!B10</f>
        <v>0</v>
      </c>
      <c r="C221" s="145">
        <f>'35 SEMANA '!C10</f>
        <v>0</v>
      </c>
      <c r="D221" s="145">
        <f>'35 SEMANA '!D10</f>
        <v>0</v>
      </c>
      <c r="E221" s="45">
        <f t="shared" si="44"/>
        <v>52</v>
      </c>
      <c r="F221" s="20">
        <f>+'35 SEMANA '!E10</f>
        <v>0</v>
      </c>
      <c r="G221" s="45">
        <f t="shared" si="45"/>
        <v>52</v>
      </c>
      <c r="H221" s="147">
        <f>+'35 SEMANA '!S10</f>
        <v>0</v>
      </c>
      <c r="I221" s="149">
        <f t="shared" ref="I221:I226" si="49">+F221-H221</f>
        <v>0</v>
      </c>
      <c r="J221" s="42">
        <f t="shared" si="46"/>
        <v>52</v>
      </c>
    </row>
    <row r="222" spans="1:10" x14ac:dyDescent="0.25">
      <c r="A222" s="144">
        <f>'35 SEMANA '!A11</f>
        <v>0</v>
      </c>
      <c r="B222" s="145">
        <f>'35 SEMANA '!B11</f>
        <v>0</v>
      </c>
      <c r="C222" s="145">
        <f>'35 SEMANA '!C11</f>
        <v>0</v>
      </c>
      <c r="D222" s="145">
        <f>'35 SEMANA '!D11</f>
        <v>0</v>
      </c>
      <c r="E222" s="45">
        <f t="shared" si="44"/>
        <v>52</v>
      </c>
      <c r="F222" s="20">
        <f>+'35 SEMANA '!E11</f>
        <v>0</v>
      </c>
      <c r="G222" s="45">
        <f t="shared" si="45"/>
        <v>52</v>
      </c>
      <c r="H222" s="147">
        <f>+'35 SEMANA '!S11</f>
        <v>0</v>
      </c>
      <c r="I222" s="149">
        <f t="shared" si="49"/>
        <v>0</v>
      </c>
      <c r="J222" s="42">
        <f t="shared" si="46"/>
        <v>52</v>
      </c>
    </row>
    <row r="223" spans="1:10" x14ac:dyDescent="0.25">
      <c r="A223" s="144">
        <f>'35 SEMANA '!A12</f>
        <v>0</v>
      </c>
      <c r="B223" s="145">
        <f>'35 SEMANA '!B12</f>
        <v>0</v>
      </c>
      <c r="C223" s="145">
        <f>'35 SEMANA '!C12</f>
        <v>0</v>
      </c>
      <c r="D223" s="145">
        <f>'35 SEMANA '!D12</f>
        <v>0</v>
      </c>
      <c r="E223" s="45">
        <f t="shared" si="44"/>
        <v>52</v>
      </c>
      <c r="F223" s="20">
        <f>+'35 SEMANA '!E12</f>
        <v>0</v>
      </c>
      <c r="G223" s="45">
        <f t="shared" si="45"/>
        <v>52</v>
      </c>
      <c r="H223" s="147">
        <f>+'35 SEMANA '!S12</f>
        <v>0</v>
      </c>
      <c r="I223" s="149">
        <f t="shared" si="49"/>
        <v>0</v>
      </c>
      <c r="J223" s="42">
        <f t="shared" si="46"/>
        <v>52</v>
      </c>
    </row>
    <row r="224" spans="1:10" x14ac:dyDescent="0.25">
      <c r="A224" s="144">
        <f>'35 SEMANA '!A13</f>
        <v>0</v>
      </c>
      <c r="B224" s="145">
        <f>'35 SEMANA '!B13</f>
        <v>0</v>
      </c>
      <c r="C224" s="145">
        <f>'35 SEMANA '!C13</f>
        <v>0</v>
      </c>
      <c r="D224" s="145">
        <f>'35 SEMANA '!D13</f>
        <v>0</v>
      </c>
      <c r="E224" s="45">
        <f t="shared" si="44"/>
        <v>52</v>
      </c>
      <c r="F224" s="20">
        <f>+'35 SEMANA '!E13</f>
        <v>0</v>
      </c>
      <c r="G224" s="45">
        <f t="shared" si="45"/>
        <v>52</v>
      </c>
      <c r="H224" s="147">
        <f>+'35 SEMANA '!S13</f>
        <v>0</v>
      </c>
      <c r="I224" s="149">
        <f t="shared" si="49"/>
        <v>0</v>
      </c>
      <c r="J224" s="42">
        <f t="shared" si="46"/>
        <v>52</v>
      </c>
    </row>
    <row r="225" spans="1:10" x14ac:dyDescent="0.25">
      <c r="A225" s="144">
        <f>'35 SEMANA '!A14</f>
        <v>0</v>
      </c>
      <c r="B225" s="145">
        <f>'35 SEMANA '!B14</f>
        <v>0</v>
      </c>
      <c r="C225" s="145">
        <f>'35 SEMANA '!C14</f>
        <v>0</v>
      </c>
      <c r="D225" s="145">
        <f>'35 SEMANA '!D14</f>
        <v>0</v>
      </c>
      <c r="E225" s="45">
        <f t="shared" si="44"/>
        <v>52</v>
      </c>
      <c r="F225" s="20">
        <f>+'35 SEMANA '!E14</f>
        <v>0</v>
      </c>
      <c r="G225" s="45">
        <f t="shared" si="45"/>
        <v>52</v>
      </c>
      <c r="H225" s="147">
        <f>+'35 SEMANA '!S14</f>
        <v>0</v>
      </c>
      <c r="I225" s="149">
        <f t="shared" si="49"/>
        <v>0</v>
      </c>
      <c r="J225" s="42">
        <f t="shared" si="46"/>
        <v>52</v>
      </c>
    </row>
    <row r="226" spans="1:10" x14ac:dyDescent="0.25">
      <c r="A226" s="142">
        <f>'36 SEMANA '!A9</f>
        <v>0</v>
      </c>
      <c r="B226" s="143">
        <f>'36 SEMANA '!B9</f>
        <v>0</v>
      </c>
      <c r="C226" s="143">
        <f>'36 SEMANA '!C9</f>
        <v>0</v>
      </c>
      <c r="D226" s="143">
        <f>'36 SEMANA '!D9</f>
        <v>0</v>
      </c>
      <c r="E226" s="45">
        <f t="shared" si="44"/>
        <v>52</v>
      </c>
      <c r="F226" s="20">
        <f>+'36 SEMANA '!E9</f>
        <v>0</v>
      </c>
      <c r="G226" s="45">
        <f t="shared" si="45"/>
        <v>52</v>
      </c>
      <c r="H226" s="147">
        <f>+'36 SEMANA '!P9</f>
        <v>0</v>
      </c>
      <c r="I226" s="149">
        <f t="shared" si="49"/>
        <v>0</v>
      </c>
      <c r="J226" s="42">
        <f t="shared" si="46"/>
        <v>52</v>
      </c>
    </row>
    <row r="227" spans="1:10" x14ac:dyDescent="0.25">
      <c r="A227" s="142">
        <f>'36 SEMANA '!A10</f>
        <v>0</v>
      </c>
      <c r="B227" s="143">
        <f>'36 SEMANA '!B10</f>
        <v>0</v>
      </c>
      <c r="C227" s="143">
        <f>'36 SEMANA '!C10</f>
        <v>0</v>
      </c>
      <c r="D227" s="143">
        <f>'36 SEMANA '!D10</f>
        <v>0</v>
      </c>
      <c r="E227" s="45">
        <f t="shared" si="44"/>
        <v>52</v>
      </c>
      <c r="F227" s="20">
        <f>+'36 SEMANA '!E10</f>
        <v>0</v>
      </c>
      <c r="G227" s="45">
        <f t="shared" si="45"/>
        <v>52</v>
      </c>
      <c r="H227" s="147">
        <f>+'36 SEMANA '!P10</f>
        <v>0</v>
      </c>
      <c r="I227" s="149">
        <f t="shared" ref="I227:I232" si="50">+F227-H227</f>
        <v>0</v>
      </c>
      <c r="J227" s="42">
        <f t="shared" si="46"/>
        <v>52</v>
      </c>
    </row>
    <row r="228" spans="1:10" x14ac:dyDescent="0.25">
      <c r="A228" s="142">
        <f>'36 SEMANA '!A11</f>
        <v>0</v>
      </c>
      <c r="B228" s="143">
        <f>'36 SEMANA '!B11</f>
        <v>0</v>
      </c>
      <c r="C228" s="143">
        <f>'36 SEMANA '!C11</f>
        <v>0</v>
      </c>
      <c r="D228" s="143">
        <f>'36 SEMANA '!D11</f>
        <v>0</v>
      </c>
      <c r="E228" s="45">
        <f t="shared" si="44"/>
        <v>52</v>
      </c>
      <c r="F228" s="20">
        <f>+'36 SEMANA '!E11</f>
        <v>0</v>
      </c>
      <c r="G228" s="45">
        <f t="shared" si="45"/>
        <v>52</v>
      </c>
      <c r="H228" s="147">
        <f>+'36 SEMANA '!P11</f>
        <v>0</v>
      </c>
      <c r="I228" s="149">
        <f t="shared" si="50"/>
        <v>0</v>
      </c>
      <c r="J228" s="42">
        <f t="shared" si="46"/>
        <v>52</v>
      </c>
    </row>
    <row r="229" spans="1:10" x14ac:dyDescent="0.25">
      <c r="A229" s="142">
        <f>'36 SEMANA '!A12</f>
        <v>0</v>
      </c>
      <c r="B229" s="143">
        <f>'36 SEMANA '!B12</f>
        <v>0</v>
      </c>
      <c r="C229" s="143">
        <f>'36 SEMANA '!C12</f>
        <v>0</v>
      </c>
      <c r="D229" s="143">
        <f>'36 SEMANA '!D12</f>
        <v>0</v>
      </c>
      <c r="E229" s="45">
        <f t="shared" si="44"/>
        <v>52</v>
      </c>
      <c r="F229" s="20">
        <f>+'36 SEMANA '!E12</f>
        <v>0</v>
      </c>
      <c r="G229" s="45">
        <f t="shared" si="45"/>
        <v>52</v>
      </c>
      <c r="H229" s="147">
        <f>+'36 SEMANA '!P12</f>
        <v>0</v>
      </c>
      <c r="I229" s="149">
        <f t="shared" si="50"/>
        <v>0</v>
      </c>
      <c r="J229" s="42">
        <f t="shared" si="46"/>
        <v>52</v>
      </c>
    </row>
    <row r="230" spans="1:10" x14ac:dyDescent="0.25">
      <c r="A230" s="142">
        <f>'36 SEMANA '!A13</f>
        <v>0</v>
      </c>
      <c r="B230" s="143">
        <f>'36 SEMANA '!B13</f>
        <v>0</v>
      </c>
      <c r="C230" s="143">
        <f>'36 SEMANA '!C13</f>
        <v>0</v>
      </c>
      <c r="D230" s="143">
        <f>'36 SEMANA '!D13</f>
        <v>0</v>
      </c>
      <c r="E230" s="45">
        <f t="shared" si="44"/>
        <v>52</v>
      </c>
      <c r="F230" s="20">
        <f>+'36 SEMANA '!E13</f>
        <v>0</v>
      </c>
      <c r="G230" s="45">
        <f t="shared" si="45"/>
        <v>52</v>
      </c>
      <c r="H230" s="147">
        <f>+'36 SEMANA '!P13</f>
        <v>0</v>
      </c>
      <c r="I230" s="149">
        <f t="shared" si="50"/>
        <v>0</v>
      </c>
      <c r="J230" s="42">
        <f t="shared" si="46"/>
        <v>52</v>
      </c>
    </row>
    <row r="231" spans="1:10" x14ac:dyDescent="0.25">
      <c r="A231" s="142">
        <f>'36 SEMANA '!A14</f>
        <v>0</v>
      </c>
      <c r="B231" s="143">
        <f>'36 SEMANA '!B14</f>
        <v>0</v>
      </c>
      <c r="C231" s="143">
        <f>'36 SEMANA '!C14</f>
        <v>0</v>
      </c>
      <c r="D231" s="143">
        <f>'36 SEMANA '!D14</f>
        <v>0</v>
      </c>
      <c r="E231" s="45">
        <f t="shared" si="44"/>
        <v>52</v>
      </c>
      <c r="F231" s="20">
        <f>+'36 SEMANA '!E14</f>
        <v>0</v>
      </c>
      <c r="G231" s="45">
        <f t="shared" si="45"/>
        <v>52</v>
      </c>
      <c r="H231" s="147">
        <f>+'36 SEMANA '!P14</f>
        <v>0</v>
      </c>
      <c r="I231" s="149">
        <f t="shared" si="50"/>
        <v>0</v>
      </c>
      <c r="J231" s="42">
        <f t="shared" si="46"/>
        <v>52</v>
      </c>
    </row>
    <row r="232" spans="1:10" x14ac:dyDescent="0.25">
      <c r="A232" s="144">
        <f>'37 SEMANA'!A9</f>
        <v>0</v>
      </c>
      <c r="B232" s="145">
        <f>'37 SEMANA'!B9</f>
        <v>0</v>
      </c>
      <c r="C232" s="145">
        <f>'37 SEMANA'!C9</f>
        <v>0</v>
      </c>
      <c r="D232" s="145">
        <f>'37 SEMANA'!D9</f>
        <v>0</v>
      </c>
      <c r="E232" s="45">
        <f t="shared" si="44"/>
        <v>52</v>
      </c>
      <c r="F232" s="20">
        <f>+'37 SEMANA'!E9</f>
        <v>0</v>
      </c>
      <c r="G232" s="45">
        <f t="shared" si="45"/>
        <v>52</v>
      </c>
      <c r="H232" s="147">
        <f>+'37 SEMANA'!Q9</f>
        <v>0</v>
      </c>
      <c r="I232" s="149">
        <f t="shared" si="50"/>
        <v>0</v>
      </c>
      <c r="J232" s="42">
        <f t="shared" si="46"/>
        <v>52</v>
      </c>
    </row>
    <row r="233" spans="1:10" x14ac:dyDescent="0.25">
      <c r="A233" s="144">
        <f>'37 SEMANA'!A10</f>
        <v>0</v>
      </c>
      <c r="B233" s="145">
        <f>'37 SEMANA'!B10</f>
        <v>0</v>
      </c>
      <c r="C233" s="145">
        <f>'37 SEMANA'!C10</f>
        <v>0</v>
      </c>
      <c r="D233" s="145">
        <f>'37 SEMANA'!D10</f>
        <v>0</v>
      </c>
      <c r="E233" s="45">
        <f t="shared" si="44"/>
        <v>52</v>
      </c>
      <c r="F233" s="20">
        <f>+'37 SEMANA'!E10</f>
        <v>0</v>
      </c>
      <c r="G233" s="45">
        <f t="shared" si="45"/>
        <v>52</v>
      </c>
      <c r="H233" s="147">
        <f>+'37 SEMANA'!Q10</f>
        <v>0</v>
      </c>
      <c r="I233" s="149">
        <f t="shared" ref="I233:I238" si="51">+F233-H233</f>
        <v>0</v>
      </c>
      <c r="J233" s="42">
        <f t="shared" si="46"/>
        <v>52</v>
      </c>
    </row>
    <row r="234" spans="1:10" x14ac:dyDescent="0.25">
      <c r="A234" s="144">
        <f>'37 SEMANA'!A11</f>
        <v>0</v>
      </c>
      <c r="B234" s="145">
        <f>'37 SEMANA'!B11</f>
        <v>0</v>
      </c>
      <c r="C234" s="145">
        <f>'37 SEMANA'!C11</f>
        <v>0</v>
      </c>
      <c r="D234" s="145">
        <f>'37 SEMANA'!D11</f>
        <v>0</v>
      </c>
      <c r="E234" s="45">
        <f t="shared" si="44"/>
        <v>52</v>
      </c>
      <c r="F234" s="20">
        <f>+'37 SEMANA'!E11</f>
        <v>0</v>
      </c>
      <c r="G234" s="45">
        <f t="shared" si="45"/>
        <v>52</v>
      </c>
      <c r="H234" s="147">
        <f>+'37 SEMANA'!Q11</f>
        <v>0</v>
      </c>
      <c r="I234" s="149">
        <f t="shared" si="51"/>
        <v>0</v>
      </c>
      <c r="J234" s="42">
        <f t="shared" si="46"/>
        <v>52</v>
      </c>
    </row>
    <row r="235" spans="1:10" x14ac:dyDescent="0.25">
      <c r="A235" s="144">
        <f>'37 SEMANA'!A12</f>
        <v>0</v>
      </c>
      <c r="B235" s="145">
        <f>'37 SEMANA'!B12</f>
        <v>0</v>
      </c>
      <c r="C235" s="145">
        <f>'37 SEMANA'!C12</f>
        <v>0</v>
      </c>
      <c r="D235" s="145">
        <f>'37 SEMANA'!D12</f>
        <v>0</v>
      </c>
      <c r="E235" s="45">
        <f t="shared" si="44"/>
        <v>52</v>
      </c>
      <c r="F235" s="20">
        <f>+'37 SEMANA'!E12</f>
        <v>0</v>
      </c>
      <c r="G235" s="45">
        <f t="shared" si="45"/>
        <v>52</v>
      </c>
      <c r="H235" s="147">
        <f>+'37 SEMANA'!Q12</f>
        <v>0</v>
      </c>
      <c r="I235" s="149">
        <f t="shared" si="51"/>
        <v>0</v>
      </c>
      <c r="J235" s="42">
        <f t="shared" si="46"/>
        <v>52</v>
      </c>
    </row>
    <row r="236" spans="1:10" x14ac:dyDescent="0.25">
      <c r="A236" s="144">
        <f>'37 SEMANA'!A13</f>
        <v>0</v>
      </c>
      <c r="B236" s="145">
        <f>'37 SEMANA'!B13</f>
        <v>0</v>
      </c>
      <c r="C236" s="145">
        <f>'37 SEMANA'!C13</f>
        <v>0</v>
      </c>
      <c r="D236" s="145">
        <f>'37 SEMANA'!D13</f>
        <v>0</v>
      </c>
      <c r="E236" s="45">
        <f t="shared" si="44"/>
        <v>52</v>
      </c>
      <c r="F236" s="20">
        <f>+'37 SEMANA'!E13</f>
        <v>0</v>
      </c>
      <c r="G236" s="45">
        <f t="shared" si="45"/>
        <v>52</v>
      </c>
      <c r="H236" s="147">
        <f>+'37 SEMANA'!Q13</f>
        <v>0</v>
      </c>
      <c r="I236" s="149">
        <f t="shared" si="51"/>
        <v>0</v>
      </c>
      <c r="J236" s="42">
        <f t="shared" si="46"/>
        <v>52</v>
      </c>
    </row>
    <row r="237" spans="1:10" x14ac:dyDescent="0.25">
      <c r="A237" s="144">
        <f>'37 SEMANA'!A14</f>
        <v>0</v>
      </c>
      <c r="B237" s="145">
        <f>'37 SEMANA'!B14</f>
        <v>0</v>
      </c>
      <c r="C237" s="145">
        <f>'37 SEMANA'!C14</f>
        <v>0</v>
      </c>
      <c r="D237" s="145">
        <f>'37 SEMANA'!D14</f>
        <v>0</v>
      </c>
      <c r="E237" s="45">
        <f t="shared" si="44"/>
        <v>52</v>
      </c>
      <c r="F237" s="20">
        <f>+'37 SEMANA'!E14</f>
        <v>0</v>
      </c>
      <c r="G237" s="45">
        <f t="shared" si="45"/>
        <v>52</v>
      </c>
      <c r="H237" s="147">
        <f>+'37 SEMANA'!Q14</f>
        <v>0</v>
      </c>
      <c r="I237" s="149">
        <f t="shared" si="51"/>
        <v>0</v>
      </c>
      <c r="J237" s="42">
        <f t="shared" si="46"/>
        <v>52</v>
      </c>
    </row>
    <row r="238" spans="1:10" x14ac:dyDescent="0.25">
      <c r="A238" s="142">
        <f>'38 SEMANA'!A9</f>
        <v>0</v>
      </c>
      <c r="B238" s="143">
        <f>'38 SEMANA'!B9</f>
        <v>0</v>
      </c>
      <c r="C238" s="143">
        <f>'38 SEMANA'!C9</f>
        <v>0</v>
      </c>
      <c r="D238" s="143">
        <f>'38 SEMANA'!D9</f>
        <v>0</v>
      </c>
      <c r="E238" s="45">
        <f t="shared" si="44"/>
        <v>52</v>
      </c>
      <c r="F238" s="20">
        <f>+'38 SEMANA'!E9</f>
        <v>0</v>
      </c>
      <c r="G238" s="45">
        <f t="shared" si="45"/>
        <v>52</v>
      </c>
      <c r="H238" s="147">
        <f>+'38 SEMANA'!Q9</f>
        <v>0</v>
      </c>
      <c r="I238" s="149">
        <f t="shared" si="51"/>
        <v>0</v>
      </c>
      <c r="J238" s="42">
        <f t="shared" si="46"/>
        <v>52</v>
      </c>
    </row>
    <row r="239" spans="1:10" x14ac:dyDescent="0.25">
      <c r="A239" s="142">
        <f>'38 SEMANA'!A10</f>
        <v>0</v>
      </c>
      <c r="B239" s="143">
        <f>'38 SEMANA'!B10</f>
        <v>0</v>
      </c>
      <c r="C239" s="143">
        <f>'38 SEMANA'!C10</f>
        <v>0</v>
      </c>
      <c r="D239" s="143">
        <f>'38 SEMANA'!D10</f>
        <v>0</v>
      </c>
      <c r="E239" s="45">
        <f t="shared" si="44"/>
        <v>52</v>
      </c>
      <c r="F239" s="20">
        <f>+'38 SEMANA'!E10</f>
        <v>0</v>
      </c>
      <c r="G239" s="45">
        <f t="shared" si="45"/>
        <v>52</v>
      </c>
      <c r="H239" s="147">
        <f>+'38 SEMANA'!Q10</f>
        <v>0</v>
      </c>
      <c r="I239" s="149">
        <f t="shared" ref="I239:I244" si="52">+F239-H239</f>
        <v>0</v>
      </c>
      <c r="J239" s="42">
        <f t="shared" si="46"/>
        <v>52</v>
      </c>
    </row>
    <row r="240" spans="1:10" x14ac:dyDescent="0.25">
      <c r="A240" s="142">
        <f>'38 SEMANA'!A11</f>
        <v>0</v>
      </c>
      <c r="B240" s="143">
        <f>'38 SEMANA'!B11</f>
        <v>0</v>
      </c>
      <c r="C240" s="143">
        <f>'38 SEMANA'!C11</f>
        <v>0</v>
      </c>
      <c r="D240" s="143">
        <f>'38 SEMANA'!D11</f>
        <v>0</v>
      </c>
      <c r="E240" s="45">
        <f t="shared" si="44"/>
        <v>52</v>
      </c>
      <c r="F240" s="20">
        <f>+'38 SEMANA'!E11</f>
        <v>0</v>
      </c>
      <c r="G240" s="45">
        <f t="shared" si="45"/>
        <v>52</v>
      </c>
      <c r="H240" s="147">
        <f>+'38 SEMANA'!Q11</f>
        <v>0</v>
      </c>
      <c r="I240" s="149">
        <f t="shared" si="52"/>
        <v>0</v>
      </c>
      <c r="J240" s="42">
        <f t="shared" si="46"/>
        <v>52</v>
      </c>
    </row>
    <row r="241" spans="1:10" x14ac:dyDescent="0.25">
      <c r="A241" s="142">
        <f>'38 SEMANA'!A12</f>
        <v>0</v>
      </c>
      <c r="B241" s="143">
        <f>'38 SEMANA'!B12</f>
        <v>0</v>
      </c>
      <c r="C241" s="143">
        <f>'38 SEMANA'!C12</f>
        <v>0</v>
      </c>
      <c r="D241" s="143">
        <f>'38 SEMANA'!D12</f>
        <v>0</v>
      </c>
      <c r="E241" s="45">
        <f t="shared" si="44"/>
        <v>52</v>
      </c>
      <c r="F241" s="20">
        <f>+'38 SEMANA'!E12</f>
        <v>0</v>
      </c>
      <c r="G241" s="45">
        <f t="shared" si="45"/>
        <v>52</v>
      </c>
      <c r="H241" s="147">
        <f>+'38 SEMANA'!Q12</f>
        <v>0</v>
      </c>
      <c r="I241" s="149">
        <f t="shared" si="52"/>
        <v>0</v>
      </c>
      <c r="J241" s="42">
        <f t="shared" si="46"/>
        <v>52</v>
      </c>
    </row>
    <row r="242" spans="1:10" x14ac:dyDescent="0.25">
      <c r="A242" s="142">
        <f>'38 SEMANA'!A13</f>
        <v>0</v>
      </c>
      <c r="B242" s="143">
        <f>'38 SEMANA'!B13</f>
        <v>0</v>
      </c>
      <c r="C242" s="143">
        <f>'38 SEMANA'!C13</f>
        <v>0</v>
      </c>
      <c r="D242" s="143">
        <f>'38 SEMANA'!D13</f>
        <v>0</v>
      </c>
      <c r="E242" s="45">
        <f t="shared" si="44"/>
        <v>52</v>
      </c>
      <c r="F242" s="20">
        <f>+'38 SEMANA'!E13</f>
        <v>0</v>
      </c>
      <c r="G242" s="45">
        <f t="shared" si="45"/>
        <v>52</v>
      </c>
      <c r="H242" s="147">
        <f>+'38 SEMANA'!Q13</f>
        <v>0</v>
      </c>
      <c r="I242" s="149">
        <f t="shared" si="52"/>
        <v>0</v>
      </c>
      <c r="J242" s="42">
        <f t="shared" si="46"/>
        <v>52</v>
      </c>
    </row>
    <row r="243" spans="1:10" x14ac:dyDescent="0.25">
      <c r="A243" s="142">
        <f>'38 SEMANA'!A14</f>
        <v>0</v>
      </c>
      <c r="B243" s="143">
        <f>'38 SEMANA'!B14</f>
        <v>0</v>
      </c>
      <c r="C243" s="143">
        <f>'38 SEMANA'!C14</f>
        <v>0</v>
      </c>
      <c r="D243" s="143">
        <f>'38 SEMANA'!D14</f>
        <v>0</v>
      </c>
      <c r="E243" s="45">
        <f t="shared" si="44"/>
        <v>52</v>
      </c>
      <c r="F243" s="20">
        <f>+'38 SEMANA'!E14</f>
        <v>0</v>
      </c>
      <c r="G243" s="45">
        <f t="shared" si="45"/>
        <v>52</v>
      </c>
      <c r="H243" s="147">
        <f>+'38 SEMANA'!Q14</f>
        <v>0</v>
      </c>
      <c r="I243" s="149">
        <f t="shared" si="52"/>
        <v>0</v>
      </c>
      <c r="J243" s="42">
        <f t="shared" si="46"/>
        <v>52</v>
      </c>
    </row>
    <row r="244" spans="1:10" x14ac:dyDescent="0.25">
      <c r="A244" s="144">
        <f>'39 SEMANA'!A9</f>
        <v>0</v>
      </c>
      <c r="B244" s="145">
        <f>'39 SEMANA'!B9</f>
        <v>0</v>
      </c>
      <c r="C244" s="145">
        <f>'39 SEMANA'!C9</f>
        <v>0</v>
      </c>
      <c r="D244" s="145">
        <f>'39 SEMANA'!D9</f>
        <v>0</v>
      </c>
      <c r="E244" s="45">
        <f t="shared" si="44"/>
        <v>52</v>
      </c>
      <c r="F244" s="20">
        <f>+'39 SEMANA'!E9</f>
        <v>0</v>
      </c>
      <c r="G244" s="45">
        <f t="shared" si="45"/>
        <v>52</v>
      </c>
      <c r="H244" s="147">
        <f>+'39 SEMANA'!Q9</f>
        <v>0</v>
      </c>
      <c r="I244" s="149">
        <f t="shared" si="52"/>
        <v>0</v>
      </c>
      <c r="J244" s="42">
        <f t="shared" si="46"/>
        <v>52</v>
      </c>
    </row>
    <row r="245" spans="1:10" x14ac:dyDescent="0.25">
      <c r="A245" s="144">
        <f>'39 SEMANA'!A10</f>
        <v>0</v>
      </c>
      <c r="B245" s="145">
        <f>'39 SEMANA'!B10</f>
        <v>0</v>
      </c>
      <c r="C245" s="145">
        <f>'39 SEMANA'!C10</f>
        <v>0</v>
      </c>
      <c r="D245" s="145">
        <f>'39 SEMANA'!D10</f>
        <v>0</v>
      </c>
      <c r="E245" s="45">
        <f t="shared" si="44"/>
        <v>52</v>
      </c>
      <c r="F245" s="20">
        <f>+'39 SEMANA'!E10</f>
        <v>0</v>
      </c>
      <c r="G245" s="45">
        <f t="shared" si="45"/>
        <v>52</v>
      </c>
      <c r="H245" s="147">
        <f>+'39 SEMANA'!Q10</f>
        <v>0</v>
      </c>
      <c r="I245" s="149">
        <f t="shared" ref="I245:I250" si="53">+F245-H245</f>
        <v>0</v>
      </c>
      <c r="J245" s="42">
        <f t="shared" si="46"/>
        <v>52</v>
      </c>
    </row>
    <row r="246" spans="1:10" x14ac:dyDescent="0.25">
      <c r="A246" s="144">
        <f>'39 SEMANA'!A11</f>
        <v>0</v>
      </c>
      <c r="B246" s="145">
        <f>'39 SEMANA'!B11</f>
        <v>0</v>
      </c>
      <c r="C246" s="145">
        <f>'39 SEMANA'!C11</f>
        <v>0</v>
      </c>
      <c r="D246" s="145">
        <f>'39 SEMANA'!D11</f>
        <v>0</v>
      </c>
      <c r="E246" s="45">
        <f t="shared" si="44"/>
        <v>52</v>
      </c>
      <c r="F246" s="20">
        <f>+'39 SEMANA'!E11</f>
        <v>0</v>
      </c>
      <c r="G246" s="45">
        <f t="shared" si="45"/>
        <v>52</v>
      </c>
      <c r="H246" s="147">
        <f>+'39 SEMANA'!Q11</f>
        <v>0</v>
      </c>
      <c r="I246" s="149">
        <f t="shared" si="53"/>
        <v>0</v>
      </c>
      <c r="J246" s="42">
        <f t="shared" si="46"/>
        <v>52</v>
      </c>
    </row>
    <row r="247" spans="1:10" x14ac:dyDescent="0.25">
      <c r="A247" s="144">
        <f>'39 SEMANA'!A12</f>
        <v>0</v>
      </c>
      <c r="B247" s="145">
        <f>'39 SEMANA'!B12</f>
        <v>0</v>
      </c>
      <c r="C247" s="145">
        <f>'39 SEMANA'!C12</f>
        <v>0</v>
      </c>
      <c r="D247" s="145">
        <f>'39 SEMANA'!D12</f>
        <v>0</v>
      </c>
      <c r="E247" s="45">
        <f t="shared" si="44"/>
        <v>52</v>
      </c>
      <c r="F247" s="20">
        <f>+'39 SEMANA'!E12</f>
        <v>0</v>
      </c>
      <c r="G247" s="45">
        <f t="shared" si="45"/>
        <v>52</v>
      </c>
      <c r="H247" s="147">
        <f>+'39 SEMANA'!Q12</f>
        <v>0</v>
      </c>
      <c r="I247" s="149">
        <f t="shared" si="53"/>
        <v>0</v>
      </c>
      <c r="J247" s="42">
        <f t="shared" si="46"/>
        <v>52</v>
      </c>
    </row>
    <row r="248" spans="1:10" x14ac:dyDescent="0.25">
      <c r="A248" s="144">
        <f>'39 SEMANA'!A13</f>
        <v>0</v>
      </c>
      <c r="B248" s="145">
        <f>'39 SEMANA'!B13</f>
        <v>0</v>
      </c>
      <c r="C248" s="145">
        <f>'39 SEMANA'!C13</f>
        <v>0</v>
      </c>
      <c r="D248" s="145">
        <f>'39 SEMANA'!D13</f>
        <v>0</v>
      </c>
      <c r="E248" s="45">
        <f t="shared" si="44"/>
        <v>52</v>
      </c>
      <c r="F248" s="20">
        <f>+'39 SEMANA'!E13</f>
        <v>0</v>
      </c>
      <c r="G248" s="45">
        <f t="shared" si="45"/>
        <v>52</v>
      </c>
      <c r="H248" s="147">
        <f>+'39 SEMANA'!Q13</f>
        <v>0</v>
      </c>
      <c r="I248" s="149">
        <f t="shared" si="53"/>
        <v>0</v>
      </c>
      <c r="J248" s="42">
        <f t="shared" si="46"/>
        <v>52</v>
      </c>
    </row>
    <row r="249" spans="1:10" x14ac:dyDescent="0.25">
      <c r="A249" s="144">
        <f>'39 SEMANA'!A14</f>
        <v>0</v>
      </c>
      <c r="B249" s="145">
        <f>'39 SEMANA'!B14</f>
        <v>0</v>
      </c>
      <c r="C249" s="145">
        <f>'39 SEMANA'!C14</f>
        <v>0</v>
      </c>
      <c r="D249" s="145">
        <f>'39 SEMANA'!D14</f>
        <v>0</v>
      </c>
      <c r="E249" s="45">
        <f t="shared" si="44"/>
        <v>52</v>
      </c>
      <c r="F249" s="20">
        <f>+'39 SEMANA'!E14</f>
        <v>0</v>
      </c>
      <c r="G249" s="45">
        <f t="shared" si="45"/>
        <v>52</v>
      </c>
      <c r="H249" s="147">
        <f>+'39 SEMANA'!Q14</f>
        <v>0</v>
      </c>
      <c r="I249" s="149">
        <f t="shared" si="53"/>
        <v>0</v>
      </c>
      <c r="J249" s="42">
        <f t="shared" si="46"/>
        <v>52</v>
      </c>
    </row>
    <row r="250" spans="1:10" x14ac:dyDescent="0.25">
      <c r="A250" s="142">
        <f>'40 SEMANA'!A9</f>
        <v>0</v>
      </c>
      <c r="B250" s="143">
        <f>'40 SEMANA'!B9</f>
        <v>0</v>
      </c>
      <c r="C250" s="143">
        <f>'40 SEMANA'!C9</f>
        <v>0</v>
      </c>
      <c r="D250" s="143">
        <f>'40 SEMANA'!D9</f>
        <v>0</v>
      </c>
      <c r="E250" s="45">
        <f t="shared" si="44"/>
        <v>52</v>
      </c>
      <c r="F250" s="20">
        <f>+'40 SEMANA'!E9</f>
        <v>0</v>
      </c>
      <c r="G250" s="45">
        <f t="shared" si="45"/>
        <v>52</v>
      </c>
      <c r="H250" s="147">
        <f>+'40 SEMANA'!P9</f>
        <v>0</v>
      </c>
      <c r="I250" s="149">
        <f t="shared" si="53"/>
        <v>0</v>
      </c>
      <c r="J250" s="42">
        <f t="shared" si="46"/>
        <v>52</v>
      </c>
    </row>
    <row r="251" spans="1:10" x14ac:dyDescent="0.25">
      <c r="A251" s="142">
        <f>'40 SEMANA'!A10</f>
        <v>0</v>
      </c>
      <c r="B251" s="143">
        <f>'40 SEMANA'!B10</f>
        <v>0</v>
      </c>
      <c r="C251" s="143">
        <f>'40 SEMANA'!C10</f>
        <v>0</v>
      </c>
      <c r="D251" s="143">
        <f>'40 SEMANA'!D10</f>
        <v>0</v>
      </c>
      <c r="E251" s="45">
        <f t="shared" si="44"/>
        <v>52</v>
      </c>
      <c r="F251" s="20">
        <f>+'40 SEMANA'!E10</f>
        <v>0</v>
      </c>
      <c r="G251" s="45">
        <f t="shared" si="45"/>
        <v>52</v>
      </c>
      <c r="H251" s="147">
        <f>+'40 SEMANA'!P10</f>
        <v>0</v>
      </c>
      <c r="I251" s="149">
        <f t="shared" ref="I251:I256" si="54">+F251-H251</f>
        <v>0</v>
      </c>
      <c r="J251" s="42">
        <f t="shared" si="46"/>
        <v>52</v>
      </c>
    </row>
    <row r="252" spans="1:10" x14ac:dyDescent="0.25">
      <c r="A252" s="142">
        <f>'40 SEMANA'!A11</f>
        <v>0</v>
      </c>
      <c r="B252" s="143">
        <f>'40 SEMANA'!B11</f>
        <v>0</v>
      </c>
      <c r="C252" s="143">
        <f>'40 SEMANA'!C11</f>
        <v>0</v>
      </c>
      <c r="D252" s="143">
        <f>'40 SEMANA'!D11</f>
        <v>0</v>
      </c>
      <c r="E252" s="45">
        <f t="shared" si="44"/>
        <v>52</v>
      </c>
      <c r="F252" s="20">
        <f>+'40 SEMANA'!E11</f>
        <v>0</v>
      </c>
      <c r="G252" s="45">
        <f t="shared" si="45"/>
        <v>52</v>
      </c>
      <c r="H252" s="147">
        <f>+'40 SEMANA'!P11</f>
        <v>0</v>
      </c>
      <c r="I252" s="149">
        <f t="shared" si="54"/>
        <v>0</v>
      </c>
      <c r="J252" s="42">
        <f t="shared" si="46"/>
        <v>52</v>
      </c>
    </row>
    <row r="253" spans="1:10" x14ac:dyDescent="0.25">
      <c r="A253" s="142">
        <f>'40 SEMANA'!A12</f>
        <v>0</v>
      </c>
      <c r="B253" s="143">
        <f>'40 SEMANA'!B12</f>
        <v>0</v>
      </c>
      <c r="C253" s="143">
        <f>'40 SEMANA'!C12</f>
        <v>0</v>
      </c>
      <c r="D253" s="143">
        <f>'40 SEMANA'!D12</f>
        <v>0</v>
      </c>
      <c r="E253" s="45">
        <f t="shared" si="44"/>
        <v>52</v>
      </c>
      <c r="F253" s="20">
        <f>+'40 SEMANA'!E12</f>
        <v>0</v>
      </c>
      <c r="G253" s="45">
        <f t="shared" si="45"/>
        <v>52</v>
      </c>
      <c r="H253" s="147">
        <f>+'40 SEMANA'!P12</f>
        <v>0</v>
      </c>
      <c r="I253" s="149">
        <f t="shared" si="54"/>
        <v>0</v>
      </c>
      <c r="J253" s="42">
        <f t="shared" si="46"/>
        <v>52</v>
      </c>
    </row>
    <row r="254" spans="1:10" x14ac:dyDescent="0.25">
      <c r="A254" s="142">
        <f>'40 SEMANA'!A13</f>
        <v>0</v>
      </c>
      <c r="B254" s="143">
        <f>'40 SEMANA'!B13</f>
        <v>0</v>
      </c>
      <c r="C254" s="143">
        <f>'40 SEMANA'!C13</f>
        <v>0</v>
      </c>
      <c r="D254" s="143">
        <f>'40 SEMANA'!D13</f>
        <v>0</v>
      </c>
      <c r="E254" s="45">
        <f t="shared" si="44"/>
        <v>52</v>
      </c>
      <c r="F254" s="20">
        <f>+'40 SEMANA'!E13</f>
        <v>0</v>
      </c>
      <c r="G254" s="45">
        <f t="shared" si="45"/>
        <v>52</v>
      </c>
      <c r="H254" s="147">
        <f>+'40 SEMANA'!P13</f>
        <v>0</v>
      </c>
      <c r="I254" s="149">
        <f t="shared" si="54"/>
        <v>0</v>
      </c>
      <c r="J254" s="42">
        <f t="shared" si="46"/>
        <v>52</v>
      </c>
    </row>
    <row r="255" spans="1:10" x14ac:dyDescent="0.25">
      <c r="A255" s="142">
        <f>'40 SEMANA'!A14</f>
        <v>0</v>
      </c>
      <c r="B255" s="143">
        <f>'40 SEMANA'!B14</f>
        <v>0</v>
      </c>
      <c r="C255" s="143">
        <f>'40 SEMANA'!C14</f>
        <v>0</v>
      </c>
      <c r="D255" s="143">
        <f>'40 SEMANA'!D14</f>
        <v>0</v>
      </c>
      <c r="E255" s="45">
        <f t="shared" si="44"/>
        <v>52</v>
      </c>
      <c r="F255" s="20">
        <f>+'40 SEMANA'!E14</f>
        <v>0</v>
      </c>
      <c r="G255" s="45">
        <f t="shared" si="45"/>
        <v>52</v>
      </c>
      <c r="H255" s="147">
        <f>+'40 SEMANA'!P14</f>
        <v>0</v>
      </c>
      <c r="I255" s="149">
        <f t="shared" si="54"/>
        <v>0</v>
      </c>
      <c r="J255" s="42">
        <f t="shared" si="46"/>
        <v>52</v>
      </c>
    </row>
    <row r="256" spans="1:10" x14ac:dyDescent="0.25">
      <c r="A256" s="144">
        <f>'41 SEMANA'!A9</f>
        <v>0</v>
      </c>
      <c r="B256" s="145">
        <f>'41 SEMANA'!B9</f>
        <v>0</v>
      </c>
      <c r="C256" s="145">
        <f>'41 SEMANA'!C9</f>
        <v>0</v>
      </c>
      <c r="D256" s="145">
        <f>'41 SEMANA'!D9</f>
        <v>0</v>
      </c>
      <c r="E256" s="45">
        <f t="shared" si="44"/>
        <v>52</v>
      </c>
      <c r="F256" s="20">
        <f>+'41 SEMANA'!E9</f>
        <v>0</v>
      </c>
      <c r="G256" s="45">
        <f t="shared" si="45"/>
        <v>52</v>
      </c>
      <c r="H256" s="147">
        <f>+'41 SEMANA'!P9</f>
        <v>0</v>
      </c>
      <c r="I256" s="149">
        <f t="shared" si="54"/>
        <v>0</v>
      </c>
      <c r="J256" s="42">
        <f t="shared" si="46"/>
        <v>52</v>
      </c>
    </row>
    <row r="257" spans="1:10" x14ac:dyDescent="0.25">
      <c r="A257" s="144">
        <f>'41 SEMANA'!A10</f>
        <v>0</v>
      </c>
      <c r="B257" s="145">
        <f>'41 SEMANA'!B10</f>
        <v>0</v>
      </c>
      <c r="C257" s="145">
        <f>'41 SEMANA'!C10</f>
        <v>0</v>
      </c>
      <c r="D257" s="145">
        <f>'41 SEMANA'!D10</f>
        <v>0</v>
      </c>
      <c r="E257" s="45">
        <f t="shared" si="44"/>
        <v>52</v>
      </c>
      <c r="F257" s="20">
        <f>+'41 SEMANA'!E10</f>
        <v>0</v>
      </c>
      <c r="G257" s="45">
        <f t="shared" si="45"/>
        <v>52</v>
      </c>
      <c r="H257" s="147">
        <f>+'41 SEMANA'!P10</f>
        <v>0</v>
      </c>
      <c r="I257" s="149">
        <f t="shared" ref="I257:I262" si="55">+F257-H257</f>
        <v>0</v>
      </c>
      <c r="J257" s="42">
        <f t="shared" si="46"/>
        <v>52</v>
      </c>
    </row>
    <row r="258" spans="1:10" x14ac:dyDescent="0.25">
      <c r="A258" s="144">
        <f>'41 SEMANA'!A11</f>
        <v>0</v>
      </c>
      <c r="B258" s="145">
        <f>'41 SEMANA'!B11</f>
        <v>0</v>
      </c>
      <c r="C258" s="145">
        <f>'41 SEMANA'!C11</f>
        <v>0</v>
      </c>
      <c r="D258" s="145">
        <f>'41 SEMANA'!D11</f>
        <v>0</v>
      </c>
      <c r="E258" s="45">
        <f t="shared" si="44"/>
        <v>52</v>
      </c>
      <c r="F258" s="20">
        <f>+'41 SEMANA'!E11</f>
        <v>0</v>
      </c>
      <c r="G258" s="45">
        <f t="shared" si="45"/>
        <v>52</v>
      </c>
      <c r="H258" s="147">
        <f>+'41 SEMANA'!P11</f>
        <v>0</v>
      </c>
      <c r="I258" s="149">
        <f t="shared" si="55"/>
        <v>0</v>
      </c>
      <c r="J258" s="42">
        <f t="shared" si="46"/>
        <v>52</v>
      </c>
    </row>
    <row r="259" spans="1:10" x14ac:dyDescent="0.25">
      <c r="A259" s="144">
        <f>'41 SEMANA'!A12</f>
        <v>0</v>
      </c>
      <c r="B259" s="145">
        <f>'41 SEMANA'!B12</f>
        <v>0</v>
      </c>
      <c r="C259" s="145">
        <f>'41 SEMANA'!C12</f>
        <v>0</v>
      </c>
      <c r="D259" s="145">
        <f>'41 SEMANA'!D12</f>
        <v>0</v>
      </c>
      <c r="E259" s="45">
        <f t="shared" si="44"/>
        <v>52</v>
      </c>
      <c r="F259" s="20">
        <f>+'41 SEMANA'!E12</f>
        <v>0</v>
      </c>
      <c r="G259" s="45">
        <f t="shared" si="45"/>
        <v>52</v>
      </c>
      <c r="H259" s="147">
        <f>+'41 SEMANA'!P12</f>
        <v>0</v>
      </c>
      <c r="I259" s="149">
        <f t="shared" si="55"/>
        <v>0</v>
      </c>
      <c r="J259" s="42">
        <f t="shared" si="46"/>
        <v>52</v>
      </c>
    </row>
    <row r="260" spans="1:10" x14ac:dyDescent="0.25">
      <c r="A260" s="144">
        <f>'41 SEMANA'!A13</f>
        <v>0</v>
      </c>
      <c r="B260" s="145">
        <f>'41 SEMANA'!B13</f>
        <v>0</v>
      </c>
      <c r="C260" s="145">
        <f>'41 SEMANA'!C13</f>
        <v>0</v>
      </c>
      <c r="D260" s="145">
        <f>'41 SEMANA'!D13</f>
        <v>0</v>
      </c>
      <c r="E260" s="45">
        <f t="shared" si="44"/>
        <v>52</v>
      </c>
      <c r="F260" s="20">
        <f>+'41 SEMANA'!E13</f>
        <v>0</v>
      </c>
      <c r="G260" s="45">
        <f t="shared" si="45"/>
        <v>52</v>
      </c>
      <c r="H260" s="147">
        <f>+'41 SEMANA'!P13</f>
        <v>0</v>
      </c>
      <c r="I260" s="149">
        <f t="shared" si="55"/>
        <v>0</v>
      </c>
      <c r="J260" s="42">
        <f t="shared" si="46"/>
        <v>52</v>
      </c>
    </row>
    <row r="261" spans="1:10" x14ac:dyDescent="0.25">
      <c r="A261" s="144">
        <f>'41 SEMANA'!A14</f>
        <v>0</v>
      </c>
      <c r="B261" s="145">
        <f>'41 SEMANA'!B14</f>
        <v>0</v>
      </c>
      <c r="C261" s="145">
        <f>'41 SEMANA'!C14</f>
        <v>0</v>
      </c>
      <c r="D261" s="145">
        <f>'41 SEMANA'!D14</f>
        <v>0</v>
      </c>
      <c r="E261" s="45">
        <f t="shared" si="44"/>
        <v>52</v>
      </c>
      <c r="F261" s="20">
        <f>+'41 SEMANA'!E14</f>
        <v>0</v>
      </c>
      <c r="G261" s="45">
        <f t="shared" si="45"/>
        <v>52</v>
      </c>
      <c r="H261" s="147">
        <f>+'41 SEMANA'!P14</f>
        <v>0</v>
      </c>
      <c r="I261" s="149">
        <f t="shared" si="55"/>
        <v>0</v>
      </c>
      <c r="J261" s="42">
        <f t="shared" si="46"/>
        <v>52</v>
      </c>
    </row>
    <row r="262" spans="1:10" x14ac:dyDescent="0.25">
      <c r="A262" s="142">
        <f>'42 SEMANA '!A9</f>
        <v>0</v>
      </c>
      <c r="B262" s="143">
        <f>'42 SEMANA '!B9</f>
        <v>0</v>
      </c>
      <c r="C262" s="143">
        <f>'42 SEMANA '!C9</f>
        <v>0</v>
      </c>
      <c r="D262" s="143">
        <f>'42 SEMANA '!D9</f>
        <v>0</v>
      </c>
      <c r="E262" s="45">
        <f t="shared" si="44"/>
        <v>52</v>
      </c>
      <c r="F262" s="20">
        <f>+'42 SEMANA '!E9</f>
        <v>0</v>
      </c>
      <c r="G262" s="45">
        <f t="shared" si="45"/>
        <v>52</v>
      </c>
      <c r="H262" s="147">
        <f>+'42 SEMANA '!P9</f>
        <v>0</v>
      </c>
      <c r="I262" s="149">
        <f t="shared" si="55"/>
        <v>0</v>
      </c>
      <c r="J262" s="42">
        <f t="shared" si="46"/>
        <v>52</v>
      </c>
    </row>
    <row r="263" spans="1:10" x14ac:dyDescent="0.25">
      <c r="A263" s="142">
        <f>'42 SEMANA '!A10</f>
        <v>0</v>
      </c>
      <c r="B263" s="143">
        <f>'42 SEMANA '!B10</f>
        <v>0</v>
      </c>
      <c r="C263" s="143">
        <f>'42 SEMANA '!C10</f>
        <v>0</v>
      </c>
      <c r="D263" s="143">
        <f>'42 SEMANA '!D10</f>
        <v>0</v>
      </c>
      <c r="E263" s="45">
        <f t="shared" si="44"/>
        <v>52</v>
      </c>
      <c r="F263" s="20">
        <f>+'42 SEMANA '!E10</f>
        <v>0</v>
      </c>
      <c r="G263" s="45">
        <f t="shared" si="45"/>
        <v>52</v>
      </c>
      <c r="H263" s="147">
        <f>+'42 SEMANA '!P10</f>
        <v>0</v>
      </c>
      <c r="I263" s="149">
        <f t="shared" ref="I263:I268" si="56">+F263-H263</f>
        <v>0</v>
      </c>
      <c r="J263" s="42">
        <f t="shared" si="46"/>
        <v>52</v>
      </c>
    </row>
    <row r="264" spans="1:10" x14ac:dyDescent="0.25">
      <c r="A264" s="142">
        <f>'42 SEMANA '!A11</f>
        <v>0</v>
      </c>
      <c r="B264" s="143">
        <f>'42 SEMANA '!B11</f>
        <v>0</v>
      </c>
      <c r="C264" s="143">
        <f>'42 SEMANA '!C11</f>
        <v>0</v>
      </c>
      <c r="D264" s="143">
        <f>'42 SEMANA '!D11</f>
        <v>0</v>
      </c>
      <c r="E264" s="45">
        <f t="shared" si="44"/>
        <v>52</v>
      </c>
      <c r="F264" s="20">
        <f>+'42 SEMANA '!E11</f>
        <v>0</v>
      </c>
      <c r="G264" s="45">
        <f t="shared" si="45"/>
        <v>52</v>
      </c>
      <c r="H264" s="147">
        <f>+'42 SEMANA '!P11</f>
        <v>0</v>
      </c>
      <c r="I264" s="149">
        <f t="shared" si="56"/>
        <v>0</v>
      </c>
      <c r="J264" s="42">
        <f t="shared" si="46"/>
        <v>52</v>
      </c>
    </row>
    <row r="265" spans="1:10" x14ac:dyDescent="0.25">
      <c r="A265" s="142">
        <f>'42 SEMANA '!A12</f>
        <v>0</v>
      </c>
      <c r="B265" s="143">
        <f>'42 SEMANA '!B12</f>
        <v>0</v>
      </c>
      <c r="C265" s="143">
        <f>'42 SEMANA '!C12</f>
        <v>0</v>
      </c>
      <c r="D265" s="143">
        <f>'42 SEMANA '!D12</f>
        <v>0</v>
      </c>
      <c r="E265" s="45">
        <f t="shared" si="44"/>
        <v>52</v>
      </c>
      <c r="F265" s="20">
        <f>+'42 SEMANA '!E12</f>
        <v>0</v>
      </c>
      <c r="G265" s="45">
        <f t="shared" si="45"/>
        <v>52</v>
      </c>
      <c r="H265" s="147">
        <f>+'42 SEMANA '!P12</f>
        <v>0</v>
      </c>
      <c r="I265" s="149">
        <f t="shared" si="56"/>
        <v>0</v>
      </c>
      <c r="J265" s="42">
        <f t="shared" si="46"/>
        <v>52</v>
      </c>
    </row>
    <row r="266" spans="1:10" x14ac:dyDescent="0.25">
      <c r="A266" s="142">
        <f>'42 SEMANA '!A13</f>
        <v>0</v>
      </c>
      <c r="B266" s="143">
        <f>'42 SEMANA '!B13</f>
        <v>0</v>
      </c>
      <c r="C266" s="143">
        <f>'42 SEMANA '!C13</f>
        <v>0</v>
      </c>
      <c r="D266" s="143">
        <f>'42 SEMANA '!D13</f>
        <v>0</v>
      </c>
      <c r="E266" s="45">
        <f t="shared" si="44"/>
        <v>52</v>
      </c>
      <c r="F266" s="20">
        <f>+'42 SEMANA '!E13</f>
        <v>0</v>
      </c>
      <c r="G266" s="45">
        <f t="shared" si="45"/>
        <v>52</v>
      </c>
      <c r="H266" s="147">
        <f>+'42 SEMANA '!P13</f>
        <v>0</v>
      </c>
      <c r="I266" s="149">
        <f t="shared" si="56"/>
        <v>0</v>
      </c>
      <c r="J266" s="42">
        <f t="shared" si="46"/>
        <v>52</v>
      </c>
    </row>
    <row r="267" spans="1:10" x14ac:dyDescent="0.25">
      <c r="A267" s="142">
        <f>'42 SEMANA '!A14</f>
        <v>0</v>
      </c>
      <c r="B267" s="143">
        <f>'42 SEMANA '!B14</f>
        <v>0</v>
      </c>
      <c r="C267" s="143">
        <f>'42 SEMANA '!C14</f>
        <v>0</v>
      </c>
      <c r="D267" s="143">
        <f>'42 SEMANA '!D14</f>
        <v>0</v>
      </c>
      <c r="E267" s="45">
        <f t="shared" si="44"/>
        <v>52</v>
      </c>
      <c r="F267" s="20">
        <f>+'42 SEMANA '!E14</f>
        <v>0</v>
      </c>
      <c r="G267" s="45">
        <f t="shared" si="45"/>
        <v>52</v>
      </c>
      <c r="H267" s="147">
        <f>+'42 SEMANA '!P14</f>
        <v>0</v>
      </c>
      <c r="I267" s="149">
        <f t="shared" si="56"/>
        <v>0</v>
      </c>
      <c r="J267" s="42">
        <f t="shared" si="46"/>
        <v>52</v>
      </c>
    </row>
    <row r="268" spans="1:10" x14ac:dyDescent="0.25">
      <c r="A268" s="144">
        <f>'43 SEMANA '!A9</f>
        <v>0</v>
      </c>
      <c r="B268" s="145">
        <f>'43 SEMANA '!B9</f>
        <v>0</v>
      </c>
      <c r="C268" s="145">
        <f>'43 SEMANA '!C9</f>
        <v>0</v>
      </c>
      <c r="D268" s="145">
        <f>'43 SEMANA '!D9</f>
        <v>0</v>
      </c>
      <c r="E268" s="45">
        <f t="shared" ref="E268:E327" si="57">_xlfn.ISOWEEKNUM(A268)</f>
        <v>52</v>
      </c>
      <c r="F268" s="20">
        <f>+'43 SEMANA '!E9</f>
        <v>0</v>
      </c>
      <c r="G268" s="45">
        <f t="shared" ref="G268:G327" si="58">_xlfn.ISOWEEKNUM(A268)</f>
        <v>52</v>
      </c>
      <c r="H268" s="147">
        <f>+'43 SEMANA '!O9</f>
        <v>0</v>
      </c>
      <c r="I268" s="149">
        <f t="shared" si="56"/>
        <v>0</v>
      </c>
      <c r="J268" s="42">
        <f t="shared" ref="J268:J327" si="59">_xlfn.ISOWEEKNUM(A268)</f>
        <v>52</v>
      </c>
    </row>
    <row r="269" spans="1:10" x14ac:dyDescent="0.25">
      <c r="A269" s="144">
        <f>'43 SEMANA '!A10</f>
        <v>0</v>
      </c>
      <c r="B269" s="145">
        <f>'43 SEMANA '!B10</f>
        <v>0</v>
      </c>
      <c r="C269" s="145">
        <f>'43 SEMANA '!C10</f>
        <v>0</v>
      </c>
      <c r="D269" s="145">
        <f>'43 SEMANA '!D10</f>
        <v>0</v>
      </c>
      <c r="E269" s="45">
        <f t="shared" si="57"/>
        <v>52</v>
      </c>
      <c r="F269" s="20">
        <f>+'43 SEMANA '!E10</f>
        <v>0</v>
      </c>
      <c r="G269" s="45">
        <f t="shared" si="58"/>
        <v>52</v>
      </c>
      <c r="H269" s="147">
        <f>+'43 SEMANA '!O10</f>
        <v>0</v>
      </c>
      <c r="I269" s="149">
        <f t="shared" ref="I269:I274" si="60">+F269-H269</f>
        <v>0</v>
      </c>
      <c r="J269" s="42">
        <f t="shared" si="59"/>
        <v>52</v>
      </c>
    </row>
    <row r="270" spans="1:10" x14ac:dyDescent="0.25">
      <c r="A270" s="144">
        <f>'43 SEMANA '!A11</f>
        <v>0</v>
      </c>
      <c r="B270" s="145">
        <f>'43 SEMANA '!B11</f>
        <v>0</v>
      </c>
      <c r="C270" s="145">
        <f>'43 SEMANA '!C11</f>
        <v>0</v>
      </c>
      <c r="D270" s="145">
        <f>'43 SEMANA '!D11</f>
        <v>0</v>
      </c>
      <c r="E270" s="45">
        <f t="shared" si="57"/>
        <v>52</v>
      </c>
      <c r="F270" s="20">
        <f>+'43 SEMANA '!E11</f>
        <v>0</v>
      </c>
      <c r="G270" s="45">
        <f t="shared" si="58"/>
        <v>52</v>
      </c>
      <c r="H270" s="147">
        <f>+'43 SEMANA '!O11</f>
        <v>0</v>
      </c>
      <c r="I270" s="149">
        <f t="shared" si="60"/>
        <v>0</v>
      </c>
      <c r="J270" s="42">
        <f t="shared" si="59"/>
        <v>52</v>
      </c>
    </row>
    <row r="271" spans="1:10" x14ac:dyDescent="0.25">
      <c r="A271" s="144">
        <f>'43 SEMANA '!A12</f>
        <v>0</v>
      </c>
      <c r="B271" s="145">
        <f>'43 SEMANA '!B12</f>
        <v>0</v>
      </c>
      <c r="C271" s="145">
        <f>'43 SEMANA '!C12</f>
        <v>0</v>
      </c>
      <c r="D271" s="145">
        <f>'43 SEMANA '!D12</f>
        <v>0</v>
      </c>
      <c r="E271" s="45">
        <f t="shared" si="57"/>
        <v>52</v>
      </c>
      <c r="F271" s="20">
        <f>+'43 SEMANA '!E12</f>
        <v>0</v>
      </c>
      <c r="G271" s="45">
        <f t="shared" si="58"/>
        <v>52</v>
      </c>
      <c r="H271" s="147">
        <f>+'43 SEMANA '!O12</f>
        <v>0</v>
      </c>
      <c r="I271" s="149">
        <f t="shared" si="60"/>
        <v>0</v>
      </c>
      <c r="J271" s="42">
        <f t="shared" si="59"/>
        <v>52</v>
      </c>
    </row>
    <row r="272" spans="1:10" x14ac:dyDescent="0.25">
      <c r="A272" s="144">
        <f>'43 SEMANA '!A13</f>
        <v>0</v>
      </c>
      <c r="B272" s="145">
        <f>'43 SEMANA '!B13</f>
        <v>0</v>
      </c>
      <c r="C272" s="145">
        <f>'43 SEMANA '!C13</f>
        <v>0</v>
      </c>
      <c r="D272" s="145">
        <f>'43 SEMANA '!D13</f>
        <v>0</v>
      </c>
      <c r="E272" s="45">
        <f t="shared" si="57"/>
        <v>52</v>
      </c>
      <c r="F272" s="20">
        <f>+'43 SEMANA '!E13</f>
        <v>0</v>
      </c>
      <c r="G272" s="45">
        <f t="shared" si="58"/>
        <v>52</v>
      </c>
      <c r="H272" s="147">
        <f>+'43 SEMANA '!O13</f>
        <v>0</v>
      </c>
      <c r="I272" s="149">
        <f t="shared" si="60"/>
        <v>0</v>
      </c>
      <c r="J272" s="42">
        <f t="shared" si="59"/>
        <v>52</v>
      </c>
    </row>
    <row r="273" spans="1:10" x14ac:dyDescent="0.25">
      <c r="A273" s="144">
        <f>'43 SEMANA '!A14</f>
        <v>0</v>
      </c>
      <c r="B273" s="145">
        <f>'43 SEMANA '!B14</f>
        <v>0</v>
      </c>
      <c r="C273" s="145">
        <f>'43 SEMANA '!C14</f>
        <v>0</v>
      </c>
      <c r="D273" s="145">
        <f>'43 SEMANA '!D14</f>
        <v>0</v>
      </c>
      <c r="E273" s="45">
        <f t="shared" si="57"/>
        <v>52</v>
      </c>
      <c r="F273" s="20">
        <f>+'43 SEMANA '!E14</f>
        <v>0</v>
      </c>
      <c r="G273" s="45">
        <f t="shared" si="58"/>
        <v>52</v>
      </c>
      <c r="H273" s="147">
        <f>+'43 SEMANA '!O14</f>
        <v>0</v>
      </c>
      <c r="I273" s="149">
        <f t="shared" si="60"/>
        <v>0</v>
      </c>
      <c r="J273" s="42">
        <f t="shared" si="59"/>
        <v>52</v>
      </c>
    </row>
    <row r="274" spans="1:10" x14ac:dyDescent="0.25">
      <c r="A274" s="142">
        <f>'44 SEMANA'!A9</f>
        <v>0</v>
      </c>
      <c r="B274" s="143">
        <f>'44 SEMANA'!B9</f>
        <v>0</v>
      </c>
      <c r="C274" s="143">
        <f>'44 SEMANA'!C9</f>
        <v>0</v>
      </c>
      <c r="D274" s="143">
        <f>'44 SEMANA'!D9</f>
        <v>0</v>
      </c>
      <c r="E274" s="45">
        <f t="shared" si="57"/>
        <v>52</v>
      </c>
      <c r="F274" s="20">
        <f>+'44 SEMANA'!E9</f>
        <v>0</v>
      </c>
      <c r="G274" s="45">
        <f t="shared" si="58"/>
        <v>52</v>
      </c>
      <c r="H274" s="147">
        <f>+'44 SEMANA'!M9</f>
        <v>0</v>
      </c>
      <c r="I274" s="149">
        <f t="shared" si="60"/>
        <v>0</v>
      </c>
      <c r="J274" s="42">
        <f t="shared" si="59"/>
        <v>52</v>
      </c>
    </row>
    <row r="275" spans="1:10" x14ac:dyDescent="0.25">
      <c r="A275" s="142">
        <f>'44 SEMANA'!A10</f>
        <v>0</v>
      </c>
      <c r="B275" s="143">
        <f>'44 SEMANA'!B10</f>
        <v>0</v>
      </c>
      <c r="C275" s="143">
        <f>'44 SEMANA'!C10</f>
        <v>0</v>
      </c>
      <c r="D275" s="143">
        <f>'44 SEMANA'!D10</f>
        <v>0</v>
      </c>
      <c r="E275" s="45">
        <f t="shared" si="57"/>
        <v>52</v>
      </c>
      <c r="F275" s="20">
        <f>+'44 SEMANA'!E10</f>
        <v>0</v>
      </c>
      <c r="G275" s="45">
        <f t="shared" si="58"/>
        <v>52</v>
      </c>
      <c r="H275" s="147">
        <f>+'44 SEMANA'!M10</f>
        <v>0</v>
      </c>
      <c r="I275" s="149">
        <f t="shared" ref="I275:I280" si="61">+F275-H275</f>
        <v>0</v>
      </c>
      <c r="J275" s="42">
        <f t="shared" si="59"/>
        <v>52</v>
      </c>
    </row>
    <row r="276" spans="1:10" x14ac:dyDescent="0.25">
      <c r="A276" s="142">
        <f>'44 SEMANA'!A11</f>
        <v>0</v>
      </c>
      <c r="B276" s="143">
        <f>'44 SEMANA'!B11</f>
        <v>0</v>
      </c>
      <c r="C276" s="143">
        <f>'44 SEMANA'!C11</f>
        <v>0</v>
      </c>
      <c r="D276" s="143">
        <f>'44 SEMANA'!D11</f>
        <v>0</v>
      </c>
      <c r="E276" s="45">
        <f t="shared" si="57"/>
        <v>52</v>
      </c>
      <c r="F276" s="20">
        <f>+'44 SEMANA'!E11</f>
        <v>0</v>
      </c>
      <c r="G276" s="45">
        <f t="shared" si="58"/>
        <v>52</v>
      </c>
      <c r="H276" s="147">
        <f>+'44 SEMANA'!M11</f>
        <v>0</v>
      </c>
      <c r="I276" s="149">
        <f t="shared" si="61"/>
        <v>0</v>
      </c>
      <c r="J276" s="42">
        <f t="shared" si="59"/>
        <v>52</v>
      </c>
    </row>
    <row r="277" spans="1:10" x14ac:dyDescent="0.25">
      <c r="A277" s="142">
        <f>'44 SEMANA'!A12</f>
        <v>0</v>
      </c>
      <c r="B277" s="143">
        <f>'44 SEMANA'!B12</f>
        <v>0</v>
      </c>
      <c r="C277" s="143">
        <f>'44 SEMANA'!C12</f>
        <v>0</v>
      </c>
      <c r="D277" s="143">
        <f>'44 SEMANA'!D12</f>
        <v>0</v>
      </c>
      <c r="E277" s="45">
        <f t="shared" si="57"/>
        <v>52</v>
      </c>
      <c r="F277" s="20">
        <f>+'44 SEMANA'!E12</f>
        <v>0</v>
      </c>
      <c r="G277" s="45">
        <f t="shared" si="58"/>
        <v>52</v>
      </c>
      <c r="H277" s="147">
        <f>+'44 SEMANA'!M12</f>
        <v>0</v>
      </c>
      <c r="I277" s="149">
        <f t="shared" si="61"/>
        <v>0</v>
      </c>
      <c r="J277" s="42">
        <f t="shared" si="59"/>
        <v>52</v>
      </c>
    </row>
    <row r="278" spans="1:10" x14ac:dyDescent="0.25">
      <c r="A278" s="142">
        <f>'44 SEMANA'!A13</f>
        <v>0</v>
      </c>
      <c r="B278" s="143">
        <f>'44 SEMANA'!B13</f>
        <v>0</v>
      </c>
      <c r="C278" s="143">
        <f>'44 SEMANA'!C13</f>
        <v>0</v>
      </c>
      <c r="D278" s="143">
        <f>'44 SEMANA'!D13</f>
        <v>0</v>
      </c>
      <c r="E278" s="45">
        <f t="shared" si="57"/>
        <v>52</v>
      </c>
      <c r="F278" s="20">
        <f>+'44 SEMANA'!E13</f>
        <v>0</v>
      </c>
      <c r="G278" s="45">
        <f t="shared" si="58"/>
        <v>52</v>
      </c>
      <c r="H278" s="147">
        <f>+'44 SEMANA'!M13</f>
        <v>0</v>
      </c>
      <c r="I278" s="149">
        <f t="shared" si="61"/>
        <v>0</v>
      </c>
      <c r="J278" s="42">
        <f t="shared" si="59"/>
        <v>52</v>
      </c>
    </row>
    <row r="279" spans="1:10" x14ac:dyDescent="0.25">
      <c r="A279" s="142">
        <f>'44 SEMANA'!A14</f>
        <v>0</v>
      </c>
      <c r="B279" s="143">
        <f>'44 SEMANA'!B14</f>
        <v>0</v>
      </c>
      <c r="C279" s="143">
        <f>'44 SEMANA'!C14</f>
        <v>0</v>
      </c>
      <c r="D279" s="143">
        <f>'44 SEMANA'!D14</f>
        <v>0</v>
      </c>
      <c r="E279" s="45">
        <f t="shared" si="57"/>
        <v>52</v>
      </c>
      <c r="F279" s="20">
        <f>+'44 SEMANA'!E14</f>
        <v>0</v>
      </c>
      <c r="G279" s="45">
        <f t="shared" si="58"/>
        <v>52</v>
      </c>
      <c r="H279" s="147">
        <f>+'44 SEMANA'!M14</f>
        <v>0</v>
      </c>
      <c r="I279" s="149">
        <f t="shared" si="61"/>
        <v>0</v>
      </c>
      <c r="J279" s="42">
        <f t="shared" si="59"/>
        <v>52</v>
      </c>
    </row>
    <row r="280" spans="1:10" x14ac:dyDescent="0.25">
      <c r="A280" s="144">
        <f>'45 SEMANA'!A9</f>
        <v>0</v>
      </c>
      <c r="B280" s="145">
        <f>'45 SEMANA'!B9</f>
        <v>0</v>
      </c>
      <c r="C280" s="145">
        <f>'45 SEMANA'!C9</f>
        <v>0</v>
      </c>
      <c r="D280" s="145">
        <f>'45 SEMANA'!D9</f>
        <v>0</v>
      </c>
      <c r="E280" s="45">
        <f t="shared" si="57"/>
        <v>52</v>
      </c>
      <c r="F280" s="20">
        <f>+'45 SEMANA'!E9</f>
        <v>0</v>
      </c>
      <c r="G280" s="45">
        <f t="shared" si="58"/>
        <v>52</v>
      </c>
      <c r="H280" s="147">
        <f>+'45 SEMANA'!L9</f>
        <v>0</v>
      </c>
      <c r="I280" s="149">
        <f t="shared" si="61"/>
        <v>0</v>
      </c>
      <c r="J280" s="42">
        <f t="shared" si="59"/>
        <v>52</v>
      </c>
    </row>
    <row r="281" spans="1:10" x14ac:dyDescent="0.25">
      <c r="A281" s="144">
        <f>'45 SEMANA'!A10</f>
        <v>0</v>
      </c>
      <c r="B281" s="145">
        <f>'45 SEMANA'!B10</f>
        <v>0</v>
      </c>
      <c r="C281" s="145">
        <f>'45 SEMANA'!C10</f>
        <v>0</v>
      </c>
      <c r="D281" s="145">
        <f>'45 SEMANA'!D10</f>
        <v>0</v>
      </c>
      <c r="E281" s="45">
        <f t="shared" si="57"/>
        <v>52</v>
      </c>
      <c r="F281" s="20">
        <f>+'45 SEMANA'!E10</f>
        <v>0</v>
      </c>
      <c r="G281" s="45">
        <f t="shared" si="58"/>
        <v>52</v>
      </c>
      <c r="H281" s="147">
        <f>+'45 SEMANA'!L10</f>
        <v>0</v>
      </c>
      <c r="I281" s="149">
        <f t="shared" ref="I281:I286" si="62">+F281-H281</f>
        <v>0</v>
      </c>
      <c r="J281" s="42">
        <f t="shared" si="59"/>
        <v>52</v>
      </c>
    </row>
    <row r="282" spans="1:10" x14ac:dyDescent="0.25">
      <c r="A282" s="144">
        <f>'45 SEMANA'!A11</f>
        <v>0</v>
      </c>
      <c r="B282" s="145">
        <f>'45 SEMANA'!B11</f>
        <v>0</v>
      </c>
      <c r="C282" s="145">
        <f>'45 SEMANA'!C11</f>
        <v>0</v>
      </c>
      <c r="D282" s="145">
        <f>'45 SEMANA'!D11</f>
        <v>0</v>
      </c>
      <c r="E282" s="45">
        <f t="shared" si="57"/>
        <v>52</v>
      </c>
      <c r="F282" s="20">
        <f>+'45 SEMANA'!E11</f>
        <v>0</v>
      </c>
      <c r="G282" s="45">
        <f t="shared" si="58"/>
        <v>52</v>
      </c>
      <c r="H282" s="147">
        <f>+'45 SEMANA'!L11</f>
        <v>0</v>
      </c>
      <c r="I282" s="149">
        <f t="shared" si="62"/>
        <v>0</v>
      </c>
      <c r="J282" s="42">
        <f t="shared" si="59"/>
        <v>52</v>
      </c>
    </row>
    <row r="283" spans="1:10" x14ac:dyDescent="0.25">
      <c r="A283" s="144">
        <f>'45 SEMANA'!A12</f>
        <v>0</v>
      </c>
      <c r="B283" s="145">
        <f>'45 SEMANA'!B12</f>
        <v>0</v>
      </c>
      <c r="C283" s="145">
        <f>'45 SEMANA'!C12</f>
        <v>0</v>
      </c>
      <c r="D283" s="145">
        <f>'45 SEMANA'!D12</f>
        <v>0</v>
      </c>
      <c r="E283" s="45">
        <f t="shared" si="57"/>
        <v>52</v>
      </c>
      <c r="F283" s="20">
        <f>+'45 SEMANA'!E12</f>
        <v>0</v>
      </c>
      <c r="G283" s="45">
        <f t="shared" si="58"/>
        <v>52</v>
      </c>
      <c r="H283" s="147">
        <f>+'45 SEMANA'!L12</f>
        <v>0</v>
      </c>
      <c r="I283" s="149">
        <f t="shared" si="62"/>
        <v>0</v>
      </c>
      <c r="J283" s="42">
        <f t="shared" si="59"/>
        <v>52</v>
      </c>
    </row>
    <row r="284" spans="1:10" x14ac:dyDescent="0.25">
      <c r="A284" s="144">
        <f>'45 SEMANA'!A13</f>
        <v>0</v>
      </c>
      <c r="B284" s="145">
        <f>'45 SEMANA'!B13</f>
        <v>0</v>
      </c>
      <c r="C284" s="145">
        <f>'45 SEMANA'!C13</f>
        <v>0</v>
      </c>
      <c r="D284" s="145">
        <f>'45 SEMANA'!D13</f>
        <v>0</v>
      </c>
      <c r="E284" s="45">
        <f t="shared" si="57"/>
        <v>52</v>
      </c>
      <c r="F284" s="20">
        <f>+'45 SEMANA'!E13</f>
        <v>0</v>
      </c>
      <c r="G284" s="45">
        <f t="shared" si="58"/>
        <v>52</v>
      </c>
      <c r="H284" s="147">
        <f>+'45 SEMANA'!L13</f>
        <v>0</v>
      </c>
      <c r="I284" s="149">
        <f t="shared" si="62"/>
        <v>0</v>
      </c>
      <c r="J284" s="42">
        <f t="shared" si="59"/>
        <v>52</v>
      </c>
    </row>
    <row r="285" spans="1:10" x14ac:dyDescent="0.25">
      <c r="A285" s="144">
        <f>'45 SEMANA'!A14</f>
        <v>0</v>
      </c>
      <c r="B285" s="145">
        <f>'45 SEMANA'!B14</f>
        <v>0</v>
      </c>
      <c r="C285" s="145">
        <f>'45 SEMANA'!C14</f>
        <v>0</v>
      </c>
      <c r="D285" s="145">
        <f>'45 SEMANA'!D14</f>
        <v>0</v>
      </c>
      <c r="E285" s="45">
        <f t="shared" si="57"/>
        <v>52</v>
      </c>
      <c r="F285" s="20">
        <f>+'45 SEMANA'!E14</f>
        <v>0</v>
      </c>
      <c r="G285" s="45">
        <f t="shared" si="58"/>
        <v>52</v>
      </c>
      <c r="H285" s="147">
        <f>+'45 SEMANA'!L14</f>
        <v>0</v>
      </c>
      <c r="I285" s="149">
        <f t="shared" si="62"/>
        <v>0</v>
      </c>
      <c r="J285" s="42">
        <f t="shared" si="59"/>
        <v>52</v>
      </c>
    </row>
    <row r="286" spans="1:10" x14ac:dyDescent="0.25">
      <c r="A286" s="142">
        <f>'46 SEMANA '!A9</f>
        <v>0</v>
      </c>
      <c r="B286" s="143">
        <f>'46 SEMANA '!B9</f>
        <v>0</v>
      </c>
      <c r="C286" s="143">
        <f>'46 SEMANA '!C9</f>
        <v>0</v>
      </c>
      <c r="D286" s="143">
        <f>'46 SEMANA '!D9</f>
        <v>0</v>
      </c>
      <c r="E286" s="45">
        <f t="shared" si="57"/>
        <v>52</v>
      </c>
      <c r="F286" s="20">
        <f>+'46 SEMANA '!E9</f>
        <v>0</v>
      </c>
      <c r="G286" s="45">
        <f t="shared" si="58"/>
        <v>52</v>
      </c>
      <c r="H286" s="147">
        <f>+'46 SEMANA '!K9</f>
        <v>0</v>
      </c>
      <c r="I286" s="149">
        <f t="shared" si="62"/>
        <v>0</v>
      </c>
      <c r="J286" s="42">
        <f t="shared" si="59"/>
        <v>52</v>
      </c>
    </row>
    <row r="287" spans="1:10" x14ac:dyDescent="0.25">
      <c r="A287" s="142">
        <f>'46 SEMANA '!A10</f>
        <v>0</v>
      </c>
      <c r="B287" s="143">
        <f>'46 SEMANA '!B10</f>
        <v>0</v>
      </c>
      <c r="C287" s="143">
        <f>'46 SEMANA '!C10</f>
        <v>0</v>
      </c>
      <c r="D287" s="143">
        <f>'46 SEMANA '!D10</f>
        <v>0</v>
      </c>
      <c r="E287" s="45">
        <f t="shared" si="57"/>
        <v>52</v>
      </c>
      <c r="F287" s="20">
        <f>+'46 SEMANA '!E10</f>
        <v>0</v>
      </c>
      <c r="G287" s="45">
        <f t="shared" si="58"/>
        <v>52</v>
      </c>
      <c r="H287" s="147">
        <f>+'46 SEMANA '!K10</f>
        <v>0</v>
      </c>
      <c r="I287" s="149">
        <f t="shared" ref="I287:I292" si="63">+F287-H287</f>
        <v>0</v>
      </c>
      <c r="J287" s="42">
        <f t="shared" si="59"/>
        <v>52</v>
      </c>
    </row>
    <row r="288" spans="1:10" x14ac:dyDescent="0.25">
      <c r="A288" s="142">
        <f>'46 SEMANA '!A11</f>
        <v>0</v>
      </c>
      <c r="B288" s="143">
        <f>'46 SEMANA '!B11</f>
        <v>0</v>
      </c>
      <c r="C288" s="143">
        <f>'46 SEMANA '!C11</f>
        <v>0</v>
      </c>
      <c r="D288" s="143">
        <f>'46 SEMANA '!D11</f>
        <v>0</v>
      </c>
      <c r="E288" s="45">
        <f t="shared" si="57"/>
        <v>52</v>
      </c>
      <c r="F288" s="20">
        <f>+'46 SEMANA '!E11</f>
        <v>0</v>
      </c>
      <c r="G288" s="45">
        <f t="shared" si="58"/>
        <v>52</v>
      </c>
      <c r="H288" s="147">
        <f>+'46 SEMANA '!K11</f>
        <v>0</v>
      </c>
      <c r="I288" s="149">
        <f t="shared" si="63"/>
        <v>0</v>
      </c>
      <c r="J288" s="42">
        <f t="shared" si="59"/>
        <v>52</v>
      </c>
    </row>
    <row r="289" spans="1:10" x14ac:dyDescent="0.25">
      <c r="A289" s="142">
        <f>'46 SEMANA '!A12</f>
        <v>0</v>
      </c>
      <c r="B289" s="143">
        <f>'46 SEMANA '!B12</f>
        <v>0</v>
      </c>
      <c r="C289" s="143">
        <f>'46 SEMANA '!C12</f>
        <v>0</v>
      </c>
      <c r="D289" s="143">
        <f>'46 SEMANA '!D12</f>
        <v>0</v>
      </c>
      <c r="E289" s="45">
        <f t="shared" si="57"/>
        <v>52</v>
      </c>
      <c r="F289" s="20">
        <f>+'46 SEMANA '!E12</f>
        <v>0</v>
      </c>
      <c r="G289" s="45">
        <f t="shared" si="58"/>
        <v>52</v>
      </c>
      <c r="H289" s="147">
        <f>+'46 SEMANA '!K12</f>
        <v>0</v>
      </c>
      <c r="I289" s="149">
        <f t="shared" si="63"/>
        <v>0</v>
      </c>
      <c r="J289" s="42">
        <f t="shared" si="59"/>
        <v>52</v>
      </c>
    </row>
    <row r="290" spans="1:10" x14ac:dyDescent="0.25">
      <c r="A290" s="142">
        <f>'46 SEMANA '!A13</f>
        <v>0</v>
      </c>
      <c r="B290" s="143">
        <f>'46 SEMANA '!B13</f>
        <v>0</v>
      </c>
      <c r="C290" s="143">
        <f>'46 SEMANA '!C13</f>
        <v>0</v>
      </c>
      <c r="D290" s="143">
        <f>'46 SEMANA '!D13</f>
        <v>0</v>
      </c>
      <c r="E290" s="45">
        <f t="shared" si="57"/>
        <v>52</v>
      </c>
      <c r="F290" s="20">
        <f>+'46 SEMANA '!E13</f>
        <v>0</v>
      </c>
      <c r="G290" s="45">
        <f t="shared" si="58"/>
        <v>52</v>
      </c>
      <c r="H290" s="147">
        <f>+'46 SEMANA '!K13</f>
        <v>0</v>
      </c>
      <c r="I290" s="149">
        <f t="shared" si="63"/>
        <v>0</v>
      </c>
      <c r="J290" s="42">
        <f t="shared" si="59"/>
        <v>52</v>
      </c>
    </row>
    <row r="291" spans="1:10" x14ac:dyDescent="0.25">
      <c r="A291" s="142">
        <f>'46 SEMANA '!A14</f>
        <v>0</v>
      </c>
      <c r="B291" s="143">
        <f>'46 SEMANA '!B14</f>
        <v>0</v>
      </c>
      <c r="C291" s="143">
        <f>'46 SEMANA '!C14</f>
        <v>0</v>
      </c>
      <c r="D291" s="143">
        <f>'46 SEMANA '!D14</f>
        <v>0</v>
      </c>
      <c r="E291" s="45">
        <f t="shared" si="57"/>
        <v>52</v>
      </c>
      <c r="F291" s="20">
        <f>+'46 SEMANA '!E14</f>
        <v>0</v>
      </c>
      <c r="G291" s="45">
        <f t="shared" si="58"/>
        <v>52</v>
      </c>
      <c r="H291" s="147">
        <f>+'46 SEMANA '!K14</f>
        <v>0</v>
      </c>
      <c r="I291" s="149">
        <f t="shared" si="63"/>
        <v>0</v>
      </c>
      <c r="J291" s="42">
        <f t="shared" si="59"/>
        <v>52</v>
      </c>
    </row>
    <row r="292" spans="1:10" x14ac:dyDescent="0.25">
      <c r="A292" s="144">
        <f>'47 SEMANA '!A9</f>
        <v>0</v>
      </c>
      <c r="B292" s="145">
        <f>'47 SEMANA '!B9</f>
        <v>0</v>
      </c>
      <c r="C292" s="145">
        <f>'47 SEMANA '!C9</f>
        <v>0</v>
      </c>
      <c r="D292" s="145">
        <f>'47 SEMANA '!D9</f>
        <v>0</v>
      </c>
      <c r="E292" s="45">
        <f t="shared" si="57"/>
        <v>52</v>
      </c>
      <c r="F292" s="20">
        <f>+'47 SEMANA '!E9</f>
        <v>0</v>
      </c>
      <c r="G292" s="45">
        <f t="shared" si="58"/>
        <v>52</v>
      </c>
      <c r="H292" s="147">
        <f>+'47 SEMANA '!K9</f>
        <v>0</v>
      </c>
      <c r="I292" s="149">
        <f t="shared" si="63"/>
        <v>0</v>
      </c>
      <c r="J292" s="42">
        <f t="shared" si="59"/>
        <v>52</v>
      </c>
    </row>
    <row r="293" spans="1:10" x14ac:dyDescent="0.25">
      <c r="A293" s="144">
        <f>'47 SEMANA '!A11</f>
        <v>0</v>
      </c>
      <c r="B293" s="145">
        <f>'47 SEMANA '!B11</f>
        <v>0</v>
      </c>
      <c r="C293" s="145">
        <f>'47 SEMANA '!C11</f>
        <v>0</v>
      </c>
      <c r="D293" s="145">
        <f>'47 SEMANA '!D11</f>
        <v>0</v>
      </c>
      <c r="E293" s="45">
        <f t="shared" si="57"/>
        <v>52</v>
      </c>
      <c r="F293" s="20">
        <f>+'47 SEMANA '!E11</f>
        <v>0</v>
      </c>
      <c r="G293" s="45">
        <f t="shared" si="58"/>
        <v>52</v>
      </c>
      <c r="H293" s="147">
        <f>+'47 SEMANA '!K11</f>
        <v>0</v>
      </c>
      <c r="I293" s="149">
        <f t="shared" ref="I293:I298" si="64">+F293-H293</f>
        <v>0</v>
      </c>
      <c r="J293" s="42">
        <f t="shared" si="59"/>
        <v>52</v>
      </c>
    </row>
    <row r="294" spans="1:10" x14ac:dyDescent="0.25">
      <c r="A294" s="144">
        <f>'47 SEMANA '!A10</f>
        <v>0</v>
      </c>
      <c r="B294" s="145">
        <f>'47 SEMANA '!B10</f>
        <v>0</v>
      </c>
      <c r="C294" s="145">
        <f>'47 SEMANA '!C10</f>
        <v>0</v>
      </c>
      <c r="D294" s="145">
        <f>'47 SEMANA '!D10</f>
        <v>0</v>
      </c>
      <c r="E294" s="45">
        <f t="shared" si="57"/>
        <v>52</v>
      </c>
      <c r="F294" s="20">
        <f>+'47 SEMANA '!E10</f>
        <v>0</v>
      </c>
      <c r="G294" s="45">
        <f t="shared" si="58"/>
        <v>52</v>
      </c>
      <c r="H294" s="147">
        <f>+'47 SEMANA '!K10</f>
        <v>0</v>
      </c>
      <c r="I294" s="149">
        <f t="shared" si="64"/>
        <v>0</v>
      </c>
      <c r="J294" s="42">
        <f t="shared" si="59"/>
        <v>52</v>
      </c>
    </row>
    <row r="295" spans="1:10" x14ac:dyDescent="0.25">
      <c r="A295" s="144">
        <f>'47 SEMANA '!A13</f>
        <v>0</v>
      </c>
      <c r="B295" s="145">
        <f>'47 SEMANA '!B13</f>
        <v>0</v>
      </c>
      <c r="C295" s="145">
        <f>'47 SEMANA '!C13</f>
        <v>0</v>
      </c>
      <c r="D295" s="145">
        <f>'47 SEMANA '!D13</f>
        <v>0</v>
      </c>
      <c r="E295" s="45">
        <f t="shared" si="57"/>
        <v>52</v>
      </c>
      <c r="F295" s="20">
        <f>+'47 SEMANA '!E13</f>
        <v>0</v>
      </c>
      <c r="G295" s="45">
        <f t="shared" si="58"/>
        <v>52</v>
      </c>
      <c r="H295" s="147">
        <f>+'47 SEMANA '!K13</f>
        <v>0</v>
      </c>
      <c r="I295" s="149">
        <f t="shared" si="64"/>
        <v>0</v>
      </c>
      <c r="J295" s="42">
        <f t="shared" si="59"/>
        <v>52</v>
      </c>
    </row>
    <row r="296" spans="1:10" x14ac:dyDescent="0.25">
      <c r="A296" s="144">
        <f>'47 SEMANA '!A14</f>
        <v>0</v>
      </c>
      <c r="B296" s="145">
        <f>'47 SEMANA '!B14</f>
        <v>0</v>
      </c>
      <c r="C296" s="145">
        <f>'47 SEMANA '!C14</f>
        <v>0</v>
      </c>
      <c r="D296" s="145">
        <f>'47 SEMANA '!D14</f>
        <v>0</v>
      </c>
      <c r="E296" s="45">
        <f t="shared" si="57"/>
        <v>52</v>
      </c>
      <c r="F296" s="20">
        <f>+'47 SEMANA '!E14</f>
        <v>0</v>
      </c>
      <c r="G296" s="45">
        <f t="shared" si="58"/>
        <v>52</v>
      </c>
      <c r="H296" s="147">
        <f>+'47 SEMANA '!K14</f>
        <v>0</v>
      </c>
      <c r="I296" s="149">
        <f t="shared" si="64"/>
        <v>0</v>
      </c>
      <c r="J296" s="42">
        <f t="shared" si="59"/>
        <v>52</v>
      </c>
    </row>
    <row r="297" spans="1:10" x14ac:dyDescent="0.25">
      <c r="A297" s="144">
        <f>'47 SEMANA '!A15</f>
        <v>0</v>
      </c>
      <c r="B297" s="145">
        <f>'47 SEMANA '!B15</f>
        <v>0</v>
      </c>
      <c r="C297" s="145">
        <f>'47 SEMANA '!C15</f>
        <v>0</v>
      </c>
      <c r="D297" s="145">
        <f>'47 SEMANA '!D15</f>
        <v>0</v>
      </c>
      <c r="E297" s="45">
        <f t="shared" si="57"/>
        <v>52</v>
      </c>
      <c r="F297" s="20">
        <f>+'47 SEMANA '!E15</f>
        <v>0</v>
      </c>
      <c r="G297" s="45">
        <f t="shared" si="58"/>
        <v>52</v>
      </c>
      <c r="H297" s="147">
        <f>+'47 SEMANA '!K15</f>
        <v>0</v>
      </c>
      <c r="I297" s="149">
        <f t="shared" si="64"/>
        <v>0</v>
      </c>
      <c r="J297" s="42">
        <f t="shared" si="59"/>
        <v>52</v>
      </c>
    </row>
    <row r="298" spans="1:10" x14ac:dyDescent="0.25">
      <c r="A298" s="142">
        <f>'48 SEMANA '!A9</f>
        <v>0</v>
      </c>
      <c r="B298" s="143">
        <f>'48 SEMANA '!B9</f>
        <v>0</v>
      </c>
      <c r="C298" s="143">
        <f>'48 SEMANA '!C9</f>
        <v>0</v>
      </c>
      <c r="D298" s="143">
        <f>'48 SEMANA '!D9</f>
        <v>0</v>
      </c>
      <c r="E298" s="45">
        <f t="shared" si="57"/>
        <v>52</v>
      </c>
      <c r="F298" s="20">
        <f>+'48 SEMANA '!E9</f>
        <v>0</v>
      </c>
      <c r="G298" s="45">
        <f t="shared" si="58"/>
        <v>52</v>
      </c>
      <c r="H298" s="147">
        <f>+'48 SEMANA '!K9</f>
        <v>0</v>
      </c>
      <c r="I298" s="149">
        <f t="shared" si="64"/>
        <v>0</v>
      </c>
      <c r="J298" s="42">
        <f t="shared" si="59"/>
        <v>52</v>
      </c>
    </row>
    <row r="299" spans="1:10" x14ac:dyDescent="0.25">
      <c r="A299" s="142">
        <f>'48 SEMANA '!A10</f>
        <v>0</v>
      </c>
      <c r="B299" s="143">
        <f>'48 SEMANA '!B10</f>
        <v>0</v>
      </c>
      <c r="C299" s="143">
        <f>'48 SEMANA '!C10</f>
        <v>0</v>
      </c>
      <c r="D299" s="143">
        <f>'48 SEMANA '!D10</f>
        <v>0</v>
      </c>
      <c r="E299" s="45">
        <f t="shared" si="57"/>
        <v>52</v>
      </c>
      <c r="F299" s="20">
        <f>+'48 SEMANA '!E10</f>
        <v>0</v>
      </c>
      <c r="G299" s="45">
        <f t="shared" si="58"/>
        <v>52</v>
      </c>
      <c r="H299" s="147">
        <f>+'48 SEMANA '!K10</f>
        <v>0</v>
      </c>
      <c r="I299" s="149">
        <f t="shared" ref="I299:I304" si="65">+F299-H299</f>
        <v>0</v>
      </c>
      <c r="J299" s="42">
        <f t="shared" si="59"/>
        <v>52</v>
      </c>
    </row>
    <row r="300" spans="1:10" x14ac:dyDescent="0.25">
      <c r="A300" s="142">
        <f>'48 SEMANA '!A11</f>
        <v>0</v>
      </c>
      <c r="B300" s="143">
        <f>'48 SEMANA '!B11</f>
        <v>0</v>
      </c>
      <c r="C300" s="143">
        <f>'48 SEMANA '!C11</f>
        <v>0</v>
      </c>
      <c r="D300" s="143">
        <f>'48 SEMANA '!D11</f>
        <v>0</v>
      </c>
      <c r="E300" s="45">
        <f t="shared" si="57"/>
        <v>52</v>
      </c>
      <c r="F300" s="20">
        <f>+'48 SEMANA '!E11</f>
        <v>0</v>
      </c>
      <c r="G300" s="45">
        <f t="shared" si="58"/>
        <v>52</v>
      </c>
      <c r="H300" s="147">
        <f>+'48 SEMANA '!K11</f>
        <v>0</v>
      </c>
      <c r="I300" s="149">
        <f t="shared" si="65"/>
        <v>0</v>
      </c>
      <c r="J300" s="42">
        <f t="shared" si="59"/>
        <v>52</v>
      </c>
    </row>
    <row r="301" spans="1:10" x14ac:dyDescent="0.25">
      <c r="A301" s="142">
        <f>'48 SEMANA '!A12</f>
        <v>0</v>
      </c>
      <c r="B301" s="143">
        <f>'48 SEMANA '!B12</f>
        <v>0</v>
      </c>
      <c r="C301" s="143">
        <f>'48 SEMANA '!C12</f>
        <v>0</v>
      </c>
      <c r="D301" s="143">
        <f>'48 SEMANA '!D12</f>
        <v>0</v>
      </c>
      <c r="E301" s="45">
        <f t="shared" si="57"/>
        <v>52</v>
      </c>
      <c r="F301" s="20">
        <f>+'48 SEMANA '!E12</f>
        <v>0</v>
      </c>
      <c r="G301" s="45">
        <f t="shared" si="58"/>
        <v>52</v>
      </c>
      <c r="H301" s="147">
        <f>+'48 SEMANA '!K12</f>
        <v>0</v>
      </c>
      <c r="I301" s="149">
        <f t="shared" si="65"/>
        <v>0</v>
      </c>
      <c r="J301" s="42">
        <f t="shared" si="59"/>
        <v>52</v>
      </c>
    </row>
    <row r="302" spans="1:10" x14ac:dyDescent="0.25">
      <c r="A302" s="142">
        <f>'48 SEMANA '!A13</f>
        <v>0</v>
      </c>
      <c r="B302" s="143">
        <f>'48 SEMANA '!B13</f>
        <v>0</v>
      </c>
      <c r="C302" s="143">
        <f>'48 SEMANA '!C13</f>
        <v>0</v>
      </c>
      <c r="D302" s="143">
        <f>'48 SEMANA '!D13</f>
        <v>0</v>
      </c>
      <c r="E302" s="45">
        <f t="shared" si="57"/>
        <v>52</v>
      </c>
      <c r="F302" s="20">
        <f>+'48 SEMANA '!E13</f>
        <v>0</v>
      </c>
      <c r="G302" s="45">
        <f t="shared" si="58"/>
        <v>52</v>
      </c>
      <c r="H302" s="147">
        <f>+'48 SEMANA '!K13</f>
        <v>0</v>
      </c>
      <c r="I302" s="149">
        <f t="shared" si="65"/>
        <v>0</v>
      </c>
      <c r="J302" s="42">
        <f t="shared" si="59"/>
        <v>52</v>
      </c>
    </row>
    <row r="303" spans="1:10" x14ac:dyDescent="0.25">
      <c r="A303" s="142">
        <f>'48 SEMANA '!A14</f>
        <v>0</v>
      </c>
      <c r="B303" s="143">
        <f>'48 SEMANA '!B14</f>
        <v>0</v>
      </c>
      <c r="C303" s="143">
        <f>'48 SEMANA '!C14</f>
        <v>0</v>
      </c>
      <c r="D303" s="143">
        <f>'48 SEMANA '!D14</f>
        <v>0</v>
      </c>
      <c r="E303" s="45">
        <f t="shared" si="57"/>
        <v>52</v>
      </c>
      <c r="F303" s="20">
        <f>+'48 SEMANA '!E14</f>
        <v>0</v>
      </c>
      <c r="G303" s="45">
        <f t="shared" si="58"/>
        <v>52</v>
      </c>
      <c r="H303" s="147">
        <f>+'48 SEMANA '!K14</f>
        <v>0</v>
      </c>
      <c r="I303" s="149">
        <f t="shared" si="65"/>
        <v>0</v>
      </c>
      <c r="J303" s="42">
        <f t="shared" si="59"/>
        <v>52</v>
      </c>
    </row>
    <row r="304" spans="1:10" x14ac:dyDescent="0.25">
      <c r="A304" s="144">
        <f>'49 SEMANA'!A9</f>
        <v>0</v>
      </c>
      <c r="B304" s="145">
        <f>'49 SEMANA'!B9</f>
        <v>0</v>
      </c>
      <c r="C304" s="145">
        <f>'49 SEMANA'!C9</f>
        <v>0</v>
      </c>
      <c r="D304" s="145">
        <f>'49 SEMANA'!D9</f>
        <v>0</v>
      </c>
      <c r="E304" s="45">
        <f t="shared" si="57"/>
        <v>52</v>
      </c>
      <c r="F304" s="20">
        <f>+'49 SEMANA'!E9</f>
        <v>0</v>
      </c>
      <c r="G304" s="45">
        <f t="shared" si="58"/>
        <v>52</v>
      </c>
      <c r="H304" s="147">
        <f>+'49 SEMANA'!L9</f>
        <v>0</v>
      </c>
      <c r="I304" s="149">
        <f t="shared" si="65"/>
        <v>0</v>
      </c>
      <c r="J304" s="42">
        <f t="shared" si="59"/>
        <v>52</v>
      </c>
    </row>
    <row r="305" spans="1:10" x14ac:dyDescent="0.25">
      <c r="A305" s="144">
        <f>'49 SEMANA'!A10</f>
        <v>0</v>
      </c>
      <c r="B305" s="145">
        <f>'49 SEMANA'!B10</f>
        <v>0</v>
      </c>
      <c r="C305" s="145">
        <f>'49 SEMANA'!C10</f>
        <v>0</v>
      </c>
      <c r="D305" s="145">
        <f>'49 SEMANA'!D10</f>
        <v>0</v>
      </c>
      <c r="E305" s="45">
        <f t="shared" si="57"/>
        <v>52</v>
      </c>
      <c r="F305" s="20">
        <f>+'49 SEMANA'!E10</f>
        <v>0</v>
      </c>
      <c r="G305" s="45">
        <f t="shared" si="58"/>
        <v>52</v>
      </c>
      <c r="H305" s="147">
        <f>+'49 SEMANA'!L10</f>
        <v>0</v>
      </c>
      <c r="I305" s="149">
        <f t="shared" ref="I305:I310" si="66">+F305-H305</f>
        <v>0</v>
      </c>
      <c r="J305" s="42">
        <f t="shared" si="59"/>
        <v>52</v>
      </c>
    </row>
    <row r="306" spans="1:10" x14ac:dyDescent="0.25">
      <c r="A306" s="144">
        <f>'49 SEMANA'!A11</f>
        <v>0</v>
      </c>
      <c r="B306" s="145">
        <f>'49 SEMANA'!B11</f>
        <v>0</v>
      </c>
      <c r="C306" s="145">
        <f>'49 SEMANA'!C11</f>
        <v>0</v>
      </c>
      <c r="D306" s="145">
        <f>'49 SEMANA'!D11</f>
        <v>0</v>
      </c>
      <c r="E306" s="45">
        <f t="shared" si="57"/>
        <v>52</v>
      </c>
      <c r="F306" s="20">
        <f>+'49 SEMANA'!E11</f>
        <v>0</v>
      </c>
      <c r="G306" s="45">
        <f t="shared" si="58"/>
        <v>52</v>
      </c>
      <c r="H306" s="147">
        <f>+'49 SEMANA'!L11</f>
        <v>0</v>
      </c>
      <c r="I306" s="149">
        <f t="shared" si="66"/>
        <v>0</v>
      </c>
      <c r="J306" s="42">
        <f t="shared" si="59"/>
        <v>52</v>
      </c>
    </row>
    <row r="307" spans="1:10" x14ac:dyDescent="0.25">
      <c r="A307" s="144">
        <f>'49 SEMANA'!A12</f>
        <v>0</v>
      </c>
      <c r="B307" s="145">
        <f>'49 SEMANA'!B12</f>
        <v>0</v>
      </c>
      <c r="C307" s="145">
        <f>'49 SEMANA'!C12</f>
        <v>0</v>
      </c>
      <c r="D307" s="145">
        <f>'49 SEMANA'!D12</f>
        <v>0</v>
      </c>
      <c r="E307" s="45">
        <f t="shared" si="57"/>
        <v>52</v>
      </c>
      <c r="F307" s="20">
        <f>+'49 SEMANA'!E12</f>
        <v>0</v>
      </c>
      <c r="G307" s="45">
        <f t="shared" si="58"/>
        <v>52</v>
      </c>
      <c r="H307" s="147">
        <f>+'49 SEMANA'!L12</f>
        <v>0</v>
      </c>
      <c r="I307" s="149">
        <f t="shared" si="66"/>
        <v>0</v>
      </c>
      <c r="J307" s="42">
        <f t="shared" si="59"/>
        <v>52</v>
      </c>
    </row>
    <row r="308" spans="1:10" x14ac:dyDescent="0.25">
      <c r="A308" s="144">
        <f>'49 SEMANA'!A13</f>
        <v>0</v>
      </c>
      <c r="B308" s="145">
        <f>'49 SEMANA'!B13</f>
        <v>0</v>
      </c>
      <c r="C308" s="145">
        <f>'49 SEMANA'!C13</f>
        <v>0</v>
      </c>
      <c r="D308" s="145">
        <f>'49 SEMANA'!D13</f>
        <v>0</v>
      </c>
      <c r="E308" s="45">
        <f t="shared" si="57"/>
        <v>52</v>
      </c>
      <c r="F308" s="20">
        <f>+'49 SEMANA'!E13</f>
        <v>0</v>
      </c>
      <c r="G308" s="45">
        <f t="shared" si="58"/>
        <v>52</v>
      </c>
      <c r="H308" s="147">
        <f>+'49 SEMANA'!L13</f>
        <v>0</v>
      </c>
      <c r="I308" s="149">
        <f t="shared" si="66"/>
        <v>0</v>
      </c>
      <c r="J308" s="42">
        <f t="shared" si="59"/>
        <v>52</v>
      </c>
    </row>
    <row r="309" spans="1:10" x14ac:dyDescent="0.25">
      <c r="A309" s="144">
        <f>'49 SEMANA'!A14</f>
        <v>0</v>
      </c>
      <c r="B309" s="145">
        <f>'49 SEMANA'!B14</f>
        <v>0</v>
      </c>
      <c r="C309" s="145">
        <f>'49 SEMANA'!C14</f>
        <v>0</v>
      </c>
      <c r="D309" s="145">
        <f>'49 SEMANA'!D14</f>
        <v>0</v>
      </c>
      <c r="E309" s="45">
        <f t="shared" si="57"/>
        <v>52</v>
      </c>
      <c r="F309" s="20">
        <f>+'49 SEMANA'!E14</f>
        <v>0</v>
      </c>
      <c r="G309" s="45">
        <f t="shared" si="58"/>
        <v>52</v>
      </c>
      <c r="H309" s="147">
        <f>+'49 SEMANA'!L14</f>
        <v>0</v>
      </c>
      <c r="I309" s="149">
        <f t="shared" si="66"/>
        <v>0</v>
      </c>
      <c r="J309" s="42">
        <f t="shared" si="59"/>
        <v>52</v>
      </c>
    </row>
    <row r="310" spans="1:10" x14ac:dyDescent="0.25">
      <c r="A310" s="142">
        <f>'50 SEMANA'!A9</f>
        <v>0</v>
      </c>
      <c r="B310" s="143">
        <f>'50 SEMANA'!B9</f>
        <v>0</v>
      </c>
      <c r="C310" s="143">
        <f>'50 SEMANA'!C9</f>
        <v>0</v>
      </c>
      <c r="D310" s="143">
        <f>'50 SEMANA'!D9</f>
        <v>0</v>
      </c>
      <c r="E310" s="45">
        <f t="shared" si="57"/>
        <v>52</v>
      </c>
      <c r="F310" s="20">
        <f>+'50 SEMANA'!E9</f>
        <v>0</v>
      </c>
      <c r="G310" s="45">
        <f t="shared" si="58"/>
        <v>52</v>
      </c>
      <c r="H310" s="147">
        <f>+'50 SEMANA'!L9</f>
        <v>0</v>
      </c>
      <c r="I310" s="149">
        <f t="shared" si="66"/>
        <v>0</v>
      </c>
      <c r="J310" s="42">
        <f t="shared" si="59"/>
        <v>52</v>
      </c>
    </row>
    <row r="311" spans="1:10" x14ac:dyDescent="0.25">
      <c r="A311" s="142">
        <f>'50 SEMANA'!A10</f>
        <v>0</v>
      </c>
      <c r="B311" s="143">
        <f>'50 SEMANA'!B10</f>
        <v>0</v>
      </c>
      <c r="C311" s="143">
        <f>'50 SEMANA'!C10</f>
        <v>0</v>
      </c>
      <c r="D311" s="143">
        <f>'50 SEMANA'!D10</f>
        <v>0</v>
      </c>
      <c r="E311" s="45">
        <f t="shared" si="57"/>
        <v>52</v>
      </c>
      <c r="F311" s="20">
        <f>+'50 SEMANA'!E10</f>
        <v>0</v>
      </c>
      <c r="G311" s="45">
        <f t="shared" si="58"/>
        <v>52</v>
      </c>
      <c r="H311" s="147">
        <f>+'50 SEMANA'!L10</f>
        <v>0</v>
      </c>
      <c r="I311" s="149">
        <f t="shared" ref="I311:I316" si="67">+F311-H311</f>
        <v>0</v>
      </c>
      <c r="J311" s="42">
        <f t="shared" si="59"/>
        <v>52</v>
      </c>
    </row>
    <row r="312" spans="1:10" x14ac:dyDescent="0.25">
      <c r="A312" s="142">
        <f>'50 SEMANA'!A11</f>
        <v>0</v>
      </c>
      <c r="B312" s="143">
        <f>'50 SEMANA'!B11</f>
        <v>0</v>
      </c>
      <c r="C312" s="143">
        <f>'50 SEMANA'!C11</f>
        <v>0</v>
      </c>
      <c r="D312" s="143">
        <f>'50 SEMANA'!D11</f>
        <v>0</v>
      </c>
      <c r="E312" s="45">
        <f t="shared" si="57"/>
        <v>52</v>
      </c>
      <c r="F312" s="20">
        <f>+'50 SEMANA'!E11</f>
        <v>0</v>
      </c>
      <c r="G312" s="45">
        <f t="shared" si="58"/>
        <v>52</v>
      </c>
      <c r="H312" s="147">
        <f>+'50 SEMANA'!L11</f>
        <v>0</v>
      </c>
      <c r="I312" s="149">
        <f t="shared" si="67"/>
        <v>0</v>
      </c>
      <c r="J312" s="42">
        <f t="shared" si="59"/>
        <v>52</v>
      </c>
    </row>
    <row r="313" spans="1:10" x14ac:dyDescent="0.25">
      <c r="A313" s="142">
        <f>'50 SEMANA'!A12</f>
        <v>0</v>
      </c>
      <c r="B313" s="143">
        <f>'50 SEMANA'!B12</f>
        <v>0</v>
      </c>
      <c r="C313" s="143">
        <f>'50 SEMANA'!C12</f>
        <v>0</v>
      </c>
      <c r="D313" s="143">
        <f>'50 SEMANA'!D12</f>
        <v>0</v>
      </c>
      <c r="E313" s="45">
        <f t="shared" si="57"/>
        <v>52</v>
      </c>
      <c r="F313" s="20">
        <f>+'50 SEMANA'!E12</f>
        <v>0</v>
      </c>
      <c r="G313" s="45">
        <f t="shared" si="58"/>
        <v>52</v>
      </c>
      <c r="H313" s="147">
        <f>+'50 SEMANA'!L12</f>
        <v>0</v>
      </c>
      <c r="I313" s="149">
        <f t="shared" si="67"/>
        <v>0</v>
      </c>
      <c r="J313" s="42">
        <f t="shared" si="59"/>
        <v>52</v>
      </c>
    </row>
    <row r="314" spans="1:10" x14ac:dyDescent="0.25">
      <c r="A314" s="142">
        <f>'50 SEMANA'!A13</f>
        <v>0</v>
      </c>
      <c r="B314" s="143">
        <f>'50 SEMANA'!B13</f>
        <v>0</v>
      </c>
      <c r="C314" s="143">
        <f>'50 SEMANA'!C13</f>
        <v>0</v>
      </c>
      <c r="D314" s="143">
        <f>'50 SEMANA'!D13</f>
        <v>0</v>
      </c>
      <c r="E314" s="45">
        <f t="shared" si="57"/>
        <v>52</v>
      </c>
      <c r="F314" s="20">
        <f>+'50 SEMANA'!E13</f>
        <v>0</v>
      </c>
      <c r="G314" s="45">
        <f t="shared" si="58"/>
        <v>52</v>
      </c>
      <c r="H314" s="147">
        <f>+'50 SEMANA'!L13</f>
        <v>0</v>
      </c>
      <c r="I314" s="149">
        <f t="shared" si="67"/>
        <v>0</v>
      </c>
      <c r="J314" s="42">
        <f t="shared" si="59"/>
        <v>52</v>
      </c>
    </row>
    <row r="315" spans="1:10" x14ac:dyDescent="0.25">
      <c r="A315" s="142">
        <f>'50 SEMANA'!A14</f>
        <v>0</v>
      </c>
      <c r="B315" s="143">
        <f>'50 SEMANA'!B14</f>
        <v>0</v>
      </c>
      <c r="C315" s="143">
        <f>'50 SEMANA'!C14</f>
        <v>0</v>
      </c>
      <c r="D315" s="143">
        <f>'50 SEMANA'!D14</f>
        <v>0</v>
      </c>
      <c r="E315" s="45">
        <f t="shared" si="57"/>
        <v>52</v>
      </c>
      <c r="F315" s="20">
        <f>+'50 SEMANA'!E14</f>
        <v>0</v>
      </c>
      <c r="G315" s="45">
        <f t="shared" si="58"/>
        <v>52</v>
      </c>
      <c r="H315" s="147">
        <f>+'50 SEMANA'!L14</f>
        <v>0</v>
      </c>
      <c r="I315" s="149">
        <f t="shared" si="67"/>
        <v>0</v>
      </c>
      <c r="J315" s="42">
        <f t="shared" si="59"/>
        <v>52</v>
      </c>
    </row>
    <row r="316" spans="1:10" x14ac:dyDescent="0.25">
      <c r="A316" s="144">
        <f>'51 SEMANA'!A9</f>
        <v>0</v>
      </c>
      <c r="B316" s="145">
        <f>'51 SEMANA'!B9</f>
        <v>0</v>
      </c>
      <c r="C316" s="145">
        <f>'51 SEMANA'!C9</f>
        <v>0</v>
      </c>
      <c r="D316" s="145">
        <f>'51 SEMANA'!D9</f>
        <v>0</v>
      </c>
      <c r="E316" s="45">
        <f t="shared" si="57"/>
        <v>52</v>
      </c>
      <c r="F316" s="20">
        <f>+'51 SEMANA'!E9</f>
        <v>0</v>
      </c>
      <c r="G316" s="45">
        <f t="shared" si="58"/>
        <v>52</v>
      </c>
      <c r="H316" s="147">
        <f>+'51 SEMANA'!L9</f>
        <v>0</v>
      </c>
      <c r="I316" s="149">
        <f t="shared" si="67"/>
        <v>0</v>
      </c>
      <c r="J316" s="42">
        <f t="shared" si="59"/>
        <v>52</v>
      </c>
    </row>
    <row r="317" spans="1:10" x14ac:dyDescent="0.25">
      <c r="A317" s="144">
        <f>'51 SEMANA'!A10</f>
        <v>0</v>
      </c>
      <c r="B317" s="145">
        <f>'51 SEMANA'!B10</f>
        <v>0</v>
      </c>
      <c r="C317" s="145">
        <f>'51 SEMANA'!C10</f>
        <v>0</v>
      </c>
      <c r="D317" s="145">
        <f>'51 SEMANA'!D10</f>
        <v>0</v>
      </c>
      <c r="E317" s="45">
        <f t="shared" si="57"/>
        <v>52</v>
      </c>
      <c r="F317" s="20">
        <f>+'51 SEMANA'!E10</f>
        <v>0</v>
      </c>
      <c r="G317" s="45">
        <f t="shared" si="58"/>
        <v>52</v>
      </c>
      <c r="H317" s="147">
        <f>+'51 SEMANA'!L10</f>
        <v>0</v>
      </c>
      <c r="I317" s="149">
        <f t="shared" ref="I317:I322" si="68">+F317-H317</f>
        <v>0</v>
      </c>
      <c r="J317" s="42">
        <f t="shared" si="59"/>
        <v>52</v>
      </c>
    </row>
    <row r="318" spans="1:10" x14ac:dyDescent="0.25">
      <c r="A318" s="144">
        <f>'51 SEMANA'!A11</f>
        <v>0</v>
      </c>
      <c r="B318" s="145">
        <f>'51 SEMANA'!B11</f>
        <v>0</v>
      </c>
      <c r="C318" s="145">
        <f>'51 SEMANA'!C11</f>
        <v>0</v>
      </c>
      <c r="D318" s="145">
        <f>'51 SEMANA'!D11</f>
        <v>0</v>
      </c>
      <c r="E318" s="45">
        <f t="shared" si="57"/>
        <v>52</v>
      </c>
      <c r="F318" s="20">
        <f>+'51 SEMANA'!E11</f>
        <v>0</v>
      </c>
      <c r="G318" s="45">
        <f t="shared" si="58"/>
        <v>52</v>
      </c>
      <c r="H318" s="147">
        <f>+'51 SEMANA'!L11</f>
        <v>0</v>
      </c>
      <c r="I318" s="149">
        <f t="shared" si="68"/>
        <v>0</v>
      </c>
      <c r="J318" s="42">
        <f t="shared" si="59"/>
        <v>52</v>
      </c>
    </row>
    <row r="319" spans="1:10" x14ac:dyDescent="0.25">
      <c r="A319" s="144">
        <f>'51 SEMANA'!A12</f>
        <v>0</v>
      </c>
      <c r="B319" s="145">
        <f>'51 SEMANA'!B12</f>
        <v>0</v>
      </c>
      <c r="C319" s="145">
        <f>'51 SEMANA'!C12</f>
        <v>0</v>
      </c>
      <c r="D319" s="145">
        <f>'51 SEMANA'!D12</f>
        <v>0</v>
      </c>
      <c r="E319" s="45">
        <f t="shared" si="57"/>
        <v>52</v>
      </c>
      <c r="F319" s="20">
        <f>+'51 SEMANA'!E12</f>
        <v>0</v>
      </c>
      <c r="G319" s="45">
        <f t="shared" si="58"/>
        <v>52</v>
      </c>
      <c r="H319" s="147">
        <f>+'51 SEMANA'!L12</f>
        <v>0</v>
      </c>
      <c r="I319" s="149">
        <f t="shared" si="68"/>
        <v>0</v>
      </c>
      <c r="J319" s="42">
        <f t="shared" si="59"/>
        <v>52</v>
      </c>
    </row>
    <row r="320" spans="1:10" x14ac:dyDescent="0.25">
      <c r="A320" s="144">
        <f>'51 SEMANA'!A13</f>
        <v>0</v>
      </c>
      <c r="B320" s="145">
        <f>'51 SEMANA'!B13</f>
        <v>0</v>
      </c>
      <c r="C320" s="145">
        <f>'51 SEMANA'!C13</f>
        <v>0</v>
      </c>
      <c r="D320" s="145">
        <f>'51 SEMANA'!D13</f>
        <v>0</v>
      </c>
      <c r="E320" s="45">
        <f t="shared" si="57"/>
        <v>52</v>
      </c>
      <c r="F320" s="20">
        <f>+'51 SEMANA'!E13</f>
        <v>0</v>
      </c>
      <c r="G320" s="45">
        <f t="shared" si="58"/>
        <v>52</v>
      </c>
      <c r="H320" s="147">
        <f>+'51 SEMANA'!L13</f>
        <v>0</v>
      </c>
      <c r="I320" s="149">
        <f t="shared" si="68"/>
        <v>0</v>
      </c>
      <c r="J320" s="42">
        <f t="shared" si="59"/>
        <v>52</v>
      </c>
    </row>
    <row r="321" spans="1:13" x14ac:dyDescent="0.25">
      <c r="A321" s="144">
        <f>'51 SEMANA'!A14</f>
        <v>0</v>
      </c>
      <c r="B321" s="145">
        <f>'51 SEMANA'!B14</f>
        <v>0</v>
      </c>
      <c r="C321" s="145">
        <f>'51 SEMANA'!C14</f>
        <v>0</v>
      </c>
      <c r="D321" s="145">
        <f>'51 SEMANA'!D14</f>
        <v>0</v>
      </c>
      <c r="E321" s="45">
        <f t="shared" si="57"/>
        <v>52</v>
      </c>
      <c r="F321" s="20">
        <f>+'51 SEMANA'!E14</f>
        <v>0</v>
      </c>
      <c r="G321" s="45">
        <f t="shared" si="58"/>
        <v>52</v>
      </c>
      <c r="H321" s="147">
        <f>+'51 SEMANA'!L14</f>
        <v>0</v>
      </c>
      <c r="I321" s="149">
        <f t="shared" si="68"/>
        <v>0</v>
      </c>
      <c r="J321" s="42">
        <f t="shared" si="59"/>
        <v>52</v>
      </c>
    </row>
    <row r="322" spans="1:13" x14ac:dyDescent="0.25">
      <c r="A322" s="142">
        <f>'52 SEMANA '!A9</f>
        <v>0</v>
      </c>
      <c r="B322" s="143">
        <f>'52 SEMANA '!B9</f>
        <v>0</v>
      </c>
      <c r="C322" s="143">
        <f>'52 SEMANA '!C9</f>
        <v>0</v>
      </c>
      <c r="D322" s="143">
        <f>'52 SEMANA '!D9</f>
        <v>0</v>
      </c>
      <c r="E322" s="45">
        <f t="shared" si="57"/>
        <v>52</v>
      </c>
      <c r="F322" s="20">
        <f>+'52 SEMANA '!E9</f>
        <v>0</v>
      </c>
      <c r="G322" s="45">
        <f t="shared" si="58"/>
        <v>52</v>
      </c>
      <c r="H322" s="147">
        <f>+'52 SEMANA '!L9</f>
        <v>0</v>
      </c>
      <c r="I322" s="149">
        <f t="shared" si="68"/>
        <v>0</v>
      </c>
      <c r="J322" s="42">
        <f t="shared" si="59"/>
        <v>52</v>
      </c>
    </row>
    <row r="323" spans="1:13" x14ac:dyDescent="0.25">
      <c r="A323" s="142">
        <f>'52 SEMANA '!A10</f>
        <v>0</v>
      </c>
      <c r="B323" s="143">
        <f>'52 SEMANA '!B10</f>
        <v>0</v>
      </c>
      <c r="C323" s="143">
        <f>'52 SEMANA '!C10</f>
        <v>0</v>
      </c>
      <c r="D323" s="143">
        <f>'52 SEMANA '!D10</f>
        <v>0</v>
      </c>
      <c r="E323" s="45">
        <f t="shared" si="57"/>
        <v>52</v>
      </c>
      <c r="F323" s="20">
        <f>+'52 SEMANA '!E10</f>
        <v>0</v>
      </c>
      <c r="G323" s="45">
        <f t="shared" si="58"/>
        <v>52</v>
      </c>
      <c r="H323" s="147">
        <f>+'52 SEMANA '!L10</f>
        <v>0</v>
      </c>
      <c r="I323" s="149">
        <f t="shared" ref="I323:I328" si="69">+F323-H323</f>
        <v>0</v>
      </c>
      <c r="J323" s="42">
        <f t="shared" si="59"/>
        <v>52</v>
      </c>
    </row>
    <row r="324" spans="1:13" x14ac:dyDescent="0.25">
      <c r="A324" s="142">
        <f>'52 SEMANA '!A11</f>
        <v>0</v>
      </c>
      <c r="B324" s="143">
        <f>'52 SEMANA '!B11</f>
        <v>0</v>
      </c>
      <c r="C324" s="143">
        <f>'52 SEMANA '!C11</f>
        <v>0</v>
      </c>
      <c r="D324" s="143">
        <f>'52 SEMANA '!D11</f>
        <v>0</v>
      </c>
      <c r="E324" s="45">
        <f t="shared" si="57"/>
        <v>52</v>
      </c>
      <c r="F324" s="20">
        <f>+'52 SEMANA '!E11</f>
        <v>0</v>
      </c>
      <c r="G324" s="45">
        <f t="shared" si="58"/>
        <v>52</v>
      </c>
      <c r="H324" s="147">
        <f>+'52 SEMANA '!L11</f>
        <v>0</v>
      </c>
      <c r="I324" s="149">
        <f t="shared" si="69"/>
        <v>0</v>
      </c>
      <c r="J324" s="42">
        <f t="shared" si="59"/>
        <v>52</v>
      </c>
    </row>
    <row r="325" spans="1:13" x14ac:dyDescent="0.25">
      <c r="A325" s="142">
        <f>'52 SEMANA '!A12</f>
        <v>0</v>
      </c>
      <c r="B325" s="143">
        <f>'52 SEMANA '!B12</f>
        <v>0</v>
      </c>
      <c r="C325" s="143">
        <f>'52 SEMANA '!C12</f>
        <v>0</v>
      </c>
      <c r="D325" s="143">
        <f>'52 SEMANA '!D12</f>
        <v>0</v>
      </c>
      <c r="E325" s="45">
        <f t="shared" si="57"/>
        <v>52</v>
      </c>
      <c r="F325" s="20">
        <f>+'52 SEMANA '!E12</f>
        <v>0</v>
      </c>
      <c r="G325" s="45">
        <f t="shared" si="58"/>
        <v>52</v>
      </c>
      <c r="H325" s="147">
        <f>+'52 SEMANA '!L12</f>
        <v>0</v>
      </c>
      <c r="I325" s="149">
        <f t="shared" si="69"/>
        <v>0</v>
      </c>
      <c r="J325" s="42">
        <f t="shared" si="59"/>
        <v>52</v>
      </c>
    </row>
    <row r="326" spans="1:13" x14ac:dyDescent="0.25">
      <c r="A326" s="142">
        <f>'52 SEMANA '!A13</f>
        <v>0</v>
      </c>
      <c r="B326" s="143">
        <f>'52 SEMANA '!B13</f>
        <v>0</v>
      </c>
      <c r="C326" s="143">
        <f>'52 SEMANA '!C13</f>
        <v>0</v>
      </c>
      <c r="D326" s="143">
        <f>'52 SEMANA '!D13</f>
        <v>0</v>
      </c>
      <c r="E326" s="45">
        <f t="shared" si="57"/>
        <v>52</v>
      </c>
      <c r="F326" s="20">
        <f>+'52 SEMANA '!E13</f>
        <v>0</v>
      </c>
      <c r="G326" s="45">
        <f t="shared" si="58"/>
        <v>52</v>
      </c>
      <c r="H326" s="147">
        <f>+'52 SEMANA '!L13</f>
        <v>0</v>
      </c>
      <c r="I326" s="149">
        <f t="shared" si="69"/>
        <v>0</v>
      </c>
      <c r="J326" s="42">
        <f t="shared" si="59"/>
        <v>52</v>
      </c>
    </row>
    <row r="327" spans="1:13" x14ac:dyDescent="0.25">
      <c r="A327" s="142">
        <f>'52 SEMANA '!A14</f>
        <v>0</v>
      </c>
      <c r="B327" s="143">
        <f>'52 SEMANA '!B14</f>
        <v>0</v>
      </c>
      <c r="C327" s="143">
        <f>'52 SEMANA '!C14</f>
        <v>0</v>
      </c>
      <c r="D327" s="143">
        <f>'52 SEMANA '!D14</f>
        <v>0</v>
      </c>
      <c r="E327" s="45">
        <f t="shared" si="57"/>
        <v>52</v>
      </c>
      <c r="F327" s="20">
        <f>+'52 SEMANA '!E14</f>
        <v>0</v>
      </c>
      <c r="G327" s="45">
        <f t="shared" si="58"/>
        <v>52</v>
      </c>
      <c r="H327" s="147">
        <f>+'52 SEMANA '!L14</f>
        <v>0</v>
      </c>
      <c r="I327" s="149">
        <f t="shared" si="69"/>
        <v>0</v>
      </c>
      <c r="J327" s="42">
        <f t="shared" si="59"/>
        <v>52</v>
      </c>
    </row>
    <row r="328" spans="1:13" x14ac:dyDescent="0.25">
      <c r="A328" s="37">
        <f>+'SALDOS INICIALES'!A9</f>
        <v>46006</v>
      </c>
      <c r="B328" s="106">
        <f>+'SALDOS INICIALES'!B9</f>
        <v>1</v>
      </c>
      <c r="C328" s="106" t="str">
        <f>+'SALDOS INICIALES'!C9</f>
        <v>CARLOS CESAR SILVA HDEZ</v>
      </c>
      <c r="D328" s="106" t="str">
        <f>+'SALDOS INICIALES'!D9</f>
        <v xml:space="preserve">COCINA </v>
      </c>
      <c r="E328" s="38" t="str">
        <f ca="1">IF(K328&lt;$M328,"0",IF(K328=$M328,"AÑO EN CURSO","AÑO EN CURSO"))</f>
        <v>0</v>
      </c>
      <c r="F328" s="18">
        <f>+'SALDOS INICIALES'!E9</f>
        <v>4500</v>
      </c>
      <c r="G328" s="38" t="str">
        <f t="shared" ref="G328:G360" ca="1" si="70">IF(K328&lt;$M328,"0",IF(K328=$M328,"AÑO EN CURSO","AÑO EN CURSO"))</f>
        <v>0</v>
      </c>
      <c r="H328" s="107">
        <f>+'SALDOS INICIALES'!T9</f>
        <v>4000</v>
      </c>
      <c r="I328" s="69">
        <f t="shared" si="69"/>
        <v>500</v>
      </c>
      <c r="J328" s="109" t="str">
        <f t="shared" ref="J328:J360" ca="1" si="71">IF(K328&lt;$M328,"0",IF(K328=$M328,"AÑO EN CURSO","AÑO EN CURSO"))</f>
        <v>0</v>
      </c>
      <c r="K328">
        <f>YEAR(A328)</f>
        <v>2025</v>
      </c>
      <c r="L328" s="108">
        <f ca="1">TODAY()</f>
        <v>46077</v>
      </c>
      <c r="M328">
        <f ca="1">YEAR(L328)</f>
        <v>2026</v>
      </c>
    </row>
    <row r="329" spans="1:13" x14ac:dyDescent="0.25">
      <c r="A329" s="37">
        <f>+'SALDOS INICIALES'!A10</f>
        <v>45957</v>
      </c>
      <c r="B329" s="106">
        <f>+'SALDOS INICIALES'!B10</f>
        <v>24</v>
      </c>
      <c r="C329" s="106" t="str">
        <f>+'SALDOS INICIALES'!C10</f>
        <v>LUIS ÁNGEL QUIROZ LLANITO</v>
      </c>
      <c r="D329" s="106" t="str">
        <f>+'SALDOS INICIALES'!D10</f>
        <v xml:space="preserve">COMEDOR </v>
      </c>
      <c r="E329" s="38" t="str">
        <f ca="1">IF(K329&lt;M329,"0",IF(K329=M329,"AÑO EN CURSO","AÑO EN CURSO"))</f>
        <v>0</v>
      </c>
      <c r="F329" s="18">
        <f>+'SALDOS INICIALES'!E10</f>
        <v>1000</v>
      </c>
      <c r="G329" s="38" t="str">
        <f t="shared" ca="1" si="70"/>
        <v>0</v>
      </c>
      <c r="H329" s="107">
        <f>+'SALDOS INICIALES'!T10</f>
        <v>1000</v>
      </c>
      <c r="I329" s="69">
        <f t="shared" ref="I329:I334" si="72">+F329-H329</f>
        <v>0</v>
      </c>
      <c r="J329" s="109" t="str">
        <f t="shared" ca="1" si="71"/>
        <v>0</v>
      </c>
      <c r="K329">
        <f t="shared" ref="K329:K334" si="73">YEAR(A329)</f>
        <v>2025</v>
      </c>
      <c r="L329" s="108">
        <f t="shared" ref="L329:L360" ca="1" si="74">TODAY()</f>
        <v>46077</v>
      </c>
      <c r="M329">
        <f t="shared" ref="M329:M334" ca="1" si="75">YEAR(L329)</f>
        <v>2026</v>
      </c>
    </row>
    <row r="330" spans="1:13" x14ac:dyDescent="0.25">
      <c r="A330" s="37">
        <f>+'SALDOS INICIALES'!A11</f>
        <v>45810</v>
      </c>
      <c r="B330" s="106">
        <f>+'SALDOS INICIALES'!B11</f>
        <v>49</v>
      </c>
      <c r="C330" s="106" t="str">
        <f>+'SALDOS INICIALES'!C11</f>
        <v xml:space="preserve">REY LEOPOLDO CHAVEZ SILVA </v>
      </c>
      <c r="D330" s="106" t="str">
        <f>+'SALDOS INICIALES'!D11</f>
        <v xml:space="preserve">COMEDOR </v>
      </c>
      <c r="E330" s="38" t="str">
        <f t="shared" ref="E330:E360" ca="1" si="76">IF(K330&lt;$M330,"0",IF(K330=$M330,"AÑO EN CURSO","AÑO EN CURSO"))</f>
        <v>0</v>
      </c>
      <c r="F330" s="18">
        <f>+'SALDOS INICIALES'!E11</f>
        <v>10000</v>
      </c>
      <c r="G330" s="38" t="str">
        <f t="shared" ca="1" si="70"/>
        <v>0</v>
      </c>
      <c r="H330" s="107">
        <f>+'SALDOS INICIALES'!T11</f>
        <v>4000</v>
      </c>
      <c r="I330" s="69">
        <f t="shared" si="72"/>
        <v>6000</v>
      </c>
      <c r="J330" s="109" t="str">
        <f t="shared" ca="1" si="71"/>
        <v>0</v>
      </c>
      <c r="K330">
        <f t="shared" si="73"/>
        <v>2025</v>
      </c>
      <c r="L330" s="108">
        <f t="shared" ca="1" si="74"/>
        <v>46077</v>
      </c>
      <c r="M330">
        <f t="shared" ca="1" si="75"/>
        <v>2026</v>
      </c>
    </row>
    <row r="331" spans="1:13" x14ac:dyDescent="0.25">
      <c r="A331" s="37">
        <f>+'SALDOS INICIALES'!A12</f>
        <v>45957</v>
      </c>
      <c r="B331" s="106">
        <f>+'SALDOS INICIALES'!B12</f>
        <v>110</v>
      </c>
      <c r="C331" s="106" t="str">
        <f>+'SALDOS INICIALES'!C12</f>
        <v xml:space="preserve">AVELINO REYES Ruiz </v>
      </c>
      <c r="D331" s="106" t="str">
        <f>+'SALDOS INICIALES'!D12</f>
        <v xml:space="preserve">COMEDOR </v>
      </c>
      <c r="E331" s="38" t="str">
        <f t="shared" ca="1" si="76"/>
        <v>0</v>
      </c>
      <c r="F331" s="18">
        <f>+'SALDOS INICIALES'!E12</f>
        <v>1000</v>
      </c>
      <c r="G331" s="38" t="str">
        <f t="shared" ca="1" si="70"/>
        <v>0</v>
      </c>
      <c r="H331" s="107">
        <f>+'SALDOS INICIALES'!T12</f>
        <v>1000</v>
      </c>
      <c r="I331" s="69">
        <f t="shared" si="72"/>
        <v>0</v>
      </c>
      <c r="J331" s="109" t="str">
        <f t="shared" ca="1" si="71"/>
        <v>0</v>
      </c>
      <c r="K331">
        <f t="shared" si="73"/>
        <v>2025</v>
      </c>
      <c r="L331" s="108">
        <f t="shared" ca="1" si="74"/>
        <v>46077</v>
      </c>
      <c r="M331">
        <f t="shared" ca="1" si="75"/>
        <v>2026</v>
      </c>
    </row>
    <row r="332" spans="1:13" x14ac:dyDescent="0.25">
      <c r="A332" s="37">
        <f>+'SALDOS INICIALES'!A13</f>
        <v>45971</v>
      </c>
      <c r="B332" s="106">
        <f>+'SALDOS INICIALES'!B13</f>
        <v>129</v>
      </c>
      <c r="C332" s="106" t="str">
        <f>+'SALDOS INICIALES'!C13</f>
        <v>REYES ENRÍQUEZ GARCÍA</v>
      </c>
      <c r="D332" s="106" t="str">
        <f>+'SALDOS INICIALES'!D13</f>
        <v xml:space="preserve">COCINA </v>
      </c>
      <c r="E332" s="38" t="str">
        <f t="shared" ca="1" si="76"/>
        <v>0</v>
      </c>
      <c r="F332" s="18">
        <f>+'SALDOS INICIALES'!E13</f>
        <v>200</v>
      </c>
      <c r="G332" s="38" t="str">
        <f t="shared" ca="1" si="70"/>
        <v>0</v>
      </c>
      <c r="H332" s="107">
        <f>+'SALDOS INICIALES'!T13</f>
        <v>200</v>
      </c>
      <c r="I332" s="69">
        <f t="shared" si="72"/>
        <v>0</v>
      </c>
      <c r="J332" s="109" t="str">
        <f t="shared" ca="1" si="71"/>
        <v>0</v>
      </c>
      <c r="K332">
        <f t="shared" si="73"/>
        <v>2025</v>
      </c>
      <c r="L332" s="108">
        <f t="shared" ca="1" si="74"/>
        <v>46077</v>
      </c>
      <c r="M332">
        <f t="shared" ca="1" si="75"/>
        <v>2026</v>
      </c>
    </row>
    <row r="333" spans="1:13" x14ac:dyDescent="0.25">
      <c r="A333" s="37">
        <f>+'SALDOS INICIALES'!A14</f>
        <v>45992</v>
      </c>
      <c r="B333" s="106">
        <f>+'SALDOS INICIALES'!B14</f>
        <v>221</v>
      </c>
      <c r="C333" s="106" t="str">
        <f>+'SALDOS INICIALES'!C14</f>
        <v>JOSÉ JULIO TAPIA CABRERA</v>
      </c>
      <c r="D333" s="106" t="str">
        <f>+'SALDOS INICIALES'!D14</f>
        <v xml:space="preserve">COCINA </v>
      </c>
      <c r="E333" s="38" t="str">
        <f t="shared" ca="1" si="76"/>
        <v>0</v>
      </c>
      <c r="F333" s="18">
        <f>+'SALDOS INICIALES'!E14</f>
        <v>3150</v>
      </c>
      <c r="G333" s="38" t="str">
        <f t="shared" ca="1" si="70"/>
        <v>0</v>
      </c>
      <c r="H333" s="107">
        <f>+'SALDOS INICIALES'!T14</f>
        <v>3150</v>
      </c>
      <c r="I333" s="69">
        <f t="shared" si="72"/>
        <v>0</v>
      </c>
      <c r="J333" s="109" t="str">
        <f t="shared" ca="1" si="71"/>
        <v>0</v>
      </c>
      <c r="K333">
        <f t="shared" si="73"/>
        <v>2025</v>
      </c>
      <c r="L333" s="108">
        <f t="shared" ca="1" si="74"/>
        <v>46077</v>
      </c>
      <c r="M333">
        <f t="shared" ca="1" si="75"/>
        <v>2026</v>
      </c>
    </row>
    <row r="334" spans="1:13" x14ac:dyDescent="0.25">
      <c r="A334" s="37">
        <f>+'SALDOS INICIALES'!A15</f>
        <v>45985</v>
      </c>
      <c r="B334" s="106">
        <f>+'SALDOS INICIALES'!B15</f>
        <v>296</v>
      </c>
      <c r="C334" s="106" t="str">
        <f>+'SALDOS INICIALES'!C15</f>
        <v>ALBERTO PORTILLO FÉLIX</v>
      </c>
      <c r="D334" s="106" t="str">
        <f>+'SALDOS INICIALES'!D15</f>
        <v xml:space="preserve">COMEDOR </v>
      </c>
      <c r="E334" s="38" t="str">
        <f t="shared" ca="1" si="76"/>
        <v>0</v>
      </c>
      <c r="F334" s="18">
        <f>+'SALDOS INICIALES'!E15</f>
        <v>2200</v>
      </c>
      <c r="G334" s="38" t="str">
        <f t="shared" ca="1" si="70"/>
        <v>0</v>
      </c>
      <c r="H334" s="107">
        <f>+'SALDOS INICIALES'!T15</f>
        <v>2200</v>
      </c>
      <c r="I334" s="69">
        <f t="shared" si="72"/>
        <v>0</v>
      </c>
      <c r="J334" s="109" t="str">
        <f t="shared" ca="1" si="71"/>
        <v>0</v>
      </c>
      <c r="K334">
        <f t="shared" si="73"/>
        <v>2025</v>
      </c>
      <c r="L334" s="108">
        <f t="shared" ca="1" si="74"/>
        <v>46077</v>
      </c>
      <c r="M334">
        <f t="shared" ca="1" si="75"/>
        <v>2026</v>
      </c>
    </row>
    <row r="335" spans="1:13" x14ac:dyDescent="0.25">
      <c r="A335" s="37">
        <f>+'SALDOS INICIALES'!A16</f>
        <v>45985</v>
      </c>
      <c r="B335" s="106">
        <f>+'SALDOS INICIALES'!B16</f>
        <v>298</v>
      </c>
      <c r="C335" s="106" t="str">
        <f>+'SALDOS INICIALES'!C16</f>
        <v>JENNIFER ROSAS MARTÍNEZ</v>
      </c>
      <c r="D335" s="106" t="str">
        <f>+'SALDOS INICIALES'!D16</f>
        <v xml:space="preserve">COCINA </v>
      </c>
      <c r="E335" s="38" t="str">
        <f t="shared" ca="1" si="76"/>
        <v>0</v>
      </c>
      <c r="F335" s="18">
        <f>+'SALDOS INICIALES'!E16</f>
        <v>4800</v>
      </c>
      <c r="G335" s="38" t="str">
        <f t="shared" ca="1" si="70"/>
        <v>0</v>
      </c>
      <c r="H335" s="107">
        <f>+'SALDOS INICIALES'!T16</f>
        <v>3600</v>
      </c>
      <c r="I335" s="69">
        <f t="shared" ref="I335:I360" si="77">+F335-H335</f>
        <v>1200</v>
      </c>
      <c r="J335" s="109" t="str">
        <f t="shared" ca="1" si="71"/>
        <v>0</v>
      </c>
      <c r="K335">
        <f t="shared" ref="K335:K356" si="78">YEAR(A335)</f>
        <v>2025</v>
      </c>
      <c r="L335" s="108">
        <f t="shared" ca="1" si="74"/>
        <v>46077</v>
      </c>
      <c r="M335">
        <f t="shared" ref="M335:M356" ca="1" si="79">YEAR(L335)</f>
        <v>2026</v>
      </c>
    </row>
    <row r="336" spans="1:13" x14ac:dyDescent="0.25">
      <c r="A336" s="37">
        <f>+'SALDOS INICIALES'!A17</f>
        <v>45943</v>
      </c>
      <c r="B336" s="106">
        <f>+'SALDOS INICIALES'!B17</f>
        <v>334</v>
      </c>
      <c r="C336" s="106" t="str">
        <f>+'SALDOS INICIALES'!C17</f>
        <v xml:space="preserve">RAFAEL VALDEZ MAYA </v>
      </c>
      <c r="D336" s="106" t="str">
        <f>+'SALDOS INICIALES'!D17</f>
        <v xml:space="preserve">COCINA </v>
      </c>
      <c r="E336" s="38" t="str">
        <f t="shared" ca="1" si="76"/>
        <v>0</v>
      </c>
      <c r="F336" s="18">
        <f>+'SALDOS INICIALES'!E17</f>
        <v>2000</v>
      </c>
      <c r="G336" s="38" t="str">
        <f t="shared" ca="1" si="70"/>
        <v>0</v>
      </c>
      <c r="H336" s="107">
        <f>+'SALDOS INICIALES'!T17</f>
        <v>2000</v>
      </c>
      <c r="I336" s="69">
        <f t="shared" si="77"/>
        <v>0</v>
      </c>
      <c r="J336" s="109" t="str">
        <f t="shared" ca="1" si="71"/>
        <v>0</v>
      </c>
      <c r="K336">
        <f t="shared" si="78"/>
        <v>2025</v>
      </c>
      <c r="L336" s="108">
        <f t="shared" ca="1" si="74"/>
        <v>46077</v>
      </c>
      <c r="M336">
        <f t="shared" ca="1" si="79"/>
        <v>2026</v>
      </c>
    </row>
    <row r="337" spans="1:13" x14ac:dyDescent="0.25">
      <c r="A337" s="37">
        <f>+'SALDOS INICIALES'!A18</f>
        <v>46006</v>
      </c>
      <c r="B337" s="106">
        <f>+'SALDOS INICIALES'!B18</f>
        <v>351</v>
      </c>
      <c r="C337" s="106" t="str">
        <f>+'SALDOS INICIALES'!C18</f>
        <v>MARTIN MARTINEZ HERNANDEZ</v>
      </c>
      <c r="D337" s="106" t="str">
        <f>+'SALDOS INICIALES'!D18</f>
        <v xml:space="preserve">COCINA </v>
      </c>
      <c r="E337" s="38" t="str">
        <f t="shared" ca="1" si="76"/>
        <v>0</v>
      </c>
      <c r="F337" s="18">
        <f>+'SALDOS INICIALES'!E18</f>
        <v>2700</v>
      </c>
      <c r="G337" s="38" t="str">
        <f t="shared" ca="1" si="70"/>
        <v>0</v>
      </c>
      <c r="H337" s="107">
        <f>+'SALDOS INICIALES'!T18</f>
        <v>1500</v>
      </c>
      <c r="I337" s="69">
        <f t="shared" si="77"/>
        <v>1200</v>
      </c>
      <c r="J337" s="109" t="str">
        <f t="shared" ca="1" si="71"/>
        <v>0</v>
      </c>
      <c r="K337">
        <f t="shared" si="78"/>
        <v>2025</v>
      </c>
      <c r="L337" s="108">
        <f t="shared" ca="1" si="74"/>
        <v>46077</v>
      </c>
      <c r="M337">
        <f t="shared" ca="1" si="79"/>
        <v>2026</v>
      </c>
    </row>
    <row r="338" spans="1:13" x14ac:dyDescent="0.25">
      <c r="A338" s="37">
        <f>+'SALDOS INICIALES'!A19</f>
        <v>45933</v>
      </c>
      <c r="B338" s="106">
        <f>+'SALDOS INICIALES'!B19</f>
        <v>362</v>
      </c>
      <c r="C338" s="106" t="str">
        <f>+'SALDOS INICIALES'!C19</f>
        <v>KAREN VALERIA MUÑOZ SUAREZ</v>
      </c>
      <c r="D338" s="106" t="str">
        <f>+'SALDOS INICIALES'!D19</f>
        <v xml:space="preserve">COCINA </v>
      </c>
      <c r="E338" s="38" t="str">
        <f t="shared" ca="1" si="76"/>
        <v>0</v>
      </c>
      <c r="F338" s="18">
        <f>+'SALDOS INICIALES'!E19</f>
        <v>3600</v>
      </c>
      <c r="G338" s="38" t="str">
        <f t="shared" ca="1" si="70"/>
        <v>0</v>
      </c>
      <c r="H338" s="107">
        <f>+'SALDOS INICIALES'!T19</f>
        <v>3600</v>
      </c>
      <c r="I338" s="69">
        <f t="shared" si="77"/>
        <v>0</v>
      </c>
      <c r="J338" s="109" t="str">
        <f t="shared" ca="1" si="71"/>
        <v>0</v>
      </c>
      <c r="K338">
        <f t="shared" si="78"/>
        <v>2025</v>
      </c>
      <c r="L338" s="108">
        <f t="shared" ca="1" si="74"/>
        <v>46077</v>
      </c>
      <c r="M338">
        <f t="shared" ca="1" si="79"/>
        <v>2026</v>
      </c>
    </row>
    <row r="339" spans="1:13" x14ac:dyDescent="0.25">
      <c r="A339" s="37">
        <f>+'SALDOS INICIALES'!A20</f>
        <v>45915</v>
      </c>
      <c r="B339" s="106">
        <f>+'SALDOS INICIALES'!B20</f>
        <v>438</v>
      </c>
      <c r="C339" s="106" t="str">
        <f>+'SALDOS INICIALES'!C20</f>
        <v>CELIA GRANJA DURAN</v>
      </c>
      <c r="D339" s="106" t="str">
        <f>+'SALDOS INICIALES'!D20</f>
        <v>INCAPACIDAD</v>
      </c>
      <c r="E339" s="38" t="str">
        <f t="shared" ca="1" si="76"/>
        <v>0</v>
      </c>
      <c r="F339" s="18">
        <f>+'SALDOS INICIALES'!E20</f>
        <v>2400</v>
      </c>
      <c r="G339" s="38" t="str">
        <f t="shared" ca="1" si="70"/>
        <v>0</v>
      </c>
      <c r="H339" s="107">
        <f>+'SALDOS INICIALES'!T20</f>
        <v>0</v>
      </c>
      <c r="I339" s="69">
        <f t="shared" si="77"/>
        <v>2400</v>
      </c>
      <c r="J339" s="109" t="str">
        <f t="shared" ca="1" si="71"/>
        <v>0</v>
      </c>
      <c r="K339">
        <f t="shared" si="78"/>
        <v>2025</v>
      </c>
      <c r="L339" s="108">
        <f t="shared" ca="1" si="74"/>
        <v>46077</v>
      </c>
      <c r="M339">
        <f t="shared" ca="1" si="79"/>
        <v>2026</v>
      </c>
    </row>
    <row r="340" spans="1:13" x14ac:dyDescent="0.25">
      <c r="A340" s="37">
        <f>+'SALDOS INICIALES'!A21</f>
        <v>45922</v>
      </c>
      <c r="B340" s="106">
        <f>+'SALDOS INICIALES'!B21</f>
        <v>479</v>
      </c>
      <c r="C340" s="106" t="str">
        <f>+'SALDOS INICIALES'!C21</f>
        <v xml:space="preserve">JULIO CESAR NORIEGA ZACARIAS </v>
      </c>
      <c r="D340" s="106" t="str">
        <f>+'SALDOS INICIALES'!D21</f>
        <v xml:space="preserve">COCINA </v>
      </c>
      <c r="E340" s="38" t="str">
        <f t="shared" ca="1" si="76"/>
        <v>0</v>
      </c>
      <c r="F340" s="18">
        <f>+'SALDOS INICIALES'!E21</f>
        <v>850</v>
      </c>
      <c r="G340" s="38" t="str">
        <f t="shared" ca="1" si="70"/>
        <v>0</v>
      </c>
      <c r="H340" s="107">
        <f>+'SALDOS INICIALES'!T21</f>
        <v>850</v>
      </c>
      <c r="I340" s="69">
        <f t="shared" si="77"/>
        <v>0</v>
      </c>
      <c r="J340" s="109" t="str">
        <f t="shared" ca="1" si="71"/>
        <v>0</v>
      </c>
      <c r="K340">
        <f t="shared" si="78"/>
        <v>2025</v>
      </c>
      <c r="L340" s="108">
        <f t="shared" ca="1" si="74"/>
        <v>46077</v>
      </c>
      <c r="M340">
        <f t="shared" ca="1" si="79"/>
        <v>2026</v>
      </c>
    </row>
    <row r="341" spans="1:13" x14ac:dyDescent="0.25">
      <c r="A341" s="37">
        <f>+'SALDOS INICIALES'!A22</f>
        <v>45999</v>
      </c>
      <c r="B341" s="106">
        <f>+'SALDOS INICIALES'!B22</f>
        <v>483</v>
      </c>
      <c r="C341" s="106" t="str">
        <f>+'SALDOS INICIALES'!C22</f>
        <v>DANIEL VILLEDA JIMENEZ</v>
      </c>
      <c r="D341" s="106" t="str">
        <f>+'SALDOS INICIALES'!D22</f>
        <v xml:space="preserve">COMEDOR </v>
      </c>
      <c r="E341" s="38" t="str">
        <f t="shared" ca="1" si="76"/>
        <v>0</v>
      </c>
      <c r="F341" s="18">
        <f>+'SALDOS INICIALES'!E22</f>
        <v>4000</v>
      </c>
      <c r="G341" s="38" t="str">
        <f t="shared" ca="1" si="70"/>
        <v>0</v>
      </c>
      <c r="H341" s="107">
        <f>+'SALDOS INICIALES'!T22</f>
        <v>4000</v>
      </c>
      <c r="I341" s="69">
        <f t="shared" si="77"/>
        <v>0</v>
      </c>
      <c r="J341" s="109" t="str">
        <f t="shared" ca="1" si="71"/>
        <v>0</v>
      </c>
      <c r="K341">
        <f t="shared" si="78"/>
        <v>2025</v>
      </c>
      <c r="L341" s="108">
        <f t="shared" ca="1" si="74"/>
        <v>46077</v>
      </c>
      <c r="M341">
        <f t="shared" ca="1" si="79"/>
        <v>2026</v>
      </c>
    </row>
    <row r="342" spans="1:13" x14ac:dyDescent="0.25">
      <c r="A342" s="37">
        <f>+'SALDOS INICIALES'!A23</f>
        <v>45957</v>
      </c>
      <c r="B342" s="106">
        <f>+'SALDOS INICIALES'!B23</f>
        <v>598</v>
      </c>
      <c r="C342" s="106" t="str">
        <f>+'SALDOS INICIALES'!C23</f>
        <v>JONATHAN LOPEZ JARAMILLO</v>
      </c>
      <c r="D342" s="106" t="str">
        <f>+'SALDOS INICIALES'!D23</f>
        <v xml:space="preserve">COMEDOR </v>
      </c>
      <c r="E342" s="38" t="str">
        <f t="shared" ca="1" si="76"/>
        <v>0</v>
      </c>
      <c r="F342" s="18">
        <f>+'SALDOS INICIALES'!E23</f>
        <v>400</v>
      </c>
      <c r="G342" s="38" t="str">
        <f t="shared" ca="1" si="70"/>
        <v>0</v>
      </c>
      <c r="H342" s="107">
        <f>+'SALDOS INICIALES'!T23</f>
        <v>400</v>
      </c>
      <c r="I342" s="69">
        <f t="shared" si="77"/>
        <v>0</v>
      </c>
      <c r="J342" s="109" t="str">
        <f t="shared" ca="1" si="71"/>
        <v>0</v>
      </c>
      <c r="K342">
        <f t="shared" si="78"/>
        <v>2025</v>
      </c>
      <c r="L342" s="108">
        <f t="shared" ca="1" si="74"/>
        <v>46077</v>
      </c>
      <c r="M342">
        <f t="shared" ca="1" si="79"/>
        <v>2026</v>
      </c>
    </row>
    <row r="343" spans="1:13" x14ac:dyDescent="0.25">
      <c r="A343" s="37">
        <f>+'SALDOS INICIALES'!A24</f>
        <v>45964</v>
      </c>
      <c r="B343" s="106">
        <f>+'SALDOS INICIALES'!B24</f>
        <v>610</v>
      </c>
      <c r="C343" s="106" t="str">
        <f>+'SALDOS INICIALES'!C24</f>
        <v>JESUS RAMIREZ RAMIREZ</v>
      </c>
      <c r="D343" s="106" t="str">
        <f>+'SALDOS INICIALES'!D24</f>
        <v xml:space="preserve">COMEDOR </v>
      </c>
      <c r="E343" s="38" t="str">
        <f t="shared" ca="1" si="76"/>
        <v>0</v>
      </c>
      <c r="F343" s="18">
        <f>+'SALDOS INICIALES'!E24</f>
        <v>1500</v>
      </c>
      <c r="G343" s="38" t="str">
        <f t="shared" ca="1" si="70"/>
        <v>0</v>
      </c>
      <c r="H343" s="107">
        <f>+'SALDOS INICIALES'!T24</f>
        <v>1500</v>
      </c>
      <c r="I343" s="69">
        <f t="shared" si="77"/>
        <v>0</v>
      </c>
      <c r="J343" s="109" t="str">
        <f t="shared" ca="1" si="71"/>
        <v>0</v>
      </c>
      <c r="K343">
        <f t="shared" si="78"/>
        <v>2025</v>
      </c>
      <c r="L343" s="108">
        <f t="shared" ca="1" si="74"/>
        <v>46077</v>
      </c>
      <c r="M343">
        <f t="shared" ca="1" si="79"/>
        <v>2026</v>
      </c>
    </row>
    <row r="344" spans="1:13" x14ac:dyDescent="0.25">
      <c r="A344" s="37">
        <f>+'SALDOS INICIALES'!A25</f>
        <v>45915</v>
      </c>
      <c r="B344" s="106">
        <f>+'SALDOS INICIALES'!B25</f>
        <v>664</v>
      </c>
      <c r="C344" s="106" t="str">
        <f>+'SALDOS INICIALES'!C25</f>
        <v>JONATHAN GALICIA CARDOSO</v>
      </c>
      <c r="D344" s="106" t="str">
        <f>+'SALDOS INICIALES'!D25</f>
        <v xml:space="preserve">COMEDOR </v>
      </c>
      <c r="E344" s="38" t="str">
        <f t="shared" ca="1" si="76"/>
        <v>0</v>
      </c>
      <c r="F344" s="18">
        <f>+'SALDOS INICIALES'!E25</f>
        <v>3000</v>
      </c>
      <c r="G344" s="38" t="str">
        <f t="shared" ca="1" si="70"/>
        <v>0</v>
      </c>
      <c r="H344" s="107">
        <f>+'SALDOS INICIALES'!T25</f>
        <v>3000</v>
      </c>
      <c r="I344" s="69">
        <f t="shared" si="77"/>
        <v>0</v>
      </c>
      <c r="J344" s="109" t="str">
        <f t="shared" ca="1" si="71"/>
        <v>0</v>
      </c>
      <c r="K344">
        <f t="shared" si="78"/>
        <v>2025</v>
      </c>
      <c r="L344" s="108">
        <f t="shared" ca="1" si="74"/>
        <v>46077</v>
      </c>
      <c r="M344">
        <f t="shared" ca="1" si="79"/>
        <v>2026</v>
      </c>
    </row>
    <row r="345" spans="1:13" x14ac:dyDescent="0.25">
      <c r="A345" s="37">
        <f>+'SALDOS INICIALES'!A26</f>
        <v>45971</v>
      </c>
      <c r="B345" s="106">
        <f>+'SALDOS INICIALES'!B26</f>
        <v>772</v>
      </c>
      <c r="C345" s="106" t="str">
        <f>+'SALDOS INICIALES'!C26</f>
        <v>LUCINA SÁNCHEZ HERNÁNDEZ</v>
      </c>
      <c r="D345" s="106" t="str">
        <f>+'SALDOS INICIALES'!D26</f>
        <v xml:space="preserve">COCINA </v>
      </c>
      <c r="E345" s="38" t="str">
        <f t="shared" ca="1" si="76"/>
        <v>0</v>
      </c>
      <c r="F345" s="18">
        <f>+'SALDOS INICIALES'!E26</f>
        <v>3600</v>
      </c>
      <c r="G345" s="38" t="str">
        <f t="shared" ca="1" si="70"/>
        <v>0</v>
      </c>
      <c r="H345" s="107">
        <f>+'SALDOS INICIALES'!T26</f>
        <v>3600</v>
      </c>
      <c r="I345" s="69">
        <f t="shared" si="77"/>
        <v>0</v>
      </c>
      <c r="J345" s="109" t="str">
        <f t="shared" ca="1" si="71"/>
        <v>0</v>
      </c>
      <c r="K345">
        <f t="shared" si="78"/>
        <v>2025</v>
      </c>
      <c r="L345" s="108">
        <f t="shared" ca="1" si="74"/>
        <v>46077</v>
      </c>
      <c r="M345">
        <f t="shared" ca="1" si="79"/>
        <v>2026</v>
      </c>
    </row>
    <row r="346" spans="1:13" x14ac:dyDescent="0.25">
      <c r="A346" s="37">
        <f>+'SALDOS INICIALES'!A27</f>
        <v>45957</v>
      </c>
      <c r="B346" s="106">
        <f>+'SALDOS INICIALES'!B27</f>
        <v>747</v>
      </c>
      <c r="C346" s="106" t="str">
        <f>+'SALDOS INICIALES'!C27</f>
        <v>LUIS FRANCISCO CALIHUA VALDEZ</v>
      </c>
      <c r="D346" s="106" t="str">
        <f>+'SALDOS INICIALES'!D27</f>
        <v xml:space="preserve">COMEDOR </v>
      </c>
      <c r="E346" s="38" t="str">
        <f t="shared" ca="1" si="76"/>
        <v>0</v>
      </c>
      <c r="F346" s="18">
        <f>+'SALDOS INICIALES'!E27</f>
        <v>700</v>
      </c>
      <c r="G346" s="38" t="str">
        <f t="shared" ca="1" si="70"/>
        <v>0</v>
      </c>
      <c r="H346" s="107">
        <f>+'SALDOS INICIALES'!T27</f>
        <v>700</v>
      </c>
      <c r="I346" s="69">
        <f t="shared" si="77"/>
        <v>0</v>
      </c>
      <c r="J346" s="109" t="str">
        <f t="shared" ca="1" si="71"/>
        <v>0</v>
      </c>
      <c r="K346">
        <f t="shared" si="78"/>
        <v>2025</v>
      </c>
      <c r="L346" s="108">
        <f t="shared" ca="1" si="74"/>
        <v>46077</v>
      </c>
      <c r="M346">
        <f t="shared" ca="1" si="79"/>
        <v>2026</v>
      </c>
    </row>
    <row r="347" spans="1:13" x14ac:dyDescent="0.25">
      <c r="A347" s="37">
        <f>+'SALDOS INICIALES'!A28</f>
        <v>45985</v>
      </c>
      <c r="B347" s="106">
        <f>+'SALDOS INICIALES'!B28</f>
        <v>759</v>
      </c>
      <c r="C347" s="106" t="str">
        <f>+'SALDOS INICIALES'!C28</f>
        <v>PAULA IGLESIAS FLORES</v>
      </c>
      <c r="D347" s="106" t="str">
        <f>+'SALDOS INICIALES'!D28</f>
        <v xml:space="preserve">COCINA </v>
      </c>
      <c r="E347" s="38" t="str">
        <f t="shared" ca="1" si="76"/>
        <v>0</v>
      </c>
      <c r="F347" s="18">
        <f>+'SALDOS INICIALES'!E28</f>
        <v>2400</v>
      </c>
      <c r="G347" s="38" t="str">
        <f t="shared" ca="1" si="70"/>
        <v>0</v>
      </c>
      <c r="H347" s="107">
        <f>+'SALDOS INICIALES'!T28</f>
        <v>2400</v>
      </c>
      <c r="I347" s="69">
        <f t="shared" si="77"/>
        <v>0</v>
      </c>
      <c r="J347" s="109" t="str">
        <f t="shared" ca="1" si="71"/>
        <v>0</v>
      </c>
      <c r="K347">
        <f t="shared" si="78"/>
        <v>2025</v>
      </c>
      <c r="L347" s="108">
        <f t="shared" ca="1" si="74"/>
        <v>46077</v>
      </c>
      <c r="M347">
        <f t="shared" ca="1" si="79"/>
        <v>2026</v>
      </c>
    </row>
    <row r="348" spans="1:13" x14ac:dyDescent="0.25">
      <c r="A348" s="37">
        <f>+'SALDOS INICIALES'!A29</f>
        <v>45957</v>
      </c>
      <c r="B348" s="106">
        <f>+'SALDOS INICIALES'!B29</f>
        <v>795</v>
      </c>
      <c r="C348" s="106" t="str">
        <f>+'SALDOS INICIALES'!C29</f>
        <v>MARIO ALEJANDRO PEREZ MEDINA</v>
      </c>
      <c r="D348" s="106" t="str">
        <f>+'SALDOS INICIALES'!D29</f>
        <v xml:space="preserve">COCINA </v>
      </c>
      <c r="E348" s="38" t="str">
        <f t="shared" ca="1" si="76"/>
        <v>0</v>
      </c>
      <c r="F348" s="18">
        <f>+'SALDOS INICIALES'!E29</f>
        <v>1000</v>
      </c>
      <c r="G348" s="38" t="str">
        <f t="shared" ca="1" si="70"/>
        <v>0</v>
      </c>
      <c r="H348" s="107">
        <f>+'SALDOS INICIALES'!T29</f>
        <v>1000</v>
      </c>
      <c r="I348" s="69">
        <f t="shared" si="77"/>
        <v>0</v>
      </c>
      <c r="J348" s="109" t="str">
        <f t="shared" ca="1" si="71"/>
        <v>0</v>
      </c>
      <c r="K348">
        <f t="shared" si="78"/>
        <v>2025</v>
      </c>
      <c r="L348" s="108">
        <f t="shared" ca="1" si="74"/>
        <v>46077</v>
      </c>
      <c r="M348">
        <f t="shared" ca="1" si="79"/>
        <v>2026</v>
      </c>
    </row>
    <row r="349" spans="1:13" x14ac:dyDescent="0.25">
      <c r="A349" s="37">
        <f>+'SALDOS INICIALES'!A30</f>
        <v>45985</v>
      </c>
      <c r="B349" s="106">
        <f>+'SALDOS INICIALES'!B30</f>
        <v>800</v>
      </c>
      <c r="C349" s="106" t="str">
        <f>+'SALDOS INICIALES'!C30</f>
        <v>YADIRA AGUIÑIGA SOSA</v>
      </c>
      <c r="D349" s="106" t="str">
        <f>+'SALDOS INICIALES'!D30</f>
        <v xml:space="preserve">COCINA </v>
      </c>
      <c r="E349" s="38" t="str">
        <f t="shared" ca="1" si="76"/>
        <v>0</v>
      </c>
      <c r="F349" s="18">
        <f>+'SALDOS INICIALES'!E30</f>
        <v>2800</v>
      </c>
      <c r="G349" s="38" t="str">
        <f t="shared" ca="1" si="70"/>
        <v>0</v>
      </c>
      <c r="H349" s="107">
        <f>+'SALDOS INICIALES'!T30</f>
        <v>1600</v>
      </c>
      <c r="I349" s="69">
        <f t="shared" si="77"/>
        <v>1200</v>
      </c>
      <c r="J349" s="109" t="str">
        <f t="shared" ca="1" si="71"/>
        <v>0</v>
      </c>
      <c r="K349">
        <f t="shared" si="78"/>
        <v>2025</v>
      </c>
      <c r="L349" s="108">
        <f t="shared" ca="1" si="74"/>
        <v>46077</v>
      </c>
      <c r="M349">
        <f t="shared" ca="1" si="79"/>
        <v>2026</v>
      </c>
    </row>
    <row r="350" spans="1:13" x14ac:dyDescent="0.25">
      <c r="A350" s="37">
        <f>+'SALDOS INICIALES'!A31</f>
        <v>45128</v>
      </c>
      <c r="B350" s="106">
        <f>+'SALDOS INICIALES'!B31</f>
        <v>509</v>
      </c>
      <c r="C350" s="106" t="str">
        <f>+'SALDOS INICIALES'!C31</f>
        <v xml:space="preserve">SERGIO JIMENEZ  FLORES     </v>
      </c>
      <c r="D350" s="106" t="str">
        <f>+'SALDOS INICIALES'!D31</f>
        <v xml:space="preserve">RECUPERADO </v>
      </c>
      <c r="E350" s="38" t="str">
        <f t="shared" ca="1" si="76"/>
        <v>0</v>
      </c>
      <c r="F350" s="18">
        <f>+'SALDOS INICIALES'!E31</f>
        <v>1700</v>
      </c>
      <c r="G350" s="38" t="str">
        <f t="shared" ca="1" si="70"/>
        <v>0</v>
      </c>
      <c r="H350" s="107">
        <f>+'SALDOS INICIALES'!T31</f>
        <v>1700</v>
      </c>
      <c r="I350" s="69">
        <f t="shared" si="77"/>
        <v>0</v>
      </c>
      <c r="J350" s="109" t="str">
        <f t="shared" ca="1" si="71"/>
        <v>0</v>
      </c>
      <c r="K350">
        <f t="shared" si="78"/>
        <v>2023</v>
      </c>
      <c r="L350" s="108">
        <f t="shared" ca="1" si="74"/>
        <v>46077</v>
      </c>
      <c r="M350">
        <f t="shared" ca="1" si="79"/>
        <v>2026</v>
      </c>
    </row>
    <row r="351" spans="1:13" x14ac:dyDescent="0.25">
      <c r="A351" s="37">
        <f>+'SALDOS INICIALES'!A32</f>
        <v>45320</v>
      </c>
      <c r="B351" s="106">
        <f>+'SALDOS INICIALES'!B32</f>
        <v>509</v>
      </c>
      <c r="C351" s="106" t="str">
        <f>+'SALDOS INICIALES'!C32</f>
        <v xml:space="preserve">SERGIO JIMENEZ  FLORES     </v>
      </c>
      <c r="D351" s="106" t="str">
        <f>+'SALDOS INICIALES'!D32</f>
        <v xml:space="preserve">RECUPERADO </v>
      </c>
      <c r="E351" s="38" t="str">
        <f t="shared" ca="1" si="76"/>
        <v>0</v>
      </c>
      <c r="F351" s="18">
        <f>+'SALDOS INICIALES'!E32</f>
        <v>6211</v>
      </c>
      <c r="G351" s="38" t="str">
        <f t="shared" ca="1" si="70"/>
        <v>0</v>
      </c>
      <c r="H351" s="107">
        <f>+'SALDOS INICIALES'!T32</f>
        <v>6211</v>
      </c>
      <c r="I351" s="69">
        <f t="shared" si="77"/>
        <v>0</v>
      </c>
      <c r="J351" s="109" t="str">
        <f t="shared" ca="1" si="71"/>
        <v>0</v>
      </c>
      <c r="K351">
        <f t="shared" si="78"/>
        <v>2024</v>
      </c>
      <c r="L351" s="108">
        <f t="shared" ca="1" si="74"/>
        <v>46077</v>
      </c>
      <c r="M351">
        <f t="shared" ca="1" si="79"/>
        <v>2026</v>
      </c>
    </row>
    <row r="352" spans="1:13" x14ac:dyDescent="0.25">
      <c r="A352" s="37">
        <f>+'SALDOS INICIALES'!A33</f>
        <v>45782</v>
      </c>
      <c r="B352" s="106">
        <f>+'SALDOS INICIALES'!B33</f>
        <v>707</v>
      </c>
      <c r="C352" s="106" t="str">
        <f>+'SALDOS INICIALES'!C33</f>
        <v>DANIEL JARAMILLO LOPEZ</v>
      </c>
      <c r="D352" s="106" t="str">
        <f>+'SALDOS INICIALES'!D33</f>
        <v xml:space="preserve">BAJA </v>
      </c>
      <c r="E352" s="38" t="str">
        <f t="shared" ca="1" si="76"/>
        <v>0</v>
      </c>
      <c r="F352" s="18">
        <f>+'SALDOS INICIALES'!E33</f>
        <v>700</v>
      </c>
      <c r="G352" s="38" t="str">
        <f t="shared" ca="1" si="70"/>
        <v>0</v>
      </c>
      <c r="H352" s="107">
        <f>+'SALDOS INICIALES'!T33</f>
        <v>0</v>
      </c>
      <c r="I352" s="69">
        <f t="shared" si="77"/>
        <v>700</v>
      </c>
      <c r="J352" s="109" t="str">
        <f t="shared" ca="1" si="71"/>
        <v>0</v>
      </c>
      <c r="K352">
        <f t="shared" si="78"/>
        <v>2025</v>
      </c>
      <c r="L352" s="108">
        <f t="shared" ca="1" si="74"/>
        <v>46077</v>
      </c>
      <c r="M352">
        <f t="shared" ca="1" si="79"/>
        <v>2026</v>
      </c>
    </row>
    <row r="353" spans="1:13" x14ac:dyDescent="0.25">
      <c r="A353" s="37">
        <f>+'SALDOS INICIALES'!A34</f>
        <v>45481</v>
      </c>
      <c r="B353" s="106">
        <f>+'SALDOS INICIALES'!B34</f>
        <v>716</v>
      </c>
      <c r="C353" s="106" t="str">
        <f>+'SALDOS INICIALES'!C34</f>
        <v>CRISTIAN JAIR VILLASEÑOR</v>
      </c>
      <c r="D353" s="106" t="str">
        <f>+'SALDOS INICIALES'!D34</f>
        <v xml:space="preserve">BAJA </v>
      </c>
      <c r="E353" s="38" t="str">
        <f t="shared" ca="1" si="76"/>
        <v>0</v>
      </c>
      <c r="F353" s="18">
        <f>+'SALDOS INICIALES'!E34</f>
        <v>2400</v>
      </c>
      <c r="G353" s="38" t="str">
        <f t="shared" ca="1" si="70"/>
        <v>0</v>
      </c>
      <c r="H353" s="107">
        <f>+'SALDOS INICIALES'!T34</f>
        <v>0</v>
      </c>
      <c r="I353" s="69">
        <f t="shared" si="77"/>
        <v>2400</v>
      </c>
      <c r="J353" s="109" t="str">
        <f t="shared" ca="1" si="71"/>
        <v>0</v>
      </c>
      <c r="K353">
        <f t="shared" si="78"/>
        <v>2024</v>
      </c>
      <c r="L353" s="108">
        <f t="shared" ca="1" si="74"/>
        <v>46077</v>
      </c>
      <c r="M353">
        <f t="shared" ca="1" si="79"/>
        <v>2026</v>
      </c>
    </row>
    <row r="354" spans="1:13" x14ac:dyDescent="0.25">
      <c r="A354" s="37">
        <f>+'SALDOS INICIALES'!A35</f>
        <v>45170</v>
      </c>
      <c r="B354" s="106">
        <f>+'SALDOS INICIALES'!B35</f>
        <v>690</v>
      </c>
      <c r="C354" s="106" t="str">
        <f>+'SALDOS INICIALES'!C35</f>
        <v xml:space="preserve">DAVID AGUILAR AMURY </v>
      </c>
      <c r="D354" s="106" t="str">
        <f>+'SALDOS INICIALES'!D35</f>
        <v xml:space="preserve">BAJA </v>
      </c>
      <c r="E354" s="38" t="str">
        <f t="shared" ca="1" si="76"/>
        <v>0</v>
      </c>
      <c r="F354" s="18">
        <f>+'SALDOS INICIALES'!E35</f>
        <v>2800</v>
      </c>
      <c r="G354" s="38" t="str">
        <f t="shared" ca="1" si="70"/>
        <v>0</v>
      </c>
      <c r="H354" s="107">
        <f>+'SALDOS INICIALES'!T35</f>
        <v>0</v>
      </c>
      <c r="I354" s="69">
        <f t="shared" si="77"/>
        <v>2800</v>
      </c>
      <c r="J354" s="109" t="str">
        <f t="shared" ca="1" si="71"/>
        <v>0</v>
      </c>
      <c r="K354">
        <f t="shared" si="78"/>
        <v>2023</v>
      </c>
      <c r="L354" s="108">
        <f t="shared" ca="1" si="74"/>
        <v>46077</v>
      </c>
      <c r="M354">
        <f t="shared" ca="1" si="79"/>
        <v>2026</v>
      </c>
    </row>
    <row r="355" spans="1:13" x14ac:dyDescent="0.25">
      <c r="A355" s="37">
        <f>+'SALDOS INICIALES'!A36</f>
        <v>44933</v>
      </c>
      <c r="B355" s="106">
        <f>+'SALDOS INICIALES'!B36</f>
        <v>645</v>
      </c>
      <c r="C355" s="106" t="str">
        <f>+'SALDOS INICIALES'!C36</f>
        <v xml:space="preserve">JESUS ULISES TREJO </v>
      </c>
      <c r="D355" s="106" t="str">
        <f>+'SALDOS INICIALES'!D36</f>
        <v xml:space="preserve">BAJA </v>
      </c>
      <c r="E355" s="38" t="str">
        <f t="shared" ca="1" si="76"/>
        <v>0</v>
      </c>
      <c r="F355" s="18">
        <f>+'SALDOS INICIALES'!E36</f>
        <v>2100</v>
      </c>
      <c r="G355" s="38" t="str">
        <f t="shared" ca="1" si="70"/>
        <v>0</v>
      </c>
      <c r="H355" s="107">
        <f>+'SALDOS INICIALES'!T36</f>
        <v>0</v>
      </c>
      <c r="I355" s="69">
        <f t="shared" si="77"/>
        <v>2100</v>
      </c>
      <c r="J355" s="109" t="str">
        <f t="shared" ca="1" si="71"/>
        <v>0</v>
      </c>
      <c r="K355">
        <f t="shared" si="78"/>
        <v>2023</v>
      </c>
      <c r="L355" s="108">
        <f t="shared" ca="1" si="74"/>
        <v>46077</v>
      </c>
      <c r="M355">
        <f t="shared" ca="1" si="79"/>
        <v>2026</v>
      </c>
    </row>
    <row r="356" spans="1:13" x14ac:dyDescent="0.25">
      <c r="A356" s="37">
        <f>+'SALDOS INICIALES'!A37</f>
        <v>44906</v>
      </c>
      <c r="B356" s="106">
        <f>+'SALDOS INICIALES'!B37</f>
        <v>629</v>
      </c>
      <c r="C356" s="106" t="str">
        <f>+'SALDOS INICIALES'!C37</f>
        <v>DANIEL GUADARRAMA</v>
      </c>
      <c r="D356" s="106" t="str">
        <f>+'SALDOS INICIALES'!D37</f>
        <v xml:space="preserve">BAJA </v>
      </c>
      <c r="E356" s="38" t="str">
        <f t="shared" ca="1" si="76"/>
        <v>0</v>
      </c>
      <c r="F356" s="18">
        <f>+'SALDOS INICIALES'!E37</f>
        <v>4500</v>
      </c>
      <c r="G356" s="38" t="str">
        <f t="shared" ca="1" si="70"/>
        <v>0</v>
      </c>
      <c r="H356" s="107">
        <f>+'SALDOS INICIALES'!T37</f>
        <v>0</v>
      </c>
      <c r="I356" s="69">
        <f t="shared" si="77"/>
        <v>4500</v>
      </c>
      <c r="J356" s="109" t="str">
        <f t="shared" ca="1" si="71"/>
        <v>0</v>
      </c>
      <c r="K356">
        <f t="shared" si="78"/>
        <v>2022</v>
      </c>
      <c r="L356" s="108">
        <f t="shared" ca="1" si="74"/>
        <v>46077</v>
      </c>
      <c r="M356">
        <f t="shared" ca="1" si="79"/>
        <v>2026</v>
      </c>
    </row>
    <row r="357" spans="1:13" x14ac:dyDescent="0.25">
      <c r="A357" s="37">
        <f>+'SALDOS INICIALES'!A38</f>
        <v>0</v>
      </c>
      <c r="B357" s="106">
        <f>+'SALDOS INICIALES'!B38</f>
        <v>0</v>
      </c>
      <c r="C357" s="106">
        <f>+'SALDOS INICIALES'!C38</f>
        <v>0</v>
      </c>
      <c r="D357" s="106">
        <f>+'SALDOS INICIALES'!D38</f>
        <v>0</v>
      </c>
      <c r="E357" s="38" t="str">
        <f t="shared" ca="1" si="76"/>
        <v>0</v>
      </c>
      <c r="F357" s="18">
        <f>+'SALDOS INICIALES'!E38</f>
        <v>0</v>
      </c>
      <c r="G357" s="38" t="str">
        <f t="shared" ca="1" si="70"/>
        <v>0</v>
      </c>
      <c r="H357" s="107">
        <f>+'SALDOS INICIALES'!T38</f>
        <v>0</v>
      </c>
      <c r="I357" s="69">
        <f t="shared" si="77"/>
        <v>0</v>
      </c>
      <c r="J357" s="109" t="str">
        <f t="shared" ca="1" si="71"/>
        <v>0</v>
      </c>
      <c r="K357">
        <f>YEAR(A357)</f>
        <v>1900</v>
      </c>
      <c r="L357" s="108">
        <f t="shared" ca="1" si="74"/>
        <v>46077</v>
      </c>
      <c r="M357">
        <f ca="1">YEAR(L357)</f>
        <v>2026</v>
      </c>
    </row>
    <row r="358" spans="1:13" x14ac:dyDescent="0.25">
      <c r="A358" s="37">
        <f>+'SALDOS INICIALES'!A39</f>
        <v>0</v>
      </c>
      <c r="B358" s="106">
        <f>+'SALDOS INICIALES'!B39</f>
        <v>0</v>
      </c>
      <c r="C358" s="106">
        <f>+'SALDOS INICIALES'!C39</f>
        <v>0</v>
      </c>
      <c r="D358" s="106">
        <f>+'SALDOS INICIALES'!D39</f>
        <v>0</v>
      </c>
      <c r="E358" s="38" t="str">
        <f t="shared" ca="1" si="76"/>
        <v>0</v>
      </c>
      <c r="F358" s="18">
        <f>+'SALDOS INICIALES'!E39</f>
        <v>0</v>
      </c>
      <c r="G358" s="38" t="str">
        <f t="shared" ca="1" si="70"/>
        <v>0</v>
      </c>
      <c r="H358" s="107">
        <f>+'SALDOS INICIALES'!T39</f>
        <v>0</v>
      </c>
      <c r="I358" s="69">
        <f t="shared" si="77"/>
        <v>0</v>
      </c>
      <c r="J358" s="109" t="str">
        <f t="shared" ca="1" si="71"/>
        <v>0</v>
      </c>
      <c r="K358">
        <f t="shared" ref="K358:K360" si="80">YEAR(A358)</f>
        <v>1900</v>
      </c>
      <c r="L358" s="108">
        <f t="shared" ca="1" si="74"/>
        <v>46077</v>
      </c>
      <c r="M358">
        <f t="shared" ref="M358:M360" ca="1" si="81">YEAR(L358)</f>
        <v>2026</v>
      </c>
    </row>
    <row r="359" spans="1:13" x14ac:dyDescent="0.25">
      <c r="A359" s="37">
        <f>+'SALDOS INICIALES'!A40</f>
        <v>0</v>
      </c>
      <c r="B359" s="106">
        <f>+'SALDOS INICIALES'!B40</f>
        <v>0</v>
      </c>
      <c r="C359" s="106">
        <f>+'SALDOS INICIALES'!C40</f>
        <v>0</v>
      </c>
      <c r="D359" s="106">
        <f>+'SALDOS INICIALES'!D40</f>
        <v>0</v>
      </c>
      <c r="E359" s="38" t="str">
        <f t="shared" ca="1" si="76"/>
        <v>0</v>
      </c>
      <c r="F359" s="18">
        <f>+'SALDOS INICIALES'!E40</f>
        <v>0</v>
      </c>
      <c r="G359" s="38" t="str">
        <f t="shared" ca="1" si="70"/>
        <v>0</v>
      </c>
      <c r="H359" s="107">
        <f>+'SALDOS INICIALES'!T40</f>
        <v>0</v>
      </c>
      <c r="I359" s="69">
        <f t="shared" si="77"/>
        <v>0</v>
      </c>
      <c r="J359" s="109" t="str">
        <f t="shared" ca="1" si="71"/>
        <v>0</v>
      </c>
      <c r="K359">
        <f t="shared" si="80"/>
        <v>1900</v>
      </c>
      <c r="L359" s="108">
        <f t="shared" ca="1" si="74"/>
        <v>46077</v>
      </c>
      <c r="M359">
        <f t="shared" ca="1" si="81"/>
        <v>2026</v>
      </c>
    </row>
    <row r="360" spans="1:13" x14ac:dyDescent="0.25">
      <c r="A360" s="37">
        <f>+'SALDOS INICIALES'!A41</f>
        <v>0</v>
      </c>
      <c r="B360" s="106">
        <f>+'SALDOS INICIALES'!B41</f>
        <v>0</v>
      </c>
      <c r="C360" s="106">
        <f>+'SALDOS INICIALES'!C41</f>
        <v>0</v>
      </c>
      <c r="D360" s="106">
        <f>+'SALDOS INICIALES'!D41</f>
        <v>0</v>
      </c>
      <c r="E360" s="38" t="str">
        <f t="shared" ca="1" si="76"/>
        <v>0</v>
      </c>
      <c r="F360" s="18">
        <f>+'SALDOS INICIALES'!E41</f>
        <v>0</v>
      </c>
      <c r="G360" s="38" t="str">
        <f t="shared" ca="1" si="70"/>
        <v>0</v>
      </c>
      <c r="H360" s="107">
        <f>+'SALDOS INICIALES'!T41</f>
        <v>0</v>
      </c>
      <c r="I360" s="69">
        <f t="shared" si="77"/>
        <v>0</v>
      </c>
      <c r="J360" s="109" t="str">
        <f t="shared" ca="1" si="71"/>
        <v>0</v>
      </c>
      <c r="K360">
        <f t="shared" si="80"/>
        <v>1900</v>
      </c>
      <c r="L360" s="108">
        <f t="shared" ca="1" si="74"/>
        <v>46077</v>
      </c>
      <c r="M360">
        <f t="shared" ca="1" si="81"/>
        <v>2026</v>
      </c>
    </row>
    <row r="361" spans="1:13" x14ac:dyDescent="0.25">
      <c r="A361" s="37"/>
      <c r="B361" s="52"/>
      <c r="C361" s="52"/>
      <c r="D361" s="52"/>
      <c r="E361" s="45"/>
      <c r="F361" s="68"/>
      <c r="G361" s="45"/>
      <c r="H361" s="43"/>
      <c r="I361" s="41"/>
      <c r="J361" s="42"/>
    </row>
    <row r="362" spans="1:13" x14ac:dyDescent="0.25">
      <c r="A362" s="37"/>
      <c r="B362" s="52"/>
      <c r="C362" s="52"/>
      <c r="D362" s="52"/>
      <c r="E362" s="45"/>
      <c r="F362" s="68"/>
      <c r="G362" s="45"/>
      <c r="H362" s="43"/>
      <c r="I362" s="41"/>
      <c r="J362" s="42"/>
    </row>
    <row r="363" spans="1:13" x14ac:dyDescent="0.25">
      <c r="A363" s="37"/>
      <c r="B363" s="52"/>
      <c r="C363" s="52"/>
      <c r="D363" s="52"/>
      <c r="E363" s="45"/>
      <c r="F363" s="68"/>
      <c r="G363" s="45"/>
      <c r="H363" s="43"/>
      <c r="I363" s="41"/>
      <c r="J363" s="42"/>
    </row>
    <row r="364" spans="1:13" x14ac:dyDescent="0.25">
      <c r="A364" s="37"/>
      <c r="B364" s="52"/>
      <c r="C364" s="52"/>
      <c r="D364" s="52"/>
      <c r="E364" s="45"/>
      <c r="F364" s="68"/>
      <c r="G364" s="45"/>
      <c r="H364" s="43"/>
      <c r="I364" s="41"/>
      <c r="J364" s="42"/>
    </row>
    <row r="365" spans="1:13" x14ac:dyDescent="0.25">
      <c r="A365" s="37"/>
      <c r="B365" s="52"/>
      <c r="C365" s="52"/>
      <c r="D365" s="52"/>
      <c r="E365" s="45"/>
      <c r="F365" s="68"/>
      <c r="G365" s="45"/>
      <c r="H365" s="43"/>
      <c r="I365" s="41"/>
      <c r="J365" s="42"/>
    </row>
    <row r="366" spans="1:13" x14ac:dyDescent="0.25">
      <c r="A366" s="37"/>
      <c r="B366" s="52"/>
      <c r="C366" s="52"/>
      <c r="D366" s="52"/>
      <c r="E366" s="45"/>
      <c r="F366" s="68"/>
      <c r="G366" s="45"/>
      <c r="H366" s="43"/>
      <c r="I366" s="41"/>
      <c r="J366" s="42"/>
    </row>
    <row r="367" spans="1:13" x14ac:dyDescent="0.25">
      <c r="A367" s="37"/>
      <c r="B367" s="52"/>
      <c r="C367" s="52"/>
      <c r="D367" s="52"/>
      <c r="E367" s="45"/>
      <c r="F367" s="68"/>
      <c r="G367" s="45"/>
      <c r="H367" s="43"/>
      <c r="I367" s="41"/>
      <c r="J367" s="42"/>
    </row>
    <row r="368" spans="1:13" x14ac:dyDescent="0.25">
      <c r="A368" s="37"/>
      <c r="B368" s="52"/>
      <c r="C368" s="52"/>
      <c r="D368" s="52"/>
      <c r="E368" s="45"/>
      <c r="F368" s="68"/>
      <c r="G368" s="45"/>
      <c r="H368" s="43"/>
      <c r="I368" s="41"/>
      <c r="J368" s="42"/>
    </row>
    <row r="369" spans="1:10" x14ac:dyDescent="0.25">
      <c r="A369" s="37"/>
      <c r="B369" s="52"/>
      <c r="C369" s="52"/>
      <c r="D369" s="52"/>
      <c r="E369" s="45"/>
      <c r="F369" s="68"/>
      <c r="G369" s="45"/>
      <c r="H369" s="43"/>
      <c r="I369" s="41"/>
      <c r="J369" s="42"/>
    </row>
    <row r="370" spans="1:10" x14ac:dyDescent="0.25">
      <c r="A370" s="37"/>
      <c r="B370" s="52"/>
      <c r="C370" s="52"/>
      <c r="D370" s="52"/>
      <c r="E370" s="45"/>
      <c r="F370" s="68"/>
      <c r="G370" s="45"/>
      <c r="H370" s="43"/>
      <c r="I370" s="41"/>
      <c r="J370" s="42"/>
    </row>
    <row r="371" spans="1:10" x14ac:dyDescent="0.25">
      <c r="A371" s="37"/>
      <c r="B371" s="52"/>
      <c r="C371" s="52"/>
      <c r="D371" s="52"/>
      <c r="E371" s="45"/>
      <c r="F371" s="68"/>
      <c r="G371" s="45"/>
      <c r="H371" s="43"/>
      <c r="I371" s="41"/>
      <c r="J371" s="42"/>
    </row>
    <row r="372" spans="1:10" x14ac:dyDescent="0.25">
      <c r="A372" s="37"/>
      <c r="B372" s="52"/>
      <c r="C372" s="52"/>
      <c r="D372" s="52"/>
      <c r="E372" s="45"/>
      <c r="F372" s="68"/>
      <c r="G372" s="45"/>
      <c r="H372" s="43"/>
      <c r="I372" s="41"/>
      <c r="J372" s="42"/>
    </row>
    <row r="373" spans="1:10" x14ac:dyDescent="0.25">
      <c r="A373" s="37"/>
      <c r="B373" s="52"/>
      <c r="C373" s="52"/>
      <c r="D373" s="52"/>
      <c r="E373" s="45"/>
      <c r="F373" s="68"/>
      <c r="G373" s="45"/>
      <c r="H373" s="43"/>
      <c r="I373" s="41"/>
      <c r="J373" s="42"/>
    </row>
    <row r="374" spans="1:10" x14ac:dyDescent="0.25">
      <c r="A374" s="37"/>
      <c r="B374" s="52"/>
      <c r="C374" s="52"/>
      <c r="D374" s="52"/>
      <c r="E374" s="45"/>
      <c r="F374" s="68"/>
      <c r="G374" s="45"/>
      <c r="H374" s="43"/>
      <c r="I374" s="41"/>
      <c r="J374" s="42"/>
    </row>
    <row r="375" spans="1:10" x14ac:dyDescent="0.25">
      <c r="A375" s="37"/>
      <c r="B375" s="52"/>
      <c r="C375" s="52"/>
      <c r="D375" s="52"/>
      <c r="E375" s="45"/>
      <c r="F375" s="68"/>
      <c r="G375" s="45"/>
      <c r="H375" s="43"/>
      <c r="I375" s="41"/>
      <c r="J375" s="42"/>
    </row>
    <row r="376" spans="1:10" x14ac:dyDescent="0.25">
      <c r="A376" s="37"/>
      <c r="B376" s="52"/>
      <c r="C376" s="52"/>
      <c r="D376" s="52"/>
      <c r="E376" s="45"/>
      <c r="F376" s="68"/>
      <c r="G376" s="45"/>
      <c r="H376" s="43"/>
      <c r="I376" s="41"/>
      <c r="J376" s="42"/>
    </row>
    <row r="377" spans="1:10" x14ac:dyDescent="0.25">
      <c r="A377" s="37"/>
      <c r="B377" s="52"/>
      <c r="C377" s="52"/>
      <c r="D377" s="52"/>
      <c r="E377" s="45"/>
      <c r="F377" s="68"/>
      <c r="G377" s="45"/>
      <c r="H377" s="43"/>
      <c r="I377" s="41"/>
      <c r="J377" s="42"/>
    </row>
    <row r="378" spans="1:10" x14ac:dyDescent="0.25">
      <c r="A378" s="37"/>
      <c r="B378" s="52"/>
      <c r="C378" s="52"/>
      <c r="D378" s="52"/>
      <c r="E378" s="45"/>
      <c r="F378" s="68"/>
      <c r="G378" s="45"/>
      <c r="H378" s="43"/>
      <c r="I378" s="41"/>
      <c r="J378" s="42"/>
    </row>
    <row r="379" spans="1:10" x14ac:dyDescent="0.25">
      <c r="A379" s="37"/>
      <c r="B379" s="52"/>
      <c r="C379" s="52"/>
      <c r="D379" s="52"/>
      <c r="E379" s="45"/>
      <c r="F379" s="68"/>
      <c r="G379" s="45"/>
      <c r="H379" s="43"/>
      <c r="I379" s="41"/>
      <c r="J379" s="42"/>
    </row>
    <row r="380" spans="1:10" x14ac:dyDescent="0.25">
      <c r="A380" s="37"/>
      <c r="B380" s="52"/>
      <c r="C380" s="52"/>
      <c r="D380" s="52"/>
      <c r="E380" s="45"/>
      <c r="F380" s="68"/>
      <c r="G380" s="45"/>
      <c r="H380" s="43"/>
      <c r="I380" s="41"/>
      <c r="J380" s="42"/>
    </row>
  </sheetData>
  <sheetProtection algorithmName="SHA-512" hashValue="yKDxW72/3xRVMtBi/I3QVeBhNS4fIClm5TNuSAFdmSYkvtCONriAcI6XWTWBlCtioV0vlPzHDnoCDQt2MJ+9fQ==" saltValue="CnmS15irlZEHqM+VBk/o9A==" spinCount="100000" sheet="1" formatCells="0" formatColumns="0" formatRows="0" insertColumns="0" insertRows="0" insertHyperlinks="0" deleteColumns="0" deleteRows="0" sort="0" autoFilter="0" pivotTables="0"/>
  <autoFilter ref="A8:J357" xr:uid="{00000000-0001-0000-0100-000000000000}"/>
  <sortState xmlns:xlrd2="http://schemas.microsoft.com/office/spreadsheetml/2017/richdata2" ref="A10:J30">
    <sortCondition ref="J10:J30"/>
  </sortState>
  <dataConsolidate function="count">
    <dataRefs count="1">
      <dataRef ref="A9:A19" sheet="43 SEMANA "/>
    </dataRefs>
  </dataConsolidate>
  <mergeCells count="6">
    <mergeCell ref="L4:M5"/>
    <mergeCell ref="A1:B5"/>
    <mergeCell ref="P4:Q5"/>
    <mergeCell ref="A6:B6"/>
    <mergeCell ref="A7:B7"/>
    <mergeCell ref="N4:O5"/>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D27E6-A4E7-4030-9278-9B20466C4925}">
  <sheetPr codeName="Hoja55">
    <tabColor theme="7" tint="-0.499984740745262"/>
  </sheetPr>
  <dimension ref="A1:V62"/>
  <sheetViews>
    <sheetView topLeftCell="A21" zoomScaleNormal="100" workbookViewId="0">
      <selection activeCell="M37" sqref="M37"/>
    </sheetView>
  </sheetViews>
  <sheetFormatPr baseColWidth="10" defaultRowHeight="15" x14ac:dyDescent="0.25"/>
  <cols>
    <col min="1" max="1" width="12.5703125" customWidth="1"/>
    <col min="2" max="2" width="12.140625" customWidth="1"/>
    <col min="3" max="3" width="41.42578125" customWidth="1"/>
    <col min="6" max="6" width="13" customWidth="1"/>
    <col min="7" max="7" width="12.42578125" customWidth="1"/>
    <col min="8" max="8" width="14" customWidth="1"/>
    <col min="9" max="9" width="13.5703125" customWidth="1"/>
    <col min="10" max="10" width="14.140625" customWidth="1"/>
    <col min="11" max="11" width="13.28515625" customWidth="1"/>
    <col min="12" max="12" width="14.140625" customWidth="1"/>
    <col min="13" max="13" width="4.28515625" customWidth="1"/>
    <col min="14" max="14" width="6" customWidth="1"/>
    <col min="15" max="15" width="5.85546875" customWidth="1"/>
    <col min="16" max="16" width="4.42578125" customWidth="1"/>
    <col min="17" max="17" width="4.140625" customWidth="1"/>
    <col min="18" max="18" width="5.7109375" customWidth="1"/>
    <col min="19" max="19" width="6.5703125" customWidth="1"/>
    <col min="22" max="22" width="24.85546875"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row>
    <row r="4" spans="1:22" x14ac:dyDescent="0.25">
      <c r="A4" s="268"/>
      <c r="B4" s="268"/>
    </row>
    <row r="5" spans="1:22" ht="3" customHeight="1" thickBot="1" x14ac:dyDescent="0.3">
      <c r="A5" s="268"/>
      <c r="B5" s="268"/>
    </row>
    <row r="6" spans="1:22" ht="38.25" customHeight="1" x14ac:dyDescent="0.25">
      <c r="A6" s="290" t="s">
        <v>96</v>
      </c>
      <c r="B6" s="290"/>
      <c r="C6" s="281" t="s">
        <v>97</v>
      </c>
      <c r="D6" s="282"/>
      <c r="E6" s="282"/>
      <c r="F6" s="282"/>
      <c r="G6" s="283"/>
    </row>
    <row r="7" spans="1:22" ht="15.75" customHeight="1" x14ac:dyDescent="0.25">
      <c r="A7" s="290"/>
      <c r="B7" s="290"/>
      <c r="C7" s="284"/>
      <c r="D7" s="279"/>
      <c r="E7" s="279"/>
      <c r="F7" s="279"/>
      <c r="G7" s="280"/>
    </row>
    <row r="8" spans="1:22" x14ac:dyDescent="0.25">
      <c r="A8" s="6" t="s">
        <v>14</v>
      </c>
      <c r="B8" s="6" t="s">
        <v>15</v>
      </c>
      <c r="C8" s="6" t="s">
        <v>16</v>
      </c>
      <c r="D8" s="6" t="s">
        <v>114</v>
      </c>
      <c r="E8" s="6" t="s">
        <v>17</v>
      </c>
      <c r="F8" s="6" t="s">
        <v>95</v>
      </c>
      <c r="G8" s="6" t="s">
        <v>58</v>
      </c>
      <c r="H8" s="6" t="s">
        <v>60</v>
      </c>
      <c r="I8" s="6" t="s">
        <v>59</v>
      </c>
      <c r="J8" s="6" t="s">
        <v>61</v>
      </c>
      <c r="K8" s="6" t="s">
        <v>62</v>
      </c>
      <c r="L8" s="6" t="s">
        <v>63</v>
      </c>
      <c r="M8" s="6" t="s">
        <v>64</v>
      </c>
      <c r="N8" s="6" t="s">
        <v>65</v>
      </c>
      <c r="O8" s="6" t="s">
        <v>66</v>
      </c>
      <c r="P8" s="6" t="s">
        <v>67</v>
      </c>
      <c r="Q8" s="6" t="s">
        <v>68</v>
      </c>
      <c r="R8" s="6" t="s">
        <v>69</v>
      </c>
      <c r="S8" s="6" t="s">
        <v>70</v>
      </c>
      <c r="T8" s="176" t="s">
        <v>4</v>
      </c>
      <c r="U8" s="177" t="s">
        <v>18</v>
      </c>
      <c r="V8" s="178" t="s">
        <v>177</v>
      </c>
    </row>
    <row r="9" spans="1:22" ht="15.75" x14ac:dyDescent="0.25">
      <c r="A9" s="212">
        <v>46006</v>
      </c>
      <c r="B9" s="215">
        <v>1</v>
      </c>
      <c r="C9" s="220" t="s">
        <v>520</v>
      </c>
      <c r="D9" s="229" t="s">
        <v>548</v>
      </c>
      <c r="E9" s="225">
        <v>4500</v>
      </c>
      <c r="F9" s="189">
        <v>1000</v>
      </c>
      <c r="G9" s="189">
        <v>500</v>
      </c>
      <c r="H9" s="189">
        <v>500</v>
      </c>
      <c r="I9" s="189">
        <v>500</v>
      </c>
      <c r="J9" s="189">
        <v>500</v>
      </c>
      <c r="K9" s="189">
        <v>500</v>
      </c>
      <c r="L9" s="189">
        <v>500</v>
      </c>
      <c r="M9" s="189"/>
      <c r="N9" s="189"/>
      <c r="O9" s="189"/>
      <c r="P9" s="189"/>
      <c r="Q9" s="189"/>
      <c r="R9" s="189"/>
      <c r="S9" s="189"/>
      <c r="T9" s="100">
        <f>SUM(F9:S9)</f>
        <v>4000</v>
      </c>
      <c r="U9" s="100">
        <f t="shared" ref="U9:U41" si="0">E9-T9</f>
        <v>500</v>
      </c>
      <c r="V9" s="190"/>
    </row>
    <row r="10" spans="1:22" ht="15.75" x14ac:dyDescent="0.25">
      <c r="A10" s="235">
        <v>45957</v>
      </c>
      <c r="B10" s="236">
        <v>24</v>
      </c>
      <c r="C10" s="237" t="s">
        <v>521</v>
      </c>
      <c r="D10" s="238" t="s">
        <v>549</v>
      </c>
      <c r="E10" s="239">
        <v>1000</v>
      </c>
      <c r="F10" s="240">
        <v>1000</v>
      </c>
      <c r="G10" s="240"/>
      <c r="H10" s="240"/>
      <c r="I10" s="240"/>
      <c r="J10" s="240"/>
      <c r="K10" s="240"/>
      <c r="L10" s="240"/>
      <c r="M10" s="240"/>
      <c r="N10" s="240"/>
      <c r="O10" s="240"/>
      <c r="P10" s="240"/>
      <c r="Q10" s="240"/>
      <c r="R10" s="240"/>
      <c r="S10" s="240"/>
      <c r="T10" s="241">
        <f t="shared" ref="T10:T41" si="1">SUM(F10:S10)</f>
        <v>1000</v>
      </c>
      <c r="U10" s="241">
        <f t="shared" si="0"/>
        <v>0</v>
      </c>
      <c r="V10" s="242"/>
    </row>
    <row r="11" spans="1:22" ht="15.75" x14ac:dyDescent="0.25">
      <c r="A11" s="212">
        <v>45810</v>
      </c>
      <c r="B11" s="215">
        <v>49</v>
      </c>
      <c r="C11" s="220" t="s">
        <v>522</v>
      </c>
      <c r="D11" s="229" t="s">
        <v>549</v>
      </c>
      <c r="E11" s="225">
        <v>10000</v>
      </c>
      <c r="F11" s="189">
        <v>0</v>
      </c>
      <c r="G11" s="189">
        <v>0</v>
      </c>
      <c r="H11" s="189">
        <v>2000</v>
      </c>
      <c r="I11" s="189">
        <v>500</v>
      </c>
      <c r="J11" s="189">
        <v>500</v>
      </c>
      <c r="K11" s="189">
        <v>500</v>
      </c>
      <c r="L11" s="189">
        <v>500</v>
      </c>
      <c r="M11" s="189"/>
      <c r="N11" s="189"/>
      <c r="O11" s="189"/>
      <c r="P11" s="189"/>
      <c r="Q11" s="189"/>
      <c r="R11" s="189"/>
      <c r="S11" s="189"/>
      <c r="T11" s="100">
        <f t="shared" si="1"/>
        <v>4000</v>
      </c>
      <c r="U11" s="100">
        <f t="shared" si="0"/>
        <v>6000</v>
      </c>
      <c r="V11" s="190"/>
    </row>
    <row r="12" spans="1:22" ht="15.75" x14ac:dyDescent="0.25">
      <c r="A12" s="235">
        <v>45957</v>
      </c>
      <c r="B12" s="236">
        <v>110</v>
      </c>
      <c r="C12" s="237" t="s">
        <v>523</v>
      </c>
      <c r="D12" s="238" t="s">
        <v>549</v>
      </c>
      <c r="E12" s="239">
        <v>1000</v>
      </c>
      <c r="F12" s="240">
        <v>1000</v>
      </c>
      <c r="G12" s="240"/>
      <c r="H12" s="240"/>
      <c r="I12" s="240"/>
      <c r="J12" s="240"/>
      <c r="K12" s="240"/>
      <c r="L12" s="240"/>
      <c r="M12" s="240"/>
      <c r="N12" s="240"/>
      <c r="O12" s="240"/>
      <c r="P12" s="240"/>
      <c r="Q12" s="240"/>
      <c r="R12" s="240"/>
      <c r="S12" s="240"/>
      <c r="T12" s="241">
        <f t="shared" si="1"/>
        <v>1000</v>
      </c>
      <c r="U12" s="241">
        <f t="shared" si="0"/>
        <v>0</v>
      </c>
      <c r="V12" s="243"/>
    </row>
    <row r="13" spans="1:22" ht="15.75" x14ac:dyDescent="0.25">
      <c r="A13" s="235">
        <v>45971</v>
      </c>
      <c r="B13" s="236">
        <v>129</v>
      </c>
      <c r="C13" s="237" t="s">
        <v>524</v>
      </c>
      <c r="D13" s="238" t="s">
        <v>548</v>
      </c>
      <c r="E13" s="239">
        <v>200</v>
      </c>
      <c r="F13" s="240">
        <v>200</v>
      </c>
      <c r="G13" s="240">
        <v>0</v>
      </c>
      <c r="H13" s="240"/>
      <c r="I13" s="240"/>
      <c r="J13" s="240"/>
      <c r="K13" s="240"/>
      <c r="L13" s="240"/>
      <c r="M13" s="240"/>
      <c r="N13" s="240"/>
      <c r="O13" s="240"/>
      <c r="P13" s="240"/>
      <c r="Q13" s="240"/>
      <c r="R13" s="240"/>
      <c r="S13" s="240"/>
      <c r="T13" s="241">
        <f t="shared" si="1"/>
        <v>200</v>
      </c>
      <c r="U13" s="241">
        <f t="shared" si="0"/>
        <v>0</v>
      </c>
      <c r="V13" s="243"/>
    </row>
    <row r="14" spans="1:22" ht="15.75" x14ac:dyDescent="0.25">
      <c r="A14" s="212">
        <v>45992</v>
      </c>
      <c r="B14" s="236">
        <v>221</v>
      </c>
      <c r="C14" s="237" t="s">
        <v>525</v>
      </c>
      <c r="D14" s="238" t="s">
        <v>548</v>
      </c>
      <c r="E14" s="239">
        <v>3150</v>
      </c>
      <c r="F14" s="240">
        <v>900</v>
      </c>
      <c r="G14" s="240">
        <v>450</v>
      </c>
      <c r="H14" s="240">
        <v>450</v>
      </c>
      <c r="I14" s="240">
        <v>450</v>
      </c>
      <c r="J14" s="240">
        <v>450</v>
      </c>
      <c r="K14" s="240">
        <v>450</v>
      </c>
      <c r="L14" s="240"/>
      <c r="M14" s="240"/>
      <c r="N14" s="240"/>
      <c r="O14" s="240"/>
      <c r="P14" s="240"/>
      <c r="Q14" s="240"/>
      <c r="R14" s="240"/>
      <c r="S14" s="240"/>
      <c r="T14" s="241">
        <f t="shared" si="1"/>
        <v>3150</v>
      </c>
      <c r="U14" s="241">
        <f t="shared" si="0"/>
        <v>0</v>
      </c>
      <c r="V14" s="243"/>
    </row>
    <row r="15" spans="1:22" ht="15.75" x14ac:dyDescent="0.25">
      <c r="A15" s="235">
        <v>45985</v>
      </c>
      <c r="B15" s="236">
        <v>296</v>
      </c>
      <c r="C15" s="237" t="s">
        <v>526</v>
      </c>
      <c r="D15" s="238" t="s">
        <v>549</v>
      </c>
      <c r="E15" s="239">
        <v>2200</v>
      </c>
      <c r="F15" s="240">
        <v>800</v>
      </c>
      <c r="G15" s="240">
        <v>400</v>
      </c>
      <c r="H15" s="240">
        <v>400</v>
      </c>
      <c r="I15" s="240">
        <v>400</v>
      </c>
      <c r="J15" s="240">
        <v>200</v>
      </c>
      <c r="K15" s="240"/>
      <c r="L15" s="240"/>
      <c r="M15" s="240"/>
      <c r="N15" s="240"/>
      <c r="O15" s="240"/>
      <c r="P15" s="240"/>
      <c r="Q15" s="240"/>
      <c r="R15" s="240"/>
      <c r="S15" s="240"/>
      <c r="T15" s="241">
        <f t="shared" si="1"/>
        <v>2200</v>
      </c>
      <c r="U15" s="241">
        <f t="shared" si="0"/>
        <v>0</v>
      </c>
      <c r="V15" s="243"/>
    </row>
    <row r="16" spans="1:22" ht="15.75" x14ac:dyDescent="0.25">
      <c r="A16" s="212">
        <v>45985</v>
      </c>
      <c r="B16" s="215">
        <v>298</v>
      </c>
      <c r="C16" s="220" t="s">
        <v>527</v>
      </c>
      <c r="D16" s="229" t="s">
        <v>548</v>
      </c>
      <c r="E16" s="225">
        <v>4800</v>
      </c>
      <c r="F16" s="249">
        <v>0</v>
      </c>
      <c r="G16" s="189">
        <v>600</v>
      </c>
      <c r="H16" s="189">
        <v>600</v>
      </c>
      <c r="I16" s="189">
        <v>600</v>
      </c>
      <c r="J16" s="189">
        <v>600</v>
      </c>
      <c r="K16" s="189">
        <v>600</v>
      </c>
      <c r="L16" s="189">
        <v>600</v>
      </c>
      <c r="M16" s="189"/>
      <c r="N16" s="189"/>
      <c r="O16" s="189"/>
      <c r="P16" s="189"/>
      <c r="Q16" s="189"/>
      <c r="R16" s="189"/>
      <c r="S16" s="189"/>
      <c r="T16" s="100">
        <f t="shared" si="1"/>
        <v>3600</v>
      </c>
      <c r="U16" s="100">
        <f t="shared" si="0"/>
        <v>1200</v>
      </c>
      <c r="V16" s="190"/>
    </row>
    <row r="17" spans="1:22" ht="15.75" x14ac:dyDescent="0.25">
      <c r="A17" s="235">
        <v>45943</v>
      </c>
      <c r="B17" s="236">
        <v>334</v>
      </c>
      <c r="C17" s="237" t="s">
        <v>528</v>
      </c>
      <c r="D17" s="238" t="s">
        <v>548</v>
      </c>
      <c r="E17" s="239">
        <v>2000</v>
      </c>
      <c r="F17" s="240">
        <v>800</v>
      </c>
      <c r="G17" s="240">
        <v>400</v>
      </c>
      <c r="H17" s="240">
        <v>400</v>
      </c>
      <c r="I17" s="240">
        <v>400</v>
      </c>
      <c r="J17" s="240"/>
      <c r="K17" s="240"/>
      <c r="L17" s="240"/>
      <c r="M17" s="240"/>
      <c r="N17" s="240"/>
      <c r="O17" s="240"/>
      <c r="P17" s="240"/>
      <c r="Q17" s="240"/>
      <c r="R17" s="240"/>
      <c r="S17" s="240"/>
      <c r="T17" s="241">
        <f t="shared" si="1"/>
        <v>2000</v>
      </c>
      <c r="U17" s="241">
        <f t="shared" si="0"/>
        <v>0</v>
      </c>
      <c r="V17" s="243"/>
    </row>
    <row r="18" spans="1:22" ht="15.75" x14ac:dyDescent="0.25">
      <c r="A18" s="212">
        <v>46006</v>
      </c>
      <c r="B18" s="215">
        <v>351</v>
      </c>
      <c r="C18" s="220" t="s">
        <v>529</v>
      </c>
      <c r="D18" s="229" t="s">
        <v>548</v>
      </c>
      <c r="E18" s="225">
        <v>2700</v>
      </c>
      <c r="F18" s="189">
        <v>300</v>
      </c>
      <c r="G18" s="189">
        <v>0</v>
      </c>
      <c r="H18" s="189">
        <v>0</v>
      </c>
      <c r="I18" s="189">
        <v>300</v>
      </c>
      <c r="J18" s="189">
        <v>300</v>
      </c>
      <c r="K18" s="189">
        <v>300</v>
      </c>
      <c r="L18" s="189">
        <v>300</v>
      </c>
      <c r="M18" s="189"/>
      <c r="N18" s="189"/>
      <c r="O18" s="189"/>
      <c r="P18" s="189"/>
      <c r="Q18" s="99"/>
      <c r="R18" s="189"/>
      <c r="S18" s="189"/>
      <c r="T18" s="100">
        <f t="shared" si="1"/>
        <v>1500</v>
      </c>
      <c r="U18" s="100">
        <f t="shared" si="0"/>
        <v>1200</v>
      </c>
      <c r="V18" s="190"/>
    </row>
    <row r="19" spans="1:22" ht="15.75" x14ac:dyDescent="0.25">
      <c r="A19" s="235">
        <v>45933</v>
      </c>
      <c r="B19" s="236">
        <v>362</v>
      </c>
      <c r="C19" s="237" t="s">
        <v>530</v>
      </c>
      <c r="D19" s="238" t="s">
        <v>548</v>
      </c>
      <c r="E19" s="239">
        <v>3600</v>
      </c>
      <c r="F19" s="240">
        <v>1200</v>
      </c>
      <c r="G19" s="240">
        <v>600</v>
      </c>
      <c r="H19" s="240">
        <v>600</v>
      </c>
      <c r="I19" s="240">
        <v>600</v>
      </c>
      <c r="J19" s="240">
        <v>600</v>
      </c>
      <c r="K19" s="240"/>
      <c r="L19" s="240"/>
      <c r="M19" s="240"/>
      <c r="N19" s="240"/>
      <c r="O19" s="240"/>
      <c r="P19" s="240"/>
      <c r="Q19" s="240"/>
      <c r="R19" s="240"/>
      <c r="S19" s="240"/>
      <c r="T19" s="241">
        <f t="shared" si="1"/>
        <v>3600</v>
      </c>
      <c r="U19" s="241">
        <f t="shared" si="0"/>
        <v>0</v>
      </c>
      <c r="V19" s="243"/>
    </row>
    <row r="20" spans="1:22" ht="15.75" x14ac:dyDescent="0.25">
      <c r="A20" s="212">
        <v>45915</v>
      </c>
      <c r="B20" s="215">
        <v>438</v>
      </c>
      <c r="C20" s="220" t="s">
        <v>531</v>
      </c>
      <c r="D20" s="250" t="s">
        <v>550</v>
      </c>
      <c r="E20" s="225">
        <v>2400</v>
      </c>
      <c r="F20" s="251">
        <v>0</v>
      </c>
      <c r="G20" s="251">
        <v>0</v>
      </c>
      <c r="H20" s="251">
        <v>0</v>
      </c>
      <c r="I20" s="251">
        <v>0</v>
      </c>
      <c r="J20" s="251">
        <v>0</v>
      </c>
      <c r="K20" s="189"/>
      <c r="L20" s="189"/>
      <c r="M20" s="189"/>
      <c r="N20" s="189"/>
      <c r="O20" s="189"/>
      <c r="P20" s="189"/>
      <c r="Q20" s="189"/>
      <c r="R20" s="189"/>
      <c r="S20" s="189"/>
      <c r="T20" s="100">
        <f t="shared" si="1"/>
        <v>0</v>
      </c>
      <c r="U20" s="100">
        <f t="shared" si="0"/>
        <v>2400</v>
      </c>
      <c r="V20" s="190"/>
    </row>
    <row r="21" spans="1:22" ht="15.75" x14ac:dyDescent="0.25">
      <c r="A21" s="235">
        <v>45922</v>
      </c>
      <c r="B21" s="236">
        <v>479</v>
      </c>
      <c r="C21" s="237" t="s">
        <v>532</v>
      </c>
      <c r="D21" s="238" t="s">
        <v>548</v>
      </c>
      <c r="E21" s="239">
        <v>850</v>
      </c>
      <c r="F21" s="240">
        <v>700</v>
      </c>
      <c r="G21" s="240">
        <v>150</v>
      </c>
      <c r="H21" s="240"/>
      <c r="I21" s="240"/>
      <c r="J21" s="240"/>
      <c r="K21" s="240"/>
      <c r="L21" s="240"/>
      <c r="M21" s="240"/>
      <c r="N21" s="240"/>
      <c r="O21" s="240"/>
      <c r="P21" s="240"/>
      <c r="Q21" s="240"/>
      <c r="R21" s="240"/>
      <c r="S21" s="240"/>
      <c r="T21" s="241">
        <f t="shared" si="1"/>
        <v>850</v>
      </c>
      <c r="U21" s="241">
        <f t="shared" si="0"/>
        <v>0</v>
      </c>
      <c r="V21" s="243"/>
    </row>
    <row r="22" spans="1:22" ht="15.75" x14ac:dyDescent="0.25">
      <c r="A22" s="212">
        <v>45999</v>
      </c>
      <c r="B22" s="215">
        <v>483</v>
      </c>
      <c r="C22" s="220" t="s">
        <v>533</v>
      </c>
      <c r="D22" s="229" t="s">
        <v>549</v>
      </c>
      <c r="E22" s="225">
        <v>4000</v>
      </c>
      <c r="F22" s="189">
        <v>1000</v>
      </c>
      <c r="G22" s="189">
        <v>500</v>
      </c>
      <c r="H22" s="189">
        <v>500</v>
      </c>
      <c r="I22" s="189">
        <v>500</v>
      </c>
      <c r="J22" s="189">
        <v>500</v>
      </c>
      <c r="K22" s="189">
        <v>500</v>
      </c>
      <c r="L22" s="189">
        <v>500</v>
      </c>
      <c r="M22" s="189"/>
      <c r="N22" s="189"/>
      <c r="O22" s="189"/>
      <c r="P22" s="189"/>
      <c r="Q22" s="189"/>
      <c r="R22" s="189"/>
      <c r="S22" s="189"/>
      <c r="T22" s="100">
        <f t="shared" si="1"/>
        <v>4000</v>
      </c>
      <c r="U22" s="100">
        <f t="shared" si="0"/>
        <v>0</v>
      </c>
      <c r="V22" s="190"/>
    </row>
    <row r="23" spans="1:22" ht="15.75" x14ac:dyDescent="0.25">
      <c r="A23" s="235">
        <v>45957</v>
      </c>
      <c r="B23" s="236">
        <v>598</v>
      </c>
      <c r="C23" s="237" t="s">
        <v>534</v>
      </c>
      <c r="D23" s="238" t="s">
        <v>549</v>
      </c>
      <c r="E23" s="239">
        <v>400</v>
      </c>
      <c r="F23" s="240">
        <v>400</v>
      </c>
      <c r="G23" s="240"/>
      <c r="H23" s="240"/>
      <c r="I23" s="240"/>
      <c r="J23" s="240"/>
      <c r="K23" s="240"/>
      <c r="L23" s="240"/>
      <c r="M23" s="240"/>
      <c r="N23" s="240"/>
      <c r="O23" s="240"/>
      <c r="P23" s="240"/>
      <c r="Q23" s="240"/>
      <c r="R23" s="240"/>
      <c r="S23" s="240"/>
      <c r="T23" s="241">
        <f t="shared" si="1"/>
        <v>400</v>
      </c>
      <c r="U23" s="241">
        <f t="shared" si="0"/>
        <v>0</v>
      </c>
      <c r="V23" s="243"/>
    </row>
    <row r="24" spans="1:22" ht="15.75" x14ac:dyDescent="0.25">
      <c r="A24" s="235">
        <v>45964</v>
      </c>
      <c r="B24" s="236">
        <v>610</v>
      </c>
      <c r="C24" s="237" t="s">
        <v>535</v>
      </c>
      <c r="D24" s="238" t="s">
        <v>549</v>
      </c>
      <c r="E24" s="239">
        <v>1500</v>
      </c>
      <c r="F24" s="240">
        <v>1000</v>
      </c>
      <c r="G24" s="240">
        <v>500</v>
      </c>
      <c r="H24" s="240"/>
      <c r="I24" s="240"/>
      <c r="J24" s="240"/>
      <c r="K24" s="240"/>
      <c r="L24" s="240"/>
      <c r="M24" s="240"/>
      <c r="N24" s="240"/>
      <c r="O24" s="240"/>
      <c r="P24" s="240"/>
      <c r="Q24" s="240"/>
      <c r="R24" s="240"/>
      <c r="S24" s="240"/>
      <c r="T24" s="241">
        <f t="shared" si="1"/>
        <v>1500</v>
      </c>
      <c r="U24" s="241">
        <f t="shared" si="0"/>
        <v>0</v>
      </c>
      <c r="V24" s="243"/>
    </row>
    <row r="25" spans="1:22" ht="15.75" x14ac:dyDescent="0.25">
      <c r="A25" s="235">
        <v>45915</v>
      </c>
      <c r="B25" s="236">
        <v>664</v>
      </c>
      <c r="C25" s="237" t="s">
        <v>536</v>
      </c>
      <c r="D25" s="238" t="s">
        <v>549</v>
      </c>
      <c r="E25" s="239">
        <v>3000</v>
      </c>
      <c r="F25" s="240">
        <v>1000</v>
      </c>
      <c r="G25" s="240">
        <v>500</v>
      </c>
      <c r="H25" s="240">
        <v>500</v>
      </c>
      <c r="I25" s="240">
        <v>500</v>
      </c>
      <c r="J25" s="240">
        <v>500</v>
      </c>
      <c r="K25" s="240"/>
      <c r="L25" s="240"/>
      <c r="M25" s="240"/>
      <c r="N25" s="240"/>
      <c r="O25" s="240"/>
      <c r="P25" s="240"/>
      <c r="Q25" s="240"/>
      <c r="R25" s="240"/>
      <c r="S25" s="240"/>
      <c r="T25" s="241">
        <f t="shared" si="1"/>
        <v>3000</v>
      </c>
      <c r="U25" s="241">
        <f t="shared" si="0"/>
        <v>0</v>
      </c>
      <c r="V25" s="243"/>
    </row>
    <row r="26" spans="1:22" ht="15.75" x14ac:dyDescent="0.25">
      <c r="A26" s="235">
        <v>45971</v>
      </c>
      <c r="B26" s="244">
        <v>772</v>
      </c>
      <c r="C26" s="245" t="s">
        <v>537</v>
      </c>
      <c r="D26" s="238" t="s">
        <v>548</v>
      </c>
      <c r="E26" s="246">
        <v>3600</v>
      </c>
      <c r="F26" s="240">
        <v>800</v>
      </c>
      <c r="G26" s="240">
        <v>400</v>
      </c>
      <c r="H26" s="240">
        <v>400</v>
      </c>
      <c r="I26" s="240"/>
      <c r="J26" s="240"/>
      <c r="K26" s="240">
        <v>2000</v>
      </c>
      <c r="L26" s="240"/>
      <c r="M26" s="240"/>
      <c r="N26" s="240"/>
      <c r="O26" s="240"/>
      <c r="P26" s="240"/>
      <c r="Q26" s="240"/>
      <c r="R26" s="240"/>
      <c r="S26" s="240"/>
      <c r="T26" s="241">
        <f t="shared" si="1"/>
        <v>3600</v>
      </c>
      <c r="U26" s="241">
        <f t="shared" si="0"/>
        <v>0</v>
      </c>
      <c r="V26" s="243" t="s">
        <v>577</v>
      </c>
    </row>
    <row r="27" spans="1:22" ht="15.75" x14ac:dyDescent="0.25">
      <c r="A27" s="235">
        <v>45957</v>
      </c>
      <c r="B27" s="244">
        <v>747</v>
      </c>
      <c r="C27" s="245" t="s">
        <v>538</v>
      </c>
      <c r="D27" s="238" t="s">
        <v>549</v>
      </c>
      <c r="E27" s="246">
        <v>700</v>
      </c>
      <c r="F27" s="240">
        <v>600</v>
      </c>
      <c r="G27" s="240">
        <v>100</v>
      </c>
      <c r="H27" s="240"/>
      <c r="I27" s="240"/>
      <c r="J27" s="240"/>
      <c r="K27" s="240"/>
      <c r="L27" s="240"/>
      <c r="M27" s="240"/>
      <c r="N27" s="240"/>
      <c r="O27" s="240"/>
      <c r="P27" s="240"/>
      <c r="Q27" s="240"/>
      <c r="R27" s="240"/>
      <c r="S27" s="240"/>
      <c r="T27" s="241">
        <f t="shared" si="1"/>
        <v>700</v>
      </c>
      <c r="U27" s="241">
        <f t="shared" si="0"/>
        <v>0</v>
      </c>
      <c r="V27" s="243"/>
    </row>
    <row r="28" spans="1:22" ht="14.25" customHeight="1" x14ac:dyDescent="0.25">
      <c r="A28" s="235">
        <v>45985</v>
      </c>
      <c r="B28" s="244">
        <v>759</v>
      </c>
      <c r="C28" s="245" t="s">
        <v>539</v>
      </c>
      <c r="D28" s="238" t="s">
        <v>548</v>
      </c>
      <c r="E28" s="246">
        <v>2400</v>
      </c>
      <c r="F28" s="240">
        <v>800</v>
      </c>
      <c r="G28" s="240">
        <v>400</v>
      </c>
      <c r="H28" s="240">
        <v>400</v>
      </c>
      <c r="I28" s="240">
        <v>400</v>
      </c>
      <c r="J28" s="240">
        <v>400</v>
      </c>
      <c r="K28" s="240"/>
      <c r="L28" s="240"/>
      <c r="M28" s="240"/>
      <c r="N28" s="240"/>
      <c r="O28" s="240"/>
      <c r="P28" s="240"/>
      <c r="Q28" s="240"/>
      <c r="R28" s="240"/>
      <c r="S28" s="240"/>
      <c r="T28" s="241">
        <f t="shared" si="1"/>
        <v>2400</v>
      </c>
      <c r="U28" s="241">
        <f t="shared" si="0"/>
        <v>0</v>
      </c>
      <c r="V28" s="243"/>
    </row>
    <row r="29" spans="1:22" ht="15.75" x14ac:dyDescent="0.25">
      <c r="A29" s="235">
        <v>45957</v>
      </c>
      <c r="B29" s="244">
        <v>795</v>
      </c>
      <c r="C29" s="245" t="s">
        <v>540</v>
      </c>
      <c r="D29" s="238" t="s">
        <v>548</v>
      </c>
      <c r="E29" s="246">
        <v>1000</v>
      </c>
      <c r="F29" s="240">
        <v>1000</v>
      </c>
      <c r="G29" s="240"/>
      <c r="H29" s="240"/>
      <c r="I29" s="240"/>
      <c r="J29" s="240"/>
      <c r="K29" s="240"/>
      <c r="L29" s="240"/>
      <c r="M29" s="240"/>
      <c r="N29" s="240"/>
      <c r="O29" s="240"/>
      <c r="P29" s="240"/>
      <c r="Q29" s="240"/>
      <c r="R29" s="240"/>
      <c r="S29" s="240"/>
      <c r="T29" s="241">
        <f t="shared" si="1"/>
        <v>1000</v>
      </c>
      <c r="U29" s="241">
        <f t="shared" si="0"/>
        <v>0</v>
      </c>
      <c r="V29" s="243"/>
    </row>
    <row r="30" spans="1:22" ht="15.75" x14ac:dyDescent="0.25">
      <c r="A30" s="212">
        <v>45985</v>
      </c>
      <c r="B30" s="216">
        <v>800</v>
      </c>
      <c r="C30" s="221" t="s">
        <v>541</v>
      </c>
      <c r="D30" s="229" t="s">
        <v>548</v>
      </c>
      <c r="E30" s="226">
        <v>2800</v>
      </c>
      <c r="F30" s="189">
        <v>400</v>
      </c>
      <c r="G30" s="189">
        <v>400</v>
      </c>
      <c r="H30" s="189">
        <v>400</v>
      </c>
      <c r="I30" s="189">
        <v>400</v>
      </c>
      <c r="J30" s="189">
        <v>0</v>
      </c>
      <c r="K30" s="189">
        <v>0</v>
      </c>
      <c r="L30" s="189">
        <v>0</v>
      </c>
      <c r="M30" s="189"/>
      <c r="N30" s="189"/>
      <c r="O30" s="189"/>
      <c r="P30" s="189"/>
      <c r="Q30" s="189"/>
      <c r="R30" s="189"/>
      <c r="S30" s="189"/>
      <c r="T30" s="100">
        <f t="shared" si="1"/>
        <v>1600</v>
      </c>
      <c r="U30" s="100">
        <f t="shared" si="0"/>
        <v>1200</v>
      </c>
      <c r="V30" s="190"/>
    </row>
    <row r="31" spans="1:22" ht="15.75" x14ac:dyDescent="0.25">
      <c r="A31" s="235">
        <v>45128</v>
      </c>
      <c r="B31" s="244">
        <v>509</v>
      </c>
      <c r="C31" s="245" t="s">
        <v>542</v>
      </c>
      <c r="D31" s="238" t="s">
        <v>557</v>
      </c>
      <c r="E31" s="246">
        <v>1700</v>
      </c>
      <c r="F31" s="240">
        <v>1700</v>
      </c>
      <c r="G31" s="240"/>
      <c r="H31" s="240"/>
      <c r="I31" s="240"/>
      <c r="J31" s="240"/>
      <c r="K31" s="240"/>
      <c r="L31" s="240"/>
      <c r="M31" s="240"/>
      <c r="N31" s="240"/>
      <c r="O31" s="240"/>
      <c r="P31" s="240"/>
      <c r="Q31" s="240"/>
      <c r="R31" s="240"/>
      <c r="S31" s="240"/>
      <c r="T31" s="241">
        <f t="shared" si="1"/>
        <v>1700</v>
      </c>
      <c r="U31" s="241">
        <f t="shared" si="0"/>
        <v>0</v>
      </c>
      <c r="V31" s="243"/>
    </row>
    <row r="32" spans="1:22" ht="15.75" x14ac:dyDescent="0.25">
      <c r="A32" s="235">
        <v>45320</v>
      </c>
      <c r="B32" s="244">
        <v>509</v>
      </c>
      <c r="C32" s="245" t="s">
        <v>542</v>
      </c>
      <c r="D32" s="238" t="s">
        <v>557</v>
      </c>
      <c r="E32" s="246">
        <v>6211</v>
      </c>
      <c r="F32" s="240">
        <v>6211</v>
      </c>
      <c r="G32" s="240"/>
      <c r="H32" s="240"/>
      <c r="I32" s="240"/>
      <c r="J32" s="240"/>
      <c r="K32" s="240"/>
      <c r="L32" s="240"/>
      <c r="M32" s="240"/>
      <c r="N32" s="240"/>
      <c r="O32" s="240"/>
      <c r="P32" s="240"/>
      <c r="Q32" s="240"/>
      <c r="R32" s="240"/>
      <c r="S32" s="240"/>
      <c r="T32" s="241">
        <f t="shared" si="1"/>
        <v>6211</v>
      </c>
      <c r="U32" s="241">
        <f t="shared" si="0"/>
        <v>0</v>
      </c>
      <c r="V32" s="243"/>
    </row>
    <row r="33" spans="1:22" ht="15.75" x14ac:dyDescent="0.25">
      <c r="A33" s="213">
        <v>45782</v>
      </c>
      <c r="B33" s="217">
        <v>707</v>
      </c>
      <c r="C33" s="222" t="s">
        <v>543</v>
      </c>
      <c r="D33" s="230" t="s">
        <v>551</v>
      </c>
      <c r="E33" s="227">
        <v>700</v>
      </c>
      <c r="F33" s="231"/>
      <c r="G33" s="231"/>
      <c r="H33" s="231"/>
      <c r="I33" s="231"/>
      <c r="J33" s="231"/>
      <c r="K33" s="231"/>
      <c r="L33" s="231"/>
      <c r="M33" s="231"/>
      <c r="N33" s="231"/>
      <c r="O33" s="231"/>
      <c r="P33" s="231"/>
      <c r="Q33" s="231"/>
      <c r="R33" s="231"/>
      <c r="S33" s="231"/>
      <c r="T33" s="232">
        <f t="shared" si="1"/>
        <v>0</v>
      </c>
      <c r="U33" s="232">
        <f t="shared" si="0"/>
        <v>700</v>
      </c>
      <c r="V33" s="233"/>
    </row>
    <row r="34" spans="1:22" ht="15.75" x14ac:dyDescent="0.25">
      <c r="A34" s="213">
        <v>45481</v>
      </c>
      <c r="B34" s="217">
        <v>716</v>
      </c>
      <c r="C34" s="222" t="s">
        <v>544</v>
      </c>
      <c r="D34" s="230" t="s">
        <v>551</v>
      </c>
      <c r="E34" s="227">
        <v>2400</v>
      </c>
      <c r="F34" s="231"/>
      <c r="G34" s="231"/>
      <c r="H34" s="231"/>
      <c r="I34" s="231"/>
      <c r="J34" s="231"/>
      <c r="K34" s="231"/>
      <c r="L34" s="231"/>
      <c r="M34" s="231"/>
      <c r="N34" s="231"/>
      <c r="O34" s="231"/>
      <c r="P34" s="231"/>
      <c r="Q34" s="231"/>
      <c r="R34" s="231"/>
      <c r="S34" s="231"/>
      <c r="T34" s="232">
        <f t="shared" si="1"/>
        <v>0</v>
      </c>
      <c r="U34" s="232">
        <f t="shared" si="0"/>
        <v>2400</v>
      </c>
      <c r="V34" s="233"/>
    </row>
    <row r="35" spans="1:22" ht="15.75" x14ac:dyDescent="0.25">
      <c r="A35" s="213">
        <v>45170</v>
      </c>
      <c r="B35" s="217">
        <v>690</v>
      </c>
      <c r="C35" s="222" t="s">
        <v>545</v>
      </c>
      <c r="D35" s="230" t="s">
        <v>551</v>
      </c>
      <c r="E35" s="227">
        <v>2800</v>
      </c>
      <c r="F35" s="231"/>
      <c r="G35" s="231"/>
      <c r="H35" s="231"/>
      <c r="I35" s="231"/>
      <c r="J35" s="231"/>
      <c r="K35" s="231"/>
      <c r="L35" s="231"/>
      <c r="M35" s="231"/>
      <c r="N35" s="231"/>
      <c r="O35" s="231"/>
      <c r="P35" s="231"/>
      <c r="Q35" s="231"/>
      <c r="R35" s="231"/>
      <c r="S35" s="231"/>
      <c r="T35" s="232">
        <f t="shared" si="1"/>
        <v>0</v>
      </c>
      <c r="U35" s="232">
        <f t="shared" si="0"/>
        <v>2800</v>
      </c>
      <c r="V35" s="233"/>
    </row>
    <row r="36" spans="1:22" ht="15.75" x14ac:dyDescent="0.25">
      <c r="A36" s="213">
        <v>44933</v>
      </c>
      <c r="B36" s="218">
        <v>645</v>
      </c>
      <c r="C36" s="223" t="s">
        <v>546</v>
      </c>
      <c r="D36" s="230" t="s">
        <v>551</v>
      </c>
      <c r="E36" s="227">
        <v>2100</v>
      </c>
      <c r="F36" s="231"/>
      <c r="G36" s="231"/>
      <c r="H36" s="231"/>
      <c r="I36" s="231"/>
      <c r="J36" s="231"/>
      <c r="K36" s="231"/>
      <c r="L36" s="231"/>
      <c r="M36" s="231"/>
      <c r="N36" s="231"/>
      <c r="O36" s="231"/>
      <c r="P36" s="231"/>
      <c r="Q36" s="231"/>
      <c r="R36" s="231"/>
      <c r="S36" s="231"/>
      <c r="T36" s="232">
        <f t="shared" si="1"/>
        <v>0</v>
      </c>
      <c r="U36" s="232">
        <f t="shared" si="0"/>
        <v>2100</v>
      </c>
      <c r="V36" s="233"/>
    </row>
    <row r="37" spans="1:22" ht="18.75" customHeight="1" thickBot="1" x14ac:dyDescent="0.3">
      <c r="A37" s="214">
        <v>44906</v>
      </c>
      <c r="B37" s="219">
        <v>629</v>
      </c>
      <c r="C37" s="224" t="s">
        <v>547</v>
      </c>
      <c r="D37" s="230" t="s">
        <v>551</v>
      </c>
      <c r="E37" s="228">
        <v>4500</v>
      </c>
      <c r="F37" s="231"/>
      <c r="G37" s="231"/>
      <c r="H37" s="231"/>
      <c r="I37" s="231"/>
      <c r="J37" s="231"/>
      <c r="K37" s="231"/>
      <c r="L37" s="231"/>
      <c r="M37" s="231"/>
      <c r="N37" s="231"/>
      <c r="O37" s="231"/>
      <c r="P37" s="231"/>
      <c r="Q37" s="231"/>
      <c r="R37" s="231"/>
      <c r="S37" s="231"/>
      <c r="T37" s="232">
        <f t="shared" si="1"/>
        <v>0</v>
      </c>
      <c r="U37" s="232">
        <f t="shared" si="0"/>
        <v>4500</v>
      </c>
      <c r="V37" s="234"/>
    </row>
    <row r="38" spans="1:22" x14ac:dyDescent="0.25">
      <c r="A38" s="186"/>
      <c r="B38" s="187"/>
      <c r="C38" s="187"/>
      <c r="D38" s="187"/>
      <c r="E38" s="188"/>
      <c r="F38" s="189"/>
      <c r="G38" s="189"/>
      <c r="H38" s="189"/>
      <c r="I38" s="189"/>
      <c r="J38" s="189"/>
      <c r="K38" s="189"/>
      <c r="L38" s="189"/>
      <c r="M38" s="189"/>
      <c r="N38" s="189"/>
      <c r="O38" s="189"/>
      <c r="P38" s="189"/>
      <c r="Q38" s="189"/>
      <c r="R38" s="189"/>
      <c r="S38" s="189"/>
      <c r="T38" s="100">
        <f t="shared" si="1"/>
        <v>0</v>
      </c>
      <c r="U38" s="100">
        <f t="shared" si="0"/>
        <v>0</v>
      </c>
      <c r="V38" s="190"/>
    </row>
    <row r="39" spans="1:22" x14ac:dyDescent="0.25">
      <c r="A39" s="186"/>
      <c r="B39" s="187"/>
      <c r="C39" s="187"/>
      <c r="D39" s="187"/>
      <c r="E39" s="188"/>
      <c r="F39" s="189"/>
      <c r="G39" s="189"/>
      <c r="H39" s="189"/>
      <c r="I39" s="189"/>
      <c r="J39" s="189"/>
      <c r="K39" s="189"/>
      <c r="L39" s="189"/>
      <c r="M39" s="189"/>
      <c r="N39" s="189"/>
      <c r="O39" s="189"/>
      <c r="P39" s="189"/>
      <c r="Q39" s="189"/>
      <c r="R39" s="189"/>
      <c r="S39" s="189"/>
      <c r="T39" s="100">
        <f t="shared" si="1"/>
        <v>0</v>
      </c>
      <c r="U39" s="100">
        <f t="shared" si="0"/>
        <v>0</v>
      </c>
      <c r="V39" s="190"/>
    </row>
    <row r="40" spans="1:22" x14ac:dyDescent="0.25">
      <c r="A40" s="186"/>
      <c r="B40" s="187"/>
      <c r="C40" s="187"/>
      <c r="D40" s="187"/>
      <c r="E40" s="188"/>
      <c r="F40" s="189"/>
      <c r="G40" s="189"/>
      <c r="H40" s="189"/>
      <c r="I40" s="189"/>
      <c r="J40" s="189"/>
      <c r="K40" s="189"/>
      <c r="L40" s="189"/>
      <c r="M40" s="189"/>
      <c r="N40" s="189"/>
      <c r="O40" s="189"/>
      <c r="P40" s="189"/>
      <c r="Q40" s="189"/>
      <c r="R40" s="189"/>
      <c r="S40" s="189"/>
      <c r="T40" s="100">
        <f t="shared" si="1"/>
        <v>0</v>
      </c>
      <c r="U40" s="100">
        <f t="shared" si="0"/>
        <v>0</v>
      </c>
      <c r="V40" s="190"/>
    </row>
    <row r="41" spans="1:22" x14ac:dyDescent="0.25">
      <c r="A41" s="186"/>
      <c r="B41" s="187"/>
      <c r="C41" s="187"/>
      <c r="D41" s="187"/>
      <c r="E41" s="188"/>
      <c r="F41" s="189"/>
      <c r="G41" s="189"/>
      <c r="H41" s="189"/>
      <c r="I41" s="189"/>
      <c r="J41" s="189"/>
      <c r="K41" s="189"/>
      <c r="L41" s="189"/>
      <c r="M41" s="189"/>
      <c r="N41" s="189"/>
      <c r="O41" s="189"/>
      <c r="P41" s="189"/>
      <c r="Q41" s="189"/>
      <c r="R41" s="189"/>
      <c r="S41" s="189"/>
      <c r="T41" s="100">
        <f t="shared" si="1"/>
        <v>0</v>
      </c>
      <c r="U41" s="100">
        <f t="shared" si="0"/>
        <v>0</v>
      </c>
      <c r="V41" s="190"/>
    </row>
    <row r="42" spans="1:22" x14ac:dyDescent="0.25">
      <c r="A42" t="s">
        <v>4</v>
      </c>
      <c r="E42" s="12">
        <f>SUM(E9:E41)</f>
        <v>78211</v>
      </c>
      <c r="F42" s="12"/>
      <c r="G42" s="12"/>
      <c r="H42" s="12"/>
      <c r="I42" s="12"/>
      <c r="J42" s="12"/>
      <c r="K42" s="6"/>
      <c r="L42" s="6"/>
      <c r="M42" s="6"/>
      <c r="N42" s="6"/>
      <c r="O42" s="6"/>
      <c r="T42" s="100">
        <f>SUM(T9:T41)</f>
        <v>53211</v>
      </c>
      <c r="U42" s="100">
        <f>SUM(U9:U41)</f>
        <v>25000</v>
      </c>
      <c r="V42" s="99"/>
    </row>
    <row r="43" spans="1:22" ht="15.75" thickBot="1" x14ac:dyDescent="0.3"/>
    <row r="44" spans="1:22" ht="16.5" thickBot="1" x14ac:dyDescent="0.35">
      <c r="H44" s="291" t="s">
        <v>20</v>
      </c>
      <c r="I44" s="292"/>
      <c r="J44" s="15">
        <f>E42</f>
        <v>78211</v>
      </c>
    </row>
    <row r="45" spans="1:22" ht="19.5" thickBot="1" x14ac:dyDescent="0.45">
      <c r="H45" s="279" t="s">
        <v>3</v>
      </c>
      <c r="I45" s="280"/>
      <c r="J45" s="16">
        <f>T42</f>
        <v>53211</v>
      </c>
    </row>
    <row r="46" spans="1:22" ht="19.5" thickBot="1" x14ac:dyDescent="0.45">
      <c r="H46" s="279" t="s">
        <v>7</v>
      </c>
      <c r="I46" s="279"/>
      <c r="J46" s="13">
        <f>U42</f>
        <v>25000</v>
      </c>
    </row>
    <row r="62" spans="11:11" x14ac:dyDescent="0.25">
      <c r="K62" t="s">
        <v>31</v>
      </c>
    </row>
  </sheetData>
  <sheetProtection algorithmName="SHA-512" hashValue="+A3BD14BRbTE346v4U6iqf5Tyyej1xkLFMAAXmoGgV1m9fkSMimHUray7hkQUWfvV5GXve/uRSuXbXZmRQdtyA==" saltValue="u6lYWZ2hX5WudnmN8S6m8w==" spinCount="100000" sheet="1" formatCells="0" formatColumns="0" formatRows="0" insertColumns="0" insertRows="0" insertHyperlinks="0" deleteColumns="0" deleteRows="0" sort="0" autoFilter="0" pivotTables="0"/>
  <autoFilter ref="A8:V8" xr:uid="{751D27E6-A4E7-4030-9278-9B20466C4925}"/>
  <mergeCells count="8">
    <mergeCell ref="H45:I45"/>
    <mergeCell ref="H46:I46"/>
    <mergeCell ref="C6:G7"/>
    <mergeCell ref="A1:B5"/>
    <mergeCell ref="C1:G2"/>
    <mergeCell ref="H1:I2"/>
    <mergeCell ref="A6:B7"/>
    <mergeCell ref="H44:I44"/>
  </mergeCells>
  <phoneticPr fontId="18" type="noConversion"/>
  <pageMargins left="0.15748031496062992" right="0.15748031496062992" top="0.74803149606299213" bottom="0.74803149606299213" header="0.31496062992125984" footer="0.31496062992125984"/>
  <pageSetup scale="4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32BD3-2AB9-4EB4-BF75-9DE5BF4DB7F8}">
  <sheetPr codeName="Hoja58">
    <tabColor rgb="FFFFC000"/>
  </sheetPr>
  <dimension ref="A1:BD374"/>
  <sheetViews>
    <sheetView topLeftCell="A8" zoomScale="90" zoomScaleNormal="90" workbookViewId="0">
      <pane ySplit="1" topLeftCell="A9" activePane="bottomLeft" state="frozen"/>
      <selection activeCell="A8" sqref="A8"/>
      <selection pane="bottomLeft" activeCell="I12" sqref="I12"/>
    </sheetView>
  </sheetViews>
  <sheetFormatPr baseColWidth="10" defaultRowHeight="15" x14ac:dyDescent="0.25"/>
  <cols>
    <col min="1" max="1" width="14" customWidth="1"/>
    <col min="2" max="2" width="15.7109375" customWidth="1"/>
    <col min="3" max="3" width="61.42578125" bestFit="1" customWidth="1"/>
    <col min="4" max="5" width="14.140625" customWidth="1"/>
    <col min="6" max="6" width="12.5703125" style="53" bestFit="1" customWidth="1"/>
    <col min="7" max="7" width="21.42578125" bestFit="1" customWidth="1"/>
    <col min="8" max="8" width="14.5703125" customWidth="1"/>
    <col min="9" max="9" width="13" customWidth="1"/>
    <col min="10" max="10" width="14.140625" customWidth="1"/>
    <col min="11" max="11" width="13.28515625" customWidth="1"/>
    <col min="12" max="12" width="13" customWidth="1"/>
    <col min="13" max="13" width="13.140625" customWidth="1"/>
    <col min="14" max="14" width="14.140625" customWidth="1"/>
    <col min="15" max="15" width="13.7109375" customWidth="1"/>
    <col min="16" max="16" width="14.7109375" customWidth="1"/>
    <col min="17" max="18" width="13.7109375" customWidth="1"/>
    <col min="19" max="19" width="14" customWidth="1"/>
    <col min="20" max="20" width="14.28515625" customWidth="1"/>
    <col min="21" max="21" width="14.140625" customWidth="1"/>
    <col min="22" max="22" width="13.28515625" customWidth="1"/>
    <col min="23" max="23" width="14" customWidth="1"/>
    <col min="24" max="24" width="13.85546875" customWidth="1"/>
    <col min="25" max="26" width="14.5703125" customWidth="1"/>
    <col min="27" max="27" width="13.42578125" customWidth="1"/>
    <col min="29" max="29" width="14.42578125" customWidth="1"/>
    <col min="30" max="30" width="14.85546875" customWidth="1"/>
    <col min="31" max="31" width="13.42578125" customWidth="1"/>
    <col min="32" max="33" width="14" customWidth="1"/>
    <col min="34" max="34" width="14.7109375" customWidth="1"/>
    <col min="35" max="35" width="14.140625" customWidth="1"/>
    <col min="37" max="37" width="14.42578125" customWidth="1"/>
    <col min="38" max="38" width="14.5703125" customWidth="1"/>
    <col min="39" max="39" width="13.85546875" customWidth="1"/>
    <col min="40" max="40" width="14" customWidth="1"/>
    <col min="41" max="41" width="13.85546875" customWidth="1"/>
    <col min="42" max="42" width="14.140625" customWidth="1"/>
    <col min="43" max="43" width="13.28515625" customWidth="1"/>
    <col min="44" max="44" width="13.5703125" customWidth="1"/>
    <col min="45" max="45" width="13.42578125" customWidth="1"/>
    <col min="46" max="46" width="15.140625" customWidth="1"/>
    <col min="47" max="47" width="14.7109375" customWidth="1"/>
    <col min="48" max="48" width="14.5703125" customWidth="1"/>
    <col min="49" max="49" width="15.42578125" customWidth="1"/>
    <col min="50" max="50" width="13.85546875" customWidth="1"/>
    <col min="51" max="51" width="13.7109375" customWidth="1"/>
    <col min="52" max="52" width="13.85546875" customWidth="1"/>
    <col min="53" max="53" width="14.140625" customWidth="1"/>
    <col min="54" max="54" width="13.85546875" customWidth="1"/>
    <col min="55" max="55" width="14.28515625" customWidth="1"/>
    <col min="56" max="56" width="13.85546875" customWidth="1"/>
  </cols>
  <sheetData>
    <row r="1" spans="1:56" ht="27.75" hidden="1" customHeight="1" x14ac:dyDescent="0.25">
      <c r="F1"/>
    </row>
    <row r="2" spans="1:56" ht="15.75" hidden="1" customHeight="1" x14ac:dyDescent="0.25">
      <c r="D2" s="293" t="s">
        <v>123</v>
      </c>
      <c r="E2" s="293"/>
      <c r="F2" s="293"/>
      <c r="G2" s="293"/>
      <c r="H2" s="293"/>
      <c r="I2" s="293"/>
    </row>
    <row r="3" spans="1:56" hidden="1" x14ac:dyDescent="0.25">
      <c r="D3" s="293"/>
      <c r="E3" s="293"/>
      <c r="F3" s="293"/>
      <c r="G3" s="293"/>
      <c r="H3" s="293"/>
      <c r="I3" s="293"/>
    </row>
    <row r="4" spans="1:56" hidden="1" x14ac:dyDescent="0.25">
      <c r="D4" s="293"/>
      <c r="E4" s="293"/>
      <c r="F4" s="293"/>
      <c r="G4" s="293"/>
      <c r="H4" s="293"/>
      <c r="I4" s="293"/>
    </row>
    <row r="5" spans="1:56" ht="22.5" hidden="1" customHeight="1" x14ac:dyDescent="0.25">
      <c r="F5"/>
    </row>
    <row r="6" spans="1:56" ht="26.25" hidden="1" customHeight="1" x14ac:dyDescent="0.25">
      <c r="F6"/>
    </row>
    <row r="7" spans="1:56" ht="27.75" hidden="1" thickBot="1" x14ac:dyDescent="0.55000000000000004">
      <c r="A7" s="274"/>
      <c r="B7" s="274"/>
      <c r="C7" s="9"/>
      <c r="F7"/>
    </row>
    <row r="8" spans="1:56" x14ac:dyDescent="0.25">
      <c r="A8" s="97" t="s">
        <v>14</v>
      </c>
      <c r="B8" s="97" t="s">
        <v>15</v>
      </c>
      <c r="C8" s="97" t="s">
        <v>16</v>
      </c>
      <c r="D8" s="98" t="s">
        <v>114</v>
      </c>
      <c r="E8" s="98" t="s">
        <v>124</v>
      </c>
      <c r="F8" s="98" t="s">
        <v>115</v>
      </c>
      <c r="G8" s="96" t="s">
        <v>116</v>
      </c>
      <c r="H8" s="96" t="s">
        <v>117</v>
      </c>
      <c r="I8" s="96" t="s">
        <v>118</v>
      </c>
      <c r="J8" s="96" t="s">
        <v>119</v>
      </c>
      <c r="K8" s="96" t="s">
        <v>120</v>
      </c>
      <c r="L8" s="96" t="s">
        <v>121</v>
      </c>
      <c r="M8" s="96" t="s">
        <v>122</v>
      </c>
      <c r="N8" s="96" t="s">
        <v>66</v>
      </c>
      <c r="O8" s="96" t="s">
        <v>67</v>
      </c>
      <c r="P8" s="96" t="s">
        <v>68</v>
      </c>
      <c r="Q8" s="96" t="s">
        <v>69</v>
      </c>
      <c r="R8" s="96" t="s">
        <v>70</v>
      </c>
      <c r="S8" s="96" t="s">
        <v>71</v>
      </c>
      <c r="T8" s="96" t="s">
        <v>72</v>
      </c>
      <c r="U8" s="96" t="s">
        <v>73</v>
      </c>
      <c r="V8" s="96" t="s">
        <v>74</v>
      </c>
      <c r="W8" s="96" t="s">
        <v>75</v>
      </c>
      <c r="X8" s="96" t="s">
        <v>76</v>
      </c>
      <c r="Y8" s="96" t="s">
        <v>77</v>
      </c>
      <c r="Z8" s="96" t="s">
        <v>78</v>
      </c>
      <c r="AA8" s="96" t="s">
        <v>79</v>
      </c>
      <c r="AB8" s="96" t="s">
        <v>80</v>
      </c>
      <c r="AC8" s="96" t="s">
        <v>81</v>
      </c>
      <c r="AD8" s="96" t="s">
        <v>82</v>
      </c>
      <c r="AE8" s="96" t="s">
        <v>83</v>
      </c>
      <c r="AF8" s="96" t="s">
        <v>84</v>
      </c>
      <c r="AG8" s="96" t="s">
        <v>85</v>
      </c>
      <c r="AH8" s="96" t="s">
        <v>86</v>
      </c>
      <c r="AI8" s="96" t="s">
        <v>87</v>
      </c>
      <c r="AJ8" s="96" t="s">
        <v>88</v>
      </c>
      <c r="AK8" s="96" t="s">
        <v>89</v>
      </c>
      <c r="AL8" s="96" t="s">
        <v>90</v>
      </c>
      <c r="AM8" s="96" t="s">
        <v>27</v>
      </c>
      <c r="AN8" s="96" t="s">
        <v>19</v>
      </c>
      <c r="AO8" s="96" t="s">
        <v>21</v>
      </c>
      <c r="AP8" s="96" t="s">
        <v>28</v>
      </c>
      <c r="AQ8" s="96" t="s">
        <v>29</v>
      </c>
      <c r="AR8" s="96" t="s">
        <v>30</v>
      </c>
      <c r="AS8" s="96" t="s">
        <v>32</v>
      </c>
      <c r="AT8" s="96" t="s">
        <v>33</v>
      </c>
      <c r="AU8" s="96" t="s">
        <v>34</v>
      </c>
      <c r="AV8" s="96" t="s">
        <v>35</v>
      </c>
      <c r="AW8" s="96" t="s">
        <v>36</v>
      </c>
      <c r="AX8" s="96" t="s">
        <v>37</v>
      </c>
      <c r="AY8" s="96" t="s">
        <v>38</v>
      </c>
      <c r="AZ8" s="96" t="s">
        <v>39</v>
      </c>
      <c r="BA8" s="96" t="s">
        <v>91</v>
      </c>
      <c r="BB8" s="96" t="s">
        <v>92</v>
      </c>
      <c r="BC8" s="96" t="s">
        <v>93</v>
      </c>
      <c r="BD8" s="96" t="s">
        <v>94</v>
      </c>
    </row>
    <row r="9" spans="1:56" x14ac:dyDescent="0.25">
      <c r="A9" s="248">
        <f>'01 SEMANA '!A9</f>
        <v>46026</v>
      </c>
      <c r="B9" s="45">
        <f>'01 SEMANA '!B9</f>
        <v>129</v>
      </c>
      <c r="C9" s="45" t="str">
        <f>'01 SEMANA '!C9</f>
        <v>Reyes Enriquez García</v>
      </c>
      <c r="D9" s="45" t="str">
        <f>'01 SEMANA '!D9</f>
        <v xml:space="preserve">COCINA </v>
      </c>
      <c r="E9" s="100">
        <f>+'SALDOS INICIALES'!F9</f>
        <v>1000</v>
      </c>
      <c r="F9" s="100" t="e">
        <f>+'01 SEMANA '!#REF!</f>
        <v>#REF!</v>
      </c>
      <c r="G9" s="100">
        <f>+'01 SEMANA '!G9</f>
        <v>100</v>
      </c>
      <c r="H9" s="100">
        <f>+'01 SEMANA '!H9</f>
        <v>100</v>
      </c>
      <c r="I9" s="100">
        <f>+'01 SEMANA '!I9</f>
        <v>100</v>
      </c>
      <c r="J9" s="100">
        <f>+'01 SEMANA '!J9</f>
        <v>100</v>
      </c>
      <c r="K9" s="100">
        <f>+'01 SEMANA '!K9</f>
        <v>0</v>
      </c>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99"/>
      <c r="AN9" s="99"/>
      <c r="AO9" s="99"/>
      <c r="AP9" s="99"/>
      <c r="AQ9" s="99"/>
      <c r="AR9" s="99"/>
      <c r="AS9" s="99"/>
      <c r="AT9" s="99"/>
      <c r="AU9" s="99"/>
      <c r="AV9" s="99"/>
      <c r="AW9" s="99"/>
      <c r="AX9" s="99"/>
      <c r="AY9" s="99"/>
      <c r="AZ9" s="99"/>
      <c r="BA9" s="99"/>
      <c r="BB9" s="99"/>
      <c r="BC9" s="99"/>
      <c r="BD9" s="99"/>
    </row>
    <row r="10" spans="1:56" x14ac:dyDescent="0.25">
      <c r="A10" s="248">
        <f>'01 SEMANA '!A10</f>
        <v>46026</v>
      </c>
      <c r="B10" s="45">
        <f>'01 SEMANA '!B10</f>
        <v>245</v>
      </c>
      <c r="C10" s="45" t="str">
        <f>'01 SEMANA '!C10</f>
        <v>Antonio Noriega</v>
      </c>
      <c r="D10" s="45" t="str">
        <f>'01 SEMANA '!D10</f>
        <v xml:space="preserve">COCINA </v>
      </c>
      <c r="E10" s="100">
        <f>+'SALDOS INICIALES'!F10</f>
        <v>1000</v>
      </c>
      <c r="F10" s="100" t="e">
        <f>+'01 SEMANA '!#REF!</f>
        <v>#REF!</v>
      </c>
      <c r="G10" s="100">
        <f>+'01 SEMANA '!G10</f>
        <v>300</v>
      </c>
      <c r="H10" s="100">
        <f>+'01 SEMANA '!H10</f>
        <v>300</v>
      </c>
      <c r="I10" s="100">
        <f>+'01 SEMANA '!I10</f>
        <v>300</v>
      </c>
      <c r="J10" s="100">
        <f>+'01 SEMANA '!J10</f>
        <v>300</v>
      </c>
      <c r="K10" s="100">
        <f>+'01 SEMANA '!K10</f>
        <v>0</v>
      </c>
      <c r="L10" s="99"/>
      <c r="M10" s="99"/>
      <c r="N10" s="99"/>
      <c r="O10" s="99"/>
      <c r="P10" s="99"/>
      <c r="Q10" s="99"/>
      <c r="R10" s="99"/>
      <c r="S10" s="99"/>
      <c r="T10" s="99"/>
      <c r="U10" s="99"/>
      <c r="V10" s="99"/>
      <c r="W10" s="99"/>
      <c r="X10" s="99"/>
      <c r="Y10" s="99"/>
      <c r="Z10" s="99"/>
      <c r="AA10" s="99"/>
      <c r="AB10" s="99"/>
      <c r="AC10" s="99"/>
      <c r="AD10" s="99"/>
      <c r="AE10" s="99"/>
      <c r="AF10" s="99"/>
      <c r="AG10" s="99"/>
      <c r="AH10" s="99"/>
      <c r="AI10" s="99"/>
      <c r="AJ10" s="99"/>
      <c r="AK10" s="99"/>
      <c r="AL10" s="99"/>
      <c r="AM10" s="99"/>
      <c r="AN10" s="99"/>
      <c r="AO10" s="99"/>
      <c r="AP10" s="99"/>
      <c r="AQ10" s="99"/>
      <c r="AR10" s="99"/>
      <c r="AS10" s="99"/>
      <c r="AT10" s="99"/>
      <c r="AU10" s="99"/>
      <c r="AV10" s="99"/>
      <c r="AW10" s="99"/>
      <c r="AX10" s="99"/>
      <c r="AY10" s="99"/>
      <c r="AZ10" s="99"/>
      <c r="BA10" s="99"/>
      <c r="BB10" s="99"/>
      <c r="BC10" s="99"/>
      <c r="BD10" s="99"/>
    </row>
    <row r="11" spans="1:56" ht="13.5" customHeight="1" x14ac:dyDescent="0.25">
      <c r="A11" s="248">
        <f>'01 SEMANA '!A11</f>
        <v>46026</v>
      </c>
      <c r="B11" s="45">
        <f>'01 SEMANA '!B11</f>
        <v>453</v>
      </c>
      <c r="C11" s="45" t="str">
        <f>'01 SEMANA '!C11</f>
        <v>Martin Gabriel Rodríguez</v>
      </c>
      <c r="D11" s="45" t="str">
        <f>'01 SEMANA '!D11</f>
        <v xml:space="preserve">COCINA </v>
      </c>
      <c r="E11" s="100">
        <f>+'SALDOS INICIALES'!F11</f>
        <v>0</v>
      </c>
      <c r="F11" s="100" t="e">
        <f>+'01 SEMANA '!#REF!</f>
        <v>#REF!</v>
      </c>
      <c r="G11" s="100">
        <f>+'01 SEMANA '!G11</f>
        <v>400</v>
      </c>
      <c r="H11" s="100">
        <f>+'01 SEMANA '!H11</f>
        <v>400</v>
      </c>
      <c r="I11" s="100">
        <f>+'01 SEMANA '!I11</f>
        <v>400</v>
      </c>
      <c r="J11" s="100">
        <f>+'01 SEMANA '!J11</f>
        <v>400</v>
      </c>
      <c r="K11" s="100">
        <f>+'01 SEMANA '!K11</f>
        <v>0</v>
      </c>
      <c r="L11" s="99"/>
      <c r="M11" s="104"/>
      <c r="N11" s="104"/>
      <c r="O11" s="104"/>
      <c r="P11" s="99"/>
      <c r="Q11" s="99"/>
      <c r="R11" s="99"/>
      <c r="S11" s="99"/>
      <c r="T11" s="99"/>
      <c r="U11" s="99"/>
      <c r="V11" s="99"/>
      <c r="W11" s="99"/>
      <c r="X11" s="99"/>
      <c r="Y11" s="99"/>
      <c r="Z11" s="99"/>
      <c r="AA11" s="99"/>
      <c r="AB11" s="99"/>
      <c r="AC11" s="99"/>
      <c r="AD11" s="99"/>
      <c r="AE11" s="99"/>
      <c r="AF11" s="99"/>
      <c r="AG11" s="99"/>
      <c r="AH11" s="99"/>
      <c r="AI11" s="99"/>
      <c r="AJ11" s="99"/>
      <c r="AK11" s="99"/>
      <c r="AL11" s="99"/>
      <c r="AM11" s="99"/>
      <c r="AN11" s="99"/>
      <c r="AO11" s="99"/>
      <c r="AP11" s="99"/>
      <c r="AQ11" s="99"/>
      <c r="AR11" s="99"/>
      <c r="AS11" s="99"/>
      <c r="AT11" s="99"/>
      <c r="AU11" s="99"/>
      <c r="AV11" s="99"/>
      <c r="AW11" s="99"/>
      <c r="AX11" s="99"/>
      <c r="AY11" s="99"/>
      <c r="AZ11" s="99"/>
      <c r="BA11" s="99"/>
      <c r="BB11" s="99"/>
      <c r="BC11" s="99"/>
      <c r="BD11" s="99"/>
    </row>
    <row r="12" spans="1:56" ht="15" customHeight="1" x14ac:dyDescent="0.25">
      <c r="A12" s="248">
        <f>'01 SEMANA '!A12</f>
        <v>46026</v>
      </c>
      <c r="B12" s="45">
        <f>'01 SEMANA '!B12</f>
        <v>780</v>
      </c>
      <c r="C12" s="45" t="str">
        <f>'01 SEMANA '!C12</f>
        <v>Carlos Olmos Hipolito</v>
      </c>
      <c r="D12" s="45" t="str">
        <f>'01 SEMANA '!D12</f>
        <v xml:space="preserve">COCINA </v>
      </c>
      <c r="E12" s="100">
        <f>+'SALDOS INICIALES'!F12</f>
        <v>1000</v>
      </c>
      <c r="F12" s="100" t="e">
        <f>+'01 SEMANA '!#REF!</f>
        <v>#REF!</v>
      </c>
      <c r="G12" s="100">
        <f>+'01 SEMANA '!G12</f>
        <v>400</v>
      </c>
      <c r="H12" s="100">
        <f>+'01 SEMANA '!H12</f>
        <v>400</v>
      </c>
      <c r="I12" s="100">
        <f>+'01 SEMANA '!I12</f>
        <v>400</v>
      </c>
      <c r="J12" s="100">
        <f>+'01 SEMANA '!J12</f>
        <v>400</v>
      </c>
      <c r="K12" s="100">
        <f>+'01 SEMANA '!K12</f>
        <v>0</v>
      </c>
      <c r="L12" s="99"/>
      <c r="M12" s="104"/>
      <c r="N12" s="104"/>
      <c r="O12" s="104"/>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row>
    <row r="13" spans="1:56" ht="15" customHeight="1" x14ac:dyDescent="0.25">
      <c r="A13" s="248">
        <f>'01 SEMANA '!A13</f>
        <v>46026</v>
      </c>
      <c r="B13" s="45">
        <f>'01 SEMANA '!B13</f>
        <v>790</v>
      </c>
      <c r="C13" s="45" t="str">
        <f>'01 SEMANA '!C13</f>
        <v>Regina Quintero Negrete</v>
      </c>
      <c r="D13" s="45" t="str">
        <f>'01 SEMANA '!D13</f>
        <v xml:space="preserve">COCINA </v>
      </c>
      <c r="E13" s="100">
        <f>+'SALDOS INICIALES'!F13</f>
        <v>200</v>
      </c>
      <c r="F13" s="100" t="e">
        <f>+'01 SEMANA '!#REF!</f>
        <v>#REF!</v>
      </c>
      <c r="G13" s="100">
        <f>+'01 SEMANA '!G13</f>
        <v>400</v>
      </c>
      <c r="H13" s="100">
        <f>+'01 SEMANA '!H13</f>
        <v>0</v>
      </c>
      <c r="I13" s="100">
        <f>+'01 SEMANA '!I13</f>
        <v>0</v>
      </c>
      <c r="J13" s="100">
        <f>+'01 SEMANA '!J13</f>
        <v>400</v>
      </c>
      <c r="K13" s="100">
        <f>+'01 SEMANA '!K13</f>
        <v>0</v>
      </c>
      <c r="L13" s="99"/>
      <c r="M13" s="104"/>
      <c r="N13" s="104"/>
      <c r="O13" s="104"/>
      <c r="P13" s="99"/>
      <c r="Q13" s="99"/>
      <c r="R13" s="99"/>
      <c r="S13" s="99"/>
      <c r="T13" s="99"/>
      <c r="U13" s="99"/>
      <c r="V13" s="99"/>
      <c r="W13" s="99"/>
      <c r="X13" s="99"/>
      <c r="Y13" s="99"/>
      <c r="Z13" s="99"/>
      <c r="AA13" s="99"/>
      <c r="AB13" s="99"/>
      <c r="AC13" s="99"/>
      <c r="AD13" s="99"/>
      <c r="AE13" s="99"/>
      <c r="AF13" s="99"/>
      <c r="AG13" s="99"/>
      <c r="AH13" s="99"/>
      <c r="AI13" s="99"/>
      <c r="AJ13" s="99"/>
      <c r="AK13" s="99"/>
      <c r="AL13" s="99"/>
      <c r="AM13" s="99"/>
      <c r="AN13" s="99"/>
      <c r="AO13" s="99"/>
      <c r="AP13" s="99"/>
      <c r="AQ13" s="99"/>
      <c r="AR13" s="99"/>
      <c r="AS13" s="99"/>
      <c r="AT13" s="99"/>
      <c r="AU13" s="99"/>
      <c r="AV13" s="99"/>
      <c r="AW13" s="99"/>
      <c r="AX13" s="99"/>
      <c r="AY13" s="99"/>
      <c r="AZ13" s="99"/>
      <c r="BA13" s="99"/>
      <c r="BB13" s="99"/>
      <c r="BC13" s="99"/>
      <c r="BD13" s="99"/>
    </row>
    <row r="14" spans="1:56" ht="15" customHeight="1" x14ac:dyDescent="0.25">
      <c r="A14" s="248">
        <f>'01 SEMANA '!A14</f>
        <v>0</v>
      </c>
      <c r="B14" s="45">
        <f>'01 SEMANA '!B14</f>
        <v>0</v>
      </c>
      <c r="C14" s="45">
        <f>'01 SEMANA '!C14</f>
        <v>0</v>
      </c>
      <c r="D14" s="45">
        <f>'01 SEMANA '!D14</f>
        <v>0</v>
      </c>
      <c r="E14" s="100">
        <f>+'SALDOS INICIALES'!F14</f>
        <v>900</v>
      </c>
      <c r="F14" s="100">
        <f>+'01 SEMANA '!F14</f>
        <v>0</v>
      </c>
      <c r="G14" s="100">
        <f>+'01 SEMANA '!G14</f>
        <v>0</v>
      </c>
      <c r="H14" s="100">
        <f>+'01 SEMANA '!H14</f>
        <v>0</v>
      </c>
      <c r="I14" s="100">
        <f>+'01 SEMANA '!I14</f>
        <v>0</v>
      </c>
      <c r="J14" s="100">
        <f>+'01 SEMANA '!J14</f>
        <v>0</v>
      </c>
      <c r="K14" s="100">
        <f>+'01 SEMANA '!K14</f>
        <v>0</v>
      </c>
      <c r="L14" s="99"/>
      <c r="M14" s="104"/>
      <c r="N14" s="104"/>
      <c r="O14" s="104"/>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99"/>
      <c r="AP14" s="99"/>
      <c r="AQ14" s="99"/>
      <c r="AR14" s="99"/>
      <c r="AS14" s="99"/>
      <c r="AT14" s="99"/>
      <c r="AU14" s="99"/>
      <c r="AV14" s="99"/>
      <c r="AW14" s="99"/>
      <c r="AX14" s="99"/>
      <c r="AY14" s="99"/>
      <c r="AZ14" s="99"/>
      <c r="BA14" s="99"/>
      <c r="BB14" s="99"/>
      <c r="BC14" s="99"/>
      <c r="BD14" s="99"/>
    </row>
    <row r="15" spans="1:56" ht="15" customHeight="1" x14ac:dyDescent="0.25">
      <c r="A15" s="248">
        <f>'01 SEMANA '!A15</f>
        <v>0</v>
      </c>
      <c r="B15" s="45">
        <f>'01 SEMANA '!B15</f>
        <v>0</v>
      </c>
      <c r="C15" s="45">
        <f>'01 SEMANA '!C15</f>
        <v>0</v>
      </c>
      <c r="D15" s="45">
        <f>'01 SEMANA '!D15</f>
        <v>0</v>
      </c>
      <c r="E15" s="100">
        <f>+'SALDOS INICIALES'!F15</f>
        <v>800</v>
      </c>
      <c r="F15" s="100">
        <f>+'01 SEMANA '!F15</f>
        <v>0</v>
      </c>
      <c r="G15" s="100">
        <f>+'01 SEMANA '!G15</f>
        <v>0</v>
      </c>
      <c r="H15" s="100">
        <f>+'01 SEMANA '!H15</f>
        <v>0</v>
      </c>
      <c r="I15" s="100">
        <f>+'01 SEMANA '!I15</f>
        <v>0</v>
      </c>
      <c r="J15" s="100">
        <f>+'01 SEMANA '!J15</f>
        <v>0</v>
      </c>
      <c r="K15" s="100">
        <f>+'01 SEMANA '!K15</f>
        <v>0</v>
      </c>
      <c r="L15" s="99"/>
      <c r="M15" s="104"/>
      <c r="N15" s="104"/>
      <c r="O15" s="104"/>
      <c r="P15" s="99"/>
      <c r="Q15" s="99"/>
      <c r="R15" s="99"/>
      <c r="S15" s="99"/>
      <c r="T15" s="99"/>
      <c r="U15" s="99"/>
      <c r="V15" s="99"/>
      <c r="W15" s="99"/>
      <c r="X15" s="99"/>
      <c r="Y15" s="99"/>
      <c r="Z15" s="99"/>
      <c r="AA15" s="99"/>
      <c r="AB15" s="99"/>
      <c r="AC15" s="99"/>
      <c r="AD15" s="99"/>
      <c r="AE15" s="99"/>
      <c r="AF15" s="99"/>
      <c r="AG15" s="99"/>
      <c r="AH15" s="99"/>
      <c r="AI15" s="99"/>
      <c r="AJ15" s="99"/>
      <c r="AK15" s="99"/>
      <c r="AL15" s="99"/>
      <c r="AM15" s="99"/>
      <c r="AN15" s="99"/>
      <c r="AO15" s="99"/>
      <c r="AP15" s="99"/>
      <c r="AQ15" s="99"/>
      <c r="AR15" s="99"/>
      <c r="AS15" s="99"/>
      <c r="AT15" s="99"/>
      <c r="AU15" s="99"/>
      <c r="AV15" s="99"/>
      <c r="AW15" s="99"/>
      <c r="AX15" s="99"/>
      <c r="AY15" s="99"/>
      <c r="AZ15" s="99"/>
      <c r="BA15" s="99"/>
      <c r="BB15" s="99"/>
      <c r="BC15" s="99"/>
      <c r="BD15" s="99"/>
    </row>
    <row r="16" spans="1:56" x14ac:dyDescent="0.25">
      <c r="A16" s="37">
        <f>'02 SEMANA'!A9</f>
        <v>46032</v>
      </c>
      <c r="B16" s="38">
        <f>'02 SEMANA'!B9</f>
        <v>743</v>
      </c>
      <c r="C16" s="38" t="str">
        <f>'02 SEMANA'!C9</f>
        <v>ALDO DAVID GUTIERREZ MONTIEL</v>
      </c>
      <c r="D16" s="38" t="str">
        <f>'02 SEMANA'!D9</f>
        <v xml:space="preserve">COCINA </v>
      </c>
      <c r="E16" s="100">
        <f>+'SALDOS INICIALES'!F16</f>
        <v>0</v>
      </c>
      <c r="F16" s="100"/>
      <c r="G16" s="100">
        <f>+'03 SEMANA'!F9</f>
        <v>150</v>
      </c>
      <c r="H16" s="100">
        <f>+'03 SEMANA'!G9</f>
        <v>150</v>
      </c>
      <c r="I16" s="100">
        <f>+'03 SEMANA'!H9</f>
        <v>150</v>
      </c>
      <c r="J16" s="100">
        <f>+'03 SEMANA'!I9</f>
        <v>150</v>
      </c>
      <c r="K16" s="100">
        <f>+'03 SEMANA'!J9</f>
        <v>0</v>
      </c>
      <c r="L16" s="100">
        <f>+'03 SEMANA'!K9</f>
        <v>0</v>
      </c>
      <c r="M16" s="99"/>
      <c r="N16" s="99"/>
      <c r="O16" s="99"/>
      <c r="P16" s="99"/>
      <c r="Q16" s="99"/>
      <c r="R16" s="99"/>
      <c r="S16" s="99"/>
      <c r="T16" s="99"/>
      <c r="U16" s="99"/>
      <c r="V16" s="99"/>
      <c r="W16" s="99"/>
      <c r="X16" s="99"/>
      <c r="Y16" s="99"/>
      <c r="Z16" s="99"/>
      <c r="AA16" s="99"/>
      <c r="AB16" s="99"/>
      <c r="AC16" s="99"/>
      <c r="AD16" s="99"/>
      <c r="AE16" s="99"/>
      <c r="AF16" s="99"/>
      <c r="AG16" s="99"/>
      <c r="AH16" s="99"/>
      <c r="AI16" s="99"/>
      <c r="AJ16" s="99"/>
      <c r="AK16" s="99"/>
      <c r="AL16" s="99"/>
      <c r="AM16" s="99"/>
      <c r="AN16" s="99"/>
      <c r="AO16" s="99"/>
      <c r="AP16" s="99"/>
      <c r="AQ16" s="99"/>
      <c r="AR16" s="99"/>
      <c r="AS16" s="99"/>
      <c r="AT16" s="99"/>
      <c r="AU16" s="99"/>
      <c r="AV16" s="99"/>
      <c r="AW16" s="99"/>
      <c r="AX16" s="99"/>
      <c r="AY16" s="99"/>
      <c r="AZ16" s="99"/>
      <c r="BA16" s="99"/>
      <c r="BB16" s="99"/>
      <c r="BC16" s="99"/>
      <c r="BD16" s="99"/>
    </row>
    <row r="17" spans="1:56" x14ac:dyDescent="0.25">
      <c r="A17" s="37">
        <f>'02 SEMANA'!A10</f>
        <v>0</v>
      </c>
      <c r="B17" s="38">
        <f>'02 SEMANA'!B10</f>
        <v>0</v>
      </c>
      <c r="C17" s="38">
        <f>'02 SEMANA'!C10</f>
        <v>0</v>
      </c>
      <c r="D17" s="38">
        <f>'02 SEMANA'!D10</f>
        <v>0</v>
      </c>
      <c r="E17" s="100">
        <f>+'SALDOS INICIALES'!F17</f>
        <v>800</v>
      </c>
      <c r="F17" s="100"/>
      <c r="G17" s="100">
        <f>+'03 SEMANA'!F11</f>
        <v>500</v>
      </c>
      <c r="H17" s="100">
        <f>+'03 SEMANA'!G11</f>
        <v>500</v>
      </c>
      <c r="I17" s="100">
        <f>+'03 SEMANA'!H11</f>
        <v>500</v>
      </c>
      <c r="J17" s="100">
        <f>+'03 SEMANA'!I11</f>
        <v>500</v>
      </c>
      <c r="K17" s="100">
        <f>+'03 SEMANA'!J11</f>
        <v>0</v>
      </c>
      <c r="L17" s="100">
        <f>+'03 SEMANA'!K11</f>
        <v>0</v>
      </c>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99"/>
      <c r="AX17" s="99"/>
      <c r="AY17" s="99"/>
      <c r="AZ17" s="99"/>
      <c r="BA17" s="99"/>
      <c r="BB17" s="99"/>
      <c r="BC17" s="99"/>
      <c r="BD17" s="99"/>
    </row>
    <row r="18" spans="1:56" x14ac:dyDescent="0.25">
      <c r="A18" s="37">
        <f>'02 SEMANA'!A11</f>
        <v>0</v>
      </c>
      <c r="B18" s="38">
        <f>'02 SEMANA'!B11</f>
        <v>0</v>
      </c>
      <c r="C18" s="38">
        <f>'02 SEMANA'!C11</f>
        <v>0</v>
      </c>
      <c r="D18" s="38">
        <f>'02 SEMANA'!D11</f>
        <v>0</v>
      </c>
      <c r="E18" s="100">
        <f>+'SALDOS INICIALES'!F18</f>
        <v>300</v>
      </c>
      <c r="F18" s="100"/>
      <c r="G18" s="100">
        <f>+'03 SEMANA'!F12</f>
        <v>500</v>
      </c>
      <c r="H18" s="100">
        <f>+'03 SEMANA'!G12</f>
        <v>500</v>
      </c>
      <c r="I18" s="100">
        <f>+'03 SEMANA'!H12</f>
        <v>500</v>
      </c>
      <c r="J18" s="100">
        <f>+'03 SEMANA'!I12</f>
        <v>500</v>
      </c>
      <c r="K18" s="100">
        <f>+'03 SEMANA'!J12</f>
        <v>0</v>
      </c>
      <c r="L18" s="100">
        <f>+'03 SEMANA'!K12</f>
        <v>0</v>
      </c>
      <c r="M18" s="99"/>
      <c r="N18" s="99"/>
      <c r="O18" s="99"/>
      <c r="P18" s="99"/>
      <c r="Q18" s="99"/>
      <c r="R18" s="99"/>
      <c r="S18" s="99"/>
      <c r="T18" s="99"/>
      <c r="U18" s="99"/>
      <c r="V18" s="99"/>
      <c r="W18" s="99"/>
      <c r="X18" s="99"/>
      <c r="Y18" s="99"/>
      <c r="Z18" s="99"/>
      <c r="AA18" s="99"/>
      <c r="AB18" s="99"/>
      <c r="AC18" s="99"/>
      <c r="AD18" s="99"/>
      <c r="AE18" s="99"/>
      <c r="AF18" s="99"/>
      <c r="AG18" s="99"/>
      <c r="AH18" s="99"/>
      <c r="AI18" s="99"/>
      <c r="AJ18" s="99"/>
      <c r="AK18" s="99"/>
      <c r="AL18" s="99"/>
      <c r="AM18" s="99"/>
      <c r="AN18" s="99"/>
      <c r="AO18" s="99"/>
      <c r="AP18" s="99"/>
      <c r="AQ18" s="99"/>
      <c r="AR18" s="99"/>
      <c r="AS18" s="99"/>
      <c r="AT18" s="99"/>
      <c r="AU18" s="99"/>
      <c r="AV18" s="99"/>
      <c r="AW18" s="99"/>
      <c r="AX18" s="99"/>
      <c r="AY18" s="99"/>
      <c r="AZ18" s="99"/>
      <c r="BA18" s="99"/>
      <c r="BB18" s="99"/>
      <c r="BC18" s="99"/>
      <c r="BD18" s="99"/>
    </row>
    <row r="19" spans="1:56" x14ac:dyDescent="0.25">
      <c r="A19" s="37">
        <f>'02 SEMANA'!A12</f>
        <v>0</v>
      </c>
      <c r="B19" s="38">
        <f>'02 SEMANA'!B12</f>
        <v>0</v>
      </c>
      <c r="C19" s="38">
        <f>'02 SEMANA'!C12</f>
        <v>0</v>
      </c>
      <c r="D19" s="38">
        <f>'02 SEMANA'!D12</f>
        <v>0</v>
      </c>
      <c r="E19" s="100">
        <f>+'SALDOS INICIALES'!F19</f>
        <v>1200</v>
      </c>
      <c r="F19" s="100"/>
      <c r="G19" s="100">
        <f>+'03 SEMANA'!F13</f>
        <v>300</v>
      </c>
      <c r="H19" s="100">
        <f>+'03 SEMANA'!G13</f>
        <v>300</v>
      </c>
      <c r="I19" s="100">
        <f>+'03 SEMANA'!H13</f>
        <v>300</v>
      </c>
      <c r="J19" s="100">
        <f>+'03 SEMANA'!I13</f>
        <v>300</v>
      </c>
      <c r="K19" s="100">
        <f>+'03 SEMANA'!J13</f>
        <v>0</v>
      </c>
      <c r="L19" s="100">
        <f>+'03 SEMANA'!K13</f>
        <v>0</v>
      </c>
      <c r="M19" s="99"/>
      <c r="N19" s="99"/>
      <c r="O19" s="99"/>
      <c r="P19" s="99"/>
      <c r="Q19" s="99"/>
      <c r="R19" s="99"/>
      <c r="S19" s="99"/>
      <c r="T19" s="99"/>
      <c r="U19" s="99"/>
      <c r="V19" s="99"/>
      <c r="W19" s="99"/>
      <c r="X19" s="99"/>
      <c r="Y19" s="99"/>
      <c r="Z19" s="99"/>
      <c r="AA19" s="99"/>
      <c r="AB19" s="99"/>
      <c r="AC19" s="99"/>
      <c r="AD19" s="99"/>
      <c r="AE19" s="99"/>
      <c r="AF19" s="99"/>
      <c r="AG19" s="99"/>
      <c r="AH19" s="99"/>
      <c r="AI19" s="99"/>
      <c r="AJ19" s="99"/>
      <c r="AK19" s="99"/>
      <c r="AL19" s="99"/>
      <c r="AM19" s="99"/>
      <c r="AN19" s="99"/>
      <c r="AO19" s="99"/>
      <c r="AP19" s="99"/>
      <c r="AQ19" s="99"/>
      <c r="AR19" s="99"/>
      <c r="AS19" s="99"/>
      <c r="AT19" s="99"/>
      <c r="AU19" s="99"/>
      <c r="AV19" s="99"/>
      <c r="AW19" s="99"/>
      <c r="AX19" s="99"/>
      <c r="AY19" s="99"/>
      <c r="AZ19" s="99"/>
      <c r="BA19" s="99"/>
      <c r="BB19" s="99"/>
      <c r="BC19" s="99"/>
      <c r="BD19" s="99"/>
    </row>
    <row r="20" spans="1:56" x14ac:dyDescent="0.25">
      <c r="A20" s="37">
        <f>'02 SEMANA'!A13</f>
        <v>0</v>
      </c>
      <c r="B20" s="38">
        <f>'02 SEMANA'!B13</f>
        <v>0</v>
      </c>
      <c r="C20" s="38">
        <f>'02 SEMANA'!C13</f>
        <v>0</v>
      </c>
      <c r="D20" s="38">
        <f>'02 SEMANA'!D13</f>
        <v>0</v>
      </c>
      <c r="E20" s="100">
        <f>+'SALDOS INICIALES'!F20</f>
        <v>0</v>
      </c>
      <c r="F20" s="100"/>
      <c r="G20" s="100">
        <f>+'03 SEMANA'!F14</f>
        <v>0</v>
      </c>
      <c r="H20" s="100">
        <f>+'03 SEMANA'!G14</f>
        <v>0</v>
      </c>
      <c r="I20" s="100">
        <f>+'03 SEMANA'!H14</f>
        <v>0</v>
      </c>
      <c r="J20" s="100">
        <f>+'03 SEMANA'!I14</f>
        <v>0</v>
      </c>
      <c r="K20" s="100">
        <f>+'03 SEMANA'!J14</f>
        <v>0</v>
      </c>
      <c r="L20" s="100">
        <f>+'03 SEMANA'!K14</f>
        <v>0</v>
      </c>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99"/>
      <c r="AN20" s="99"/>
      <c r="AO20" s="99"/>
      <c r="AP20" s="99"/>
      <c r="AQ20" s="99"/>
      <c r="AR20" s="99"/>
      <c r="AS20" s="99"/>
      <c r="AT20" s="99"/>
      <c r="AU20" s="99"/>
      <c r="AV20" s="99"/>
      <c r="AW20" s="99"/>
      <c r="AX20" s="99"/>
      <c r="AY20" s="99"/>
      <c r="AZ20" s="99"/>
      <c r="BA20" s="99"/>
      <c r="BB20" s="99"/>
      <c r="BC20" s="99"/>
      <c r="BD20" s="99"/>
    </row>
    <row r="21" spans="1:56" x14ac:dyDescent="0.25">
      <c r="A21" s="37">
        <f>'02 SEMANA'!A14</f>
        <v>0</v>
      </c>
      <c r="B21" s="38">
        <f>'02 SEMANA'!B14</f>
        <v>0</v>
      </c>
      <c r="C21" s="38">
        <f>'02 SEMANA'!C14</f>
        <v>0</v>
      </c>
      <c r="D21" s="38">
        <f>'02 SEMANA'!D14</f>
        <v>0</v>
      </c>
      <c r="E21" s="100">
        <f>+'SALDOS INICIALES'!F21</f>
        <v>700</v>
      </c>
      <c r="F21" s="100"/>
      <c r="G21" s="100">
        <f>+'03 SEMANA'!F15</f>
        <v>0</v>
      </c>
      <c r="H21" s="100">
        <f>+'03 SEMANA'!G15</f>
        <v>0</v>
      </c>
      <c r="I21" s="100">
        <f>+'03 SEMANA'!H15</f>
        <v>0</v>
      </c>
      <c r="J21" s="100">
        <f>+'03 SEMANA'!I15</f>
        <v>0</v>
      </c>
      <c r="K21" s="100">
        <f>+'03 SEMANA'!J15</f>
        <v>0</v>
      </c>
      <c r="L21" s="100">
        <f>+'03 SEMANA'!K15</f>
        <v>0</v>
      </c>
      <c r="M21" s="99"/>
      <c r="N21" s="99"/>
      <c r="O21" s="99"/>
      <c r="P21" s="99"/>
      <c r="Q21" s="99"/>
      <c r="R21" s="99"/>
      <c r="S21" s="99"/>
      <c r="T21" s="99"/>
      <c r="U21" s="99"/>
      <c r="V21" s="99"/>
      <c r="W21" s="99"/>
      <c r="X21" s="99"/>
      <c r="Y21" s="99"/>
      <c r="Z21" s="99"/>
      <c r="AA21" s="99"/>
      <c r="AB21" s="99"/>
      <c r="AC21" s="99"/>
      <c r="AD21" s="99"/>
      <c r="AE21" s="99"/>
      <c r="AF21" s="99"/>
      <c r="AG21" s="99"/>
      <c r="AH21" s="99"/>
      <c r="AI21" s="99"/>
      <c r="AJ21" s="99"/>
      <c r="AK21" s="99"/>
      <c r="AL21" s="99"/>
      <c r="AM21" s="99"/>
      <c r="AN21" s="99"/>
      <c r="AO21" s="99"/>
      <c r="AP21" s="99"/>
      <c r="AQ21" s="99"/>
      <c r="AR21" s="99"/>
      <c r="AS21" s="99"/>
      <c r="AT21" s="99"/>
      <c r="AU21" s="99"/>
      <c r="AV21" s="99"/>
      <c r="AW21" s="99"/>
      <c r="AX21" s="99"/>
      <c r="AY21" s="99"/>
      <c r="AZ21" s="99"/>
      <c r="BA21" s="99"/>
      <c r="BB21" s="99"/>
      <c r="BC21" s="99"/>
      <c r="BD21" s="99"/>
    </row>
    <row r="22" spans="1:56" x14ac:dyDescent="0.25">
      <c r="A22" s="37">
        <f>'02 SEMANA'!A15</f>
        <v>0</v>
      </c>
      <c r="B22" s="38">
        <f>'02 SEMANA'!B15</f>
        <v>0</v>
      </c>
      <c r="C22" s="38">
        <f>'02 SEMANA'!C15</f>
        <v>0</v>
      </c>
      <c r="D22" s="38">
        <f>'02 SEMANA'!D15</f>
        <v>0</v>
      </c>
      <c r="E22" s="100">
        <f>+'SALDOS INICIALES'!F22</f>
        <v>1000</v>
      </c>
      <c r="F22" s="100"/>
      <c r="G22" s="100">
        <f>+'03 SEMANA'!F16</f>
        <v>0</v>
      </c>
      <c r="H22" s="100">
        <f>+'03 SEMANA'!G16</f>
        <v>0</v>
      </c>
      <c r="I22" s="100">
        <f>+'03 SEMANA'!H16</f>
        <v>0</v>
      </c>
      <c r="J22" s="100">
        <f>+'03 SEMANA'!I16</f>
        <v>0</v>
      </c>
      <c r="K22" s="100">
        <f>+'03 SEMANA'!J16</f>
        <v>0</v>
      </c>
      <c r="L22" s="100">
        <f>+'03 SEMANA'!K16</f>
        <v>0</v>
      </c>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row>
    <row r="23" spans="1:56" x14ac:dyDescent="0.25">
      <c r="A23" s="248">
        <f>'03 SEMANA'!A9</f>
        <v>46040</v>
      </c>
      <c r="B23" s="45">
        <f>'03 SEMANA'!B9</f>
        <v>382</v>
      </c>
      <c r="C23" s="45" t="str">
        <f>'03 SEMANA'!C9</f>
        <v xml:space="preserve">LUCIA LEON MARCELINO </v>
      </c>
      <c r="D23" s="45" t="str">
        <f>'03 SEMANA'!D9</f>
        <v>COCINA</v>
      </c>
      <c r="E23" s="100">
        <f>+'SALDOS INICIALES'!F23</f>
        <v>400</v>
      </c>
      <c r="F23" s="100"/>
      <c r="G23" s="99"/>
      <c r="H23" s="101">
        <f>+'03 SEMANA'!F9</f>
        <v>150</v>
      </c>
      <c r="I23" s="101">
        <f>+'03 SEMANA'!G9</f>
        <v>150</v>
      </c>
      <c r="J23" s="101">
        <f>+'03 SEMANA'!H9</f>
        <v>150</v>
      </c>
      <c r="K23" s="101">
        <f>+'03 SEMANA'!I9</f>
        <v>150</v>
      </c>
      <c r="L23" s="101">
        <f>+'03 SEMANA'!J9</f>
        <v>0</v>
      </c>
      <c r="M23" s="101">
        <f>+'03 SEMANA'!K9</f>
        <v>0</v>
      </c>
      <c r="N23" s="101">
        <f>+'03 SEMANA'!W9</f>
        <v>600</v>
      </c>
      <c r="O23" s="99"/>
      <c r="P23" s="99"/>
      <c r="Q23" s="99"/>
      <c r="R23" s="99"/>
      <c r="S23" s="99"/>
      <c r="T23" s="99"/>
      <c r="U23" s="99"/>
      <c r="V23" s="99"/>
      <c r="W23" s="99"/>
      <c r="X23" s="99"/>
      <c r="Y23" s="99"/>
      <c r="Z23" s="99"/>
      <c r="AA23" s="99"/>
      <c r="AB23" s="99"/>
      <c r="AC23" s="99"/>
      <c r="AD23" s="99"/>
      <c r="AE23" s="99"/>
      <c r="AF23" s="99"/>
      <c r="AG23" s="99"/>
      <c r="AH23" s="99"/>
      <c r="AI23" s="99"/>
      <c r="AJ23" s="99"/>
      <c r="AK23" s="99"/>
      <c r="AL23" s="99"/>
      <c r="AM23" s="99"/>
      <c r="AN23" s="99"/>
      <c r="AO23" s="99"/>
      <c r="AP23" s="99"/>
      <c r="AQ23" s="99"/>
      <c r="AR23" s="99"/>
      <c r="AS23" s="99"/>
      <c r="AT23" s="99"/>
      <c r="AU23" s="99"/>
      <c r="AV23" s="99"/>
      <c r="AW23" s="99"/>
      <c r="AX23" s="99"/>
      <c r="AY23" s="99"/>
      <c r="AZ23" s="99"/>
      <c r="BA23" s="99"/>
      <c r="BB23" s="99"/>
      <c r="BC23" s="99"/>
      <c r="BD23" s="99"/>
    </row>
    <row r="24" spans="1:56" x14ac:dyDescent="0.25">
      <c r="A24" s="248">
        <f>'03 SEMANA'!A10</f>
        <v>46040</v>
      </c>
      <c r="B24" s="45">
        <f>'03 SEMANA'!B10</f>
        <v>487</v>
      </c>
      <c r="C24" s="45" t="str">
        <f>'03 SEMANA'!C10</f>
        <v>ALAN AXEL MONTES DE OCA</v>
      </c>
      <c r="D24" s="45" t="str">
        <f>'03 SEMANA'!D10</f>
        <v xml:space="preserve">COMEDOR </v>
      </c>
      <c r="E24" s="100">
        <f>+'SALDOS INICIALES'!F24</f>
        <v>1000</v>
      </c>
      <c r="F24" s="100"/>
      <c r="G24" s="99"/>
      <c r="H24" s="101">
        <f>+'03 SEMANA'!F11</f>
        <v>500</v>
      </c>
      <c r="I24" s="101">
        <f>+'03 SEMANA'!G11</f>
        <v>500</v>
      </c>
      <c r="J24" s="101">
        <f>+'03 SEMANA'!H11</f>
        <v>500</v>
      </c>
      <c r="K24" s="101">
        <f>+'03 SEMANA'!I11</f>
        <v>500</v>
      </c>
      <c r="L24" s="101">
        <f>+'03 SEMANA'!J11</f>
        <v>0</v>
      </c>
      <c r="M24" s="101">
        <f>+'03 SEMANA'!K11</f>
        <v>0</v>
      </c>
      <c r="N24" s="101">
        <f>+'03 SEMANA'!W11</f>
        <v>2000</v>
      </c>
      <c r="O24" s="99"/>
      <c r="P24" s="99"/>
      <c r="Q24" s="99"/>
      <c r="R24" s="99"/>
      <c r="S24" s="99"/>
      <c r="T24" s="99"/>
      <c r="U24" s="99"/>
      <c r="V24" s="99"/>
      <c r="W24" s="99"/>
      <c r="X24" s="99"/>
      <c r="Y24" s="99"/>
      <c r="Z24" s="99"/>
      <c r="AA24" s="99"/>
      <c r="AB24" s="99"/>
      <c r="AC24" s="99"/>
      <c r="AD24" s="99"/>
      <c r="AE24" s="99"/>
      <c r="AF24" s="99"/>
      <c r="AG24" s="99"/>
      <c r="AH24" s="99"/>
      <c r="AI24" s="99"/>
      <c r="AJ24" s="99"/>
      <c r="AK24" s="99"/>
      <c r="AL24" s="99"/>
      <c r="AM24" s="99"/>
      <c r="AN24" s="99"/>
      <c r="AO24" s="99"/>
      <c r="AP24" s="99"/>
      <c r="AQ24" s="99"/>
      <c r="AR24" s="99"/>
      <c r="AS24" s="99"/>
      <c r="AT24" s="99"/>
      <c r="AU24" s="99"/>
      <c r="AV24" s="99"/>
      <c r="AW24" s="99"/>
      <c r="AX24" s="99"/>
      <c r="AY24" s="99"/>
      <c r="AZ24" s="99"/>
      <c r="BA24" s="99"/>
      <c r="BB24" s="99"/>
      <c r="BC24" s="99"/>
      <c r="BD24" s="99"/>
    </row>
    <row r="25" spans="1:56" x14ac:dyDescent="0.25">
      <c r="A25" s="248">
        <f>'03 SEMANA'!A11</f>
        <v>46040</v>
      </c>
      <c r="B25" s="45">
        <f>'03 SEMANA'!B11</f>
        <v>563</v>
      </c>
      <c r="C25" s="45" t="str">
        <f>'03 SEMANA'!C11</f>
        <v xml:space="preserve">JUAN DANIEL CUACUA BALDERAS </v>
      </c>
      <c r="D25" s="45" t="str">
        <f>'03 SEMANA'!D11</f>
        <v xml:space="preserve">COMEDOR </v>
      </c>
      <c r="E25" s="100">
        <f>+'SALDOS INICIALES'!F25</f>
        <v>1000</v>
      </c>
      <c r="F25" s="100"/>
      <c r="G25" s="99"/>
      <c r="H25" s="101">
        <f>+'03 SEMANA'!F12</f>
        <v>500</v>
      </c>
      <c r="I25" s="101">
        <f>+'03 SEMANA'!G12</f>
        <v>500</v>
      </c>
      <c r="J25" s="101">
        <f>+'03 SEMANA'!H12</f>
        <v>500</v>
      </c>
      <c r="K25" s="101">
        <f>+'03 SEMANA'!I12</f>
        <v>500</v>
      </c>
      <c r="L25" s="101">
        <f>+'03 SEMANA'!J12</f>
        <v>0</v>
      </c>
      <c r="M25" s="101">
        <f>+'03 SEMANA'!K12</f>
        <v>0</v>
      </c>
      <c r="N25" s="101">
        <f>+'03 SEMANA'!W12</f>
        <v>2000</v>
      </c>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99"/>
      <c r="AN25" s="99"/>
      <c r="AO25" s="99"/>
      <c r="AP25" s="99"/>
      <c r="AQ25" s="99"/>
      <c r="AR25" s="99"/>
      <c r="AS25" s="99"/>
      <c r="AT25" s="99"/>
      <c r="AU25" s="99"/>
      <c r="AV25" s="99"/>
      <c r="AW25" s="99"/>
      <c r="AX25" s="99"/>
      <c r="AY25" s="99"/>
      <c r="AZ25" s="99"/>
      <c r="BA25" s="99"/>
      <c r="BB25" s="99"/>
      <c r="BC25" s="99"/>
      <c r="BD25" s="99"/>
    </row>
    <row r="26" spans="1:56" x14ac:dyDescent="0.25">
      <c r="A26" s="248">
        <f>'03 SEMANA'!A12</f>
        <v>46040</v>
      </c>
      <c r="B26" s="45">
        <f>'03 SEMANA'!B12</f>
        <v>794</v>
      </c>
      <c r="C26" s="45" t="str">
        <f>'03 SEMANA'!C12</f>
        <v xml:space="preserve">JOSHUE OSMAR GONZAGA GARCIA </v>
      </c>
      <c r="D26" s="45" t="str">
        <f>'03 SEMANA'!D12</f>
        <v>COCINA</v>
      </c>
      <c r="E26" s="100">
        <f>+'SALDOS INICIALES'!F26</f>
        <v>800</v>
      </c>
      <c r="F26" s="100"/>
      <c r="G26" s="99"/>
      <c r="H26" s="101">
        <f>+'03 SEMANA'!F13</f>
        <v>300</v>
      </c>
      <c r="I26" s="101">
        <f>+'03 SEMANA'!G13</f>
        <v>300</v>
      </c>
      <c r="J26" s="101">
        <f>+'03 SEMANA'!H13</f>
        <v>300</v>
      </c>
      <c r="K26" s="101">
        <f>+'03 SEMANA'!I13</f>
        <v>300</v>
      </c>
      <c r="L26" s="101">
        <f>+'03 SEMANA'!J13</f>
        <v>0</v>
      </c>
      <c r="M26" s="101">
        <f>+'03 SEMANA'!K13</f>
        <v>0</v>
      </c>
      <c r="N26" s="101">
        <f>+'03 SEMANA'!W13</f>
        <v>1200</v>
      </c>
      <c r="O26" s="99"/>
      <c r="P26" s="99"/>
      <c r="Q26" s="99"/>
      <c r="R26" s="99"/>
      <c r="S26" s="99"/>
      <c r="T26" s="99"/>
      <c r="U26" s="99"/>
      <c r="V26" s="99"/>
      <c r="W26" s="99"/>
      <c r="X26" s="99"/>
      <c r="Y26" s="99"/>
      <c r="Z26" s="99"/>
      <c r="AA26" s="99"/>
      <c r="AB26" s="99"/>
      <c r="AC26" s="99"/>
      <c r="AD26" s="99"/>
      <c r="AE26" s="99"/>
      <c r="AF26" s="99"/>
      <c r="AG26" s="99"/>
      <c r="AH26" s="99"/>
      <c r="AI26" s="99"/>
      <c r="AJ26" s="99"/>
      <c r="AK26" s="99"/>
      <c r="AL26" s="99"/>
      <c r="AM26" s="99"/>
      <c r="AN26" s="99"/>
      <c r="AO26" s="99"/>
      <c r="AP26" s="99"/>
      <c r="AQ26" s="99"/>
      <c r="AR26" s="99"/>
      <c r="AS26" s="99"/>
      <c r="AT26" s="99"/>
      <c r="AU26" s="99"/>
      <c r="AV26" s="99"/>
      <c r="AW26" s="99"/>
      <c r="AX26" s="99"/>
      <c r="AY26" s="99"/>
      <c r="AZ26" s="99"/>
      <c r="BA26" s="99"/>
      <c r="BB26" s="99"/>
      <c r="BC26" s="99"/>
      <c r="BD26" s="99"/>
    </row>
    <row r="27" spans="1:56" x14ac:dyDescent="0.25">
      <c r="A27" s="248">
        <f>'03 SEMANA'!A13</f>
        <v>46040</v>
      </c>
      <c r="B27" s="45">
        <f>'03 SEMANA'!B13</f>
        <v>819</v>
      </c>
      <c r="C27" s="45" t="str">
        <f>'03 SEMANA'!C13</f>
        <v xml:space="preserve">ALAN SANCHEZ SANCHEZ </v>
      </c>
      <c r="D27" s="45" t="str">
        <f>'03 SEMANA'!D13</f>
        <v>COCINA</v>
      </c>
      <c r="E27" s="100">
        <f>+'SALDOS INICIALES'!F27</f>
        <v>600</v>
      </c>
      <c r="F27" s="100"/>
      <c r="G27" s="99"/>
      <c r="H27" s="101">
        <f>+'03 SEMANA'!F14</f>
        <v>0</v>
      </c>
      <c r="I27" s="101">
        <f>+'03 SEMANA'!G14</f>
        <v>0</v>
      </c>
      <c r="J27" s="101">
        <f>+'03 SEMANA'!H14</f>
        <v>0</v>
      </c>
      <c r="K27" s="101">
        <f>+'03 SEMANA'!I14</f>
        <v>0</v>
      </c>
      <c r="L27" s="101">
        <f>+'03 SEMANA'!J14</f>
        <v>0</v>
      </c>
      <c r="M27" s="101">
        <f>+'03 SEMANA'!K14</f>
        <v>0</v>
      </c>
      <c r="N27" s="101">
        <f>+'03 SEMANA'!W14</f>
        <v>0</v>
      </c>
      <c r="O27" s="99"/>
      <c r="P27" s="99"/>
      <c r="Q27" s="99"/>
      <c r="R27" s="99"/>
      <c r="S27" s="99"/>
      <c r="T27" s="99"/>
      <c r="U27" s="99"/>
      <c r="V27" s="99"/>
      <c r="W27" s="99"/>
      <c r="X27" s="99"/>
      <c r="Y27" s="99"/>
      <c r="Z27" s="99"/>
      <c r="AA27" s="99"/>
      <c r="AB27" s="99"/>
      <c r="AC27" s="99"/>
      <c r="AD27" s="99"/>
      <c r="AE27" s="99"/>
      <c r="AF27" s="99"/>
      <c r="AG27" s="99"/>
      <c r="AH27" s="99"/>
      <c r="AI27" s="99"/>
      <c r="AJ27" s="99"/>
      <c r="AK27" s="99"/>
      <c r="AL27" s="99"/>
      <c r="AM27" s="99"/>
      <c r="AN27" s="99"/>
      <c r="AO27" s="99"/>
      <c r="AP27" s="99"/>
      <c r="AQ27" s="99"/>
      <c r="AR27" s="99"/>
      <c r="AS27" s="99"/>
      <c r="AT27" s="99"/>
      <c r="AU27" s="99"/>
      <c r="AV27" s="99"/>
      <c r="AW27" s="99"/>
      <c r="AX27" s="99"/>
      <c r="AY27" s="99"/>
      <c r="AZ27" s="99"/>
      <c r="BA27" s="99"/>
      <c r="BB27" s="99"/>
      <c r="BC27" s="99"/>
      <c r="BD27" s="99"/>
    </row>
    <row r="28" spans="1:56" x14ac:dyDescent="0.25">
      <c r="A28" s="248">
        <f>'03 SEMANA'!A14</f>
        <v>0</v>
      </c>
      <c r="B28" s="45">
        <f>'03 SEMANA'!B14</f>
        <v>0</v>
      </c>
      <c r="C28" s="45">
        <f>'03 SEMANA'!C14</f>
        <v>0</v>
      </c>
      <c r="D28" s="45">
        <f>'03 SEMANA'!D14</f>
        <v>0</v>
      </c>
      <c r="E28" s="100">
        <f>+'SALDOS INICIALES'!F28</f>
        <v>800</v>
      </c>
      <c r="F28" s="100"/>
      <c r="G28" s="99"/>
      <c r="H28" s="101">
        <f>+'03 SEMANA'!F15</f>
        <v>0</v>
      </c>
      <c r="I28" s="101">
        <f>+'03 SEMANA'!G15</f>
        <v>0</v>
      </c>
      <c r="J28" s="101">
        <f>+'03 SEMANA'!H15</f>
        <v>0</v>
      </c>
      <c r="K28" s="101">
        <f>+'03 SEMANA'!I15</f>
        <v>0</v>
      </c>
      <c r="L28" s="101">
        <f>+'03 SEMANA'!J15</f>
        <v>0</v>
      </c>
      <c r="M28" s="101">
        <f>+'03 SEMANA'!K15</f>
        <v>0</v>
      </c>
      <c r="N28" s="101">
        <f>+'03 SEMANA'!W15</f>
        <v>0</v>
      </c>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99"/>
      <c r="AN28" s="99"/>
      <c r="AO28" s="99"/>
      <c r="AP28" s="99"/>
      <c r="AQ28" s="99"/>
      <c r="AR28" s="99"/>
      <c r="AS28" s="99"/>
      <c r="AT28" s="99"/>
      <c r="AU28" s="99"/>
      <c r="AV28" s="99"/>
      <c r="AW28" s="99"/>
      <c r="AX28" s="99"/>
      <c r="AY28" s="99"/>
      <c r="AZ28" s="99"/>
      <c r="BA28" s="99"/>
      <c r="BB28" s="99"/>
      <c r="BC28" s="99"/>
      <c r="BD28" s="99"/>
    </row>
    <row r="29" spans="1:56" x14ac:dyDescent="0.25">
      <c r="A29" s="37">
        <f>'04 SEMANA'!A9</f>
        <v>46047</v>
      </c>
      <c r="B29" s="38">
        <f>'04 SEMANA'!B9</f>
        <v>614</v>
      </c>
      <c r="C29" s="38" t="str">
        <f>'04 SEMANA'!C9</f>
        <v xml:space="preserve">PEDRO VALDES MAYA </v>
      </c>
      <c r="D29" s="38" t="str">
        <f>'04 SEMANA'!D9</f>
        <v>COCINA</v>
      </c>
      <c r="E29" s="100">
        <f>+'SALDOS INICIALES'!F29</f>
        <v>1000</v>
      </c>
      <c r="F29" s="100"/>
      <c r="G29" s="99"/>
      <c r="H29" s="101"/>
      <c r="I29" s="102">
        <f>+'04 SEMANA'!F9</f>
        <v>300</v>
      </c>
      <c r="J29" s="102">
        <f>+'04 SEMANA'!G9</f>
        <v>300</v>
      </c>
      <c r="K29" s="102">
        <f>+'04 SEMANA'!H9</f>
        <v>300</v>
      </c>
      <c r="L29" s="102">
        <f>+'04 SEMANA'!I9</f>
        <v>0</v>
      </c>
      <c r="M29" s="102">
        <f>+'04 SEMANA'!J9</f>
        <v>0</v>
      </c>
      <c r="N29" s="102">
        <f>+'04 SEMANA'!K9</f>
        <v>0</v>
      </c>
      <c r="O29" s="99"/>
      <c r="P29" s="99"/>
      <c r="Q29" s="99"/>
      <c r="R29" s="99"/>
      <c r="S29" s="99"/>
      <c r="T29" s="99"/>
      <c r="U29" s="99"/>
      <c r="V29" s="99"/>
      <c r="W29" s="99"/>
      <c r="X29" s="99"/>
      <c r="Y29" s="99"/>
      <c r="Z29" s="99"/>
      <c r="AA29" s="99"/>
      <c r="AB29" s="99"/>
      <c r="AC29" s="99"/>
      <c r="AD29" s="99"/>
      <c r="AE29" s="99"/>
      <c r="AF29" s="99"/>
      <c r="AG29" s="99"/>
      <c r="AH29" s="99"/>
      <c r="AI29" s="99"/>
      <c r="AJ29" s="99"/>
      <c r="AK29" s="99"/>
      <c r="AL29" s="99"/>
      <c r="AM29" s="99"/>
      <c r="AN29" s="99"/>
      <c r="AO29" s="99"/>
      <c r="AP29" s="99"/>
      <c r="AQ29" s="99"/>
      <c r="AR29" s="99"/>
      <c r="AS29" s="99"/>
      <c r="AT29" s="99"/>
      <c r="AU29" s="99"/>
      <c r="AV29" s="99"/>
      <c r="AW29" s="99"/>
      <c r="AX29" s="99"/>
      <c r="AY29" s="99"/>
      <c r="AZ29" s="99"/>
      <c r="BA29" s="99"/>
      <c r="BB29" s="99"/>
      <c r="BC29" s="99"/>
      <c r="BD29" s="99"/>
    </row>
    <row r="30" spans="1:56" x14ac:dyDescent="0.25">
      <c r="A30" s="37">
        <f>'04 SEMANA'!A10</f>
        <v>46047</v>
      </c>
      <c r="B30" s="38">
        <f>'04 SEMANA'!B10</f>
        <v>763</v>
      </c>
      <c r="C30" s="38" t="str">
        <f>'04 SEMANA'!C10</f>
        <v>TONATIUH GONZALEZ BELMONT</v>
      </c>
      <c r="D30" s="38" t="str">
        <f>'04 SEMANA'!D10</f>
        <v>COCINA</v>
      </c>
      <c r="E30" s="100">
        <f>+'SALDOS INICIALES'!F30</f>
        <v>400</v>
      </c>
      <c r="F30" s="100"/>
      <c r="G30" s="99"/>
      <c r="H30" s="101"/>
      <c r="I30" s="102">
        <f>+'04 SEMANA'!F10</f>
        <v>500</v>
      </c>
      <c r="J30" s="102">
        <f>+'04 SEMANA'!G10</f>
        <v>500</v>
      </c>
      <c r="K30" s="102">
        <f>+'04 SEMANA'!H10</f>
        <v>500</v>
      </c>
      <c r="L30" s="102">
        <f>+'04 SEMANA'!I10</f>
        <v>0</v>
      </c>
      <c r="M30" s="102">
        <f>+'04 SEMANA'!J10</f>
        <v>0</v>
      </c>
      <c r="N30" s="102">
        <f>+'04 SEMANA'!K10</f>
        <v>0</v>
      </c>
      <c r="O30" s="99"/>
      <c r="P30" s="99"/>
      <c r="Q30" s="99"/>
      <c r="R30" s="99"/>
      <c r="S30" s="99"/>
      <c r="T30" s="99"/>
      <c r="U30" s="99"/>
      <c r="V30" s="99"/>
      <c r="W30" s="99"/>
      <c r="X30" s="99"/>
      <c r="Y30" s="99"/>
      <c r="Z30" s="99"/>
      <c r="AA30" s="99"/>
      <c r="AB30" s="99"/>
      <c r="AC30" s="99"/>
      <c r="AD30" s="99"/>
      <c r="AE30" s="99"/>
      <c r="AF30" s="99"/>
      <c r="AG30" s="99"/>
      <c r="AH30" s="99"/>
      <c r="AI30" s="99"/>
      <c r="AJ30" s="99"/>
      <c r="AK30" s="99"/>
      <c r="AL30" s="99"/>
      <c r="AM30" s="99"/>
      <c r="AN30" s="99"/>
      <c r="AO30" s="99"/>
      <c r="AP30" s="99"/>
      <c r="AQ30" s="99"/>
      <c r="AR30" s="99"/>
      <c r="AS30" s="99"/>
      <c r="AT30" s="99"/>
      <c r="AU30" s="99"/>
      <c r="AV30" s="99"/>
      <c r="AW30" s="99"/>
      <c r="AX30" s="99"/>
      <c r="AY30" s="99"/>
      <c r="AZ30" s="99"/>
      <c r="BA30" s="99"/>
      <c r="BB30" s="99"/>
      <c r="BC30" s="99"/>
      <c r="BD30" s="99"/>
    </row>
    <row r="31" spans="1:56" x14ac:dyDescent="0.25">
      <c r="A31" s="37">
        <f>'04 SEMANA'!A11</f>
        <v>46047</v>
      </c>
      <c r="B31" s="38">
        <f>'04 SEMANA'!B11</f>
        <v>631</v>
      </c>
      <c r="C31" s="38" t="str">
        <f>'04 SEMANA'!C11</f>
        <v>GEOVANNI ESCALANTE SALAS</v>
      </c>
      <c r="D31" s="38" t="str">
        <f>'04 SEMANA'!D11</f>
        <v>COMEDOR</v>
      </c>
      <c r="E31" s="100">
        <f>+'SALDOS INICIALES'!F31</f>
        <v>1700</v>
      </c>
      <c r="F31" s="100"/>
      <c r="G31" s="99"/>
      <c r="H31" s="101"/>
      <c r="I31" s="102">
        <f>+'04 SEMANA'!F11</f>
        <v>600</v>
      </c>
      <c r="J31" s="102">
        <f>+'04 SEMANA'!G11</f>
        <v>600</v>
      </c>
      <c r="K31" s="102">
        <f>+'04 SEMANA'!H11</f>
        <v>600</v>
      </c>
      <c r="L31" s="102">
        <f>+'04 SEMANA'!I11</f>
        <v>0</v>
      </c>
      <c r="M31" s="102">
        <f>+'04 SEMANA'!J11</f>
        <v>0</v>
      </c>
      <c r="N31" s="102">
        <f>+'04 SEMANA'!K11</f>
        <v>0</v>
      </c>
      <c r="O31" s="99"/>
      <c r="P31" s="99"/>
      <c r="Q31" s="99"/>
      <c r="R31" s="99"/>
      <c r="S31" s="99"/>
      <c r="T31" s="99"/>
      <c r="U31" s="99"/>
      <c r="V31" s="99"/>
      <c r="W31" s="99"/>
      <c r="X31" s="99"/>
      <c r="Y31" s="99"/>
      <c r="Z31" s="99"/>
      <c r="AA31" s="99"/>
      <c r="AB31" s="99"/>
      <c r="AC31" s="99"/>
      <c r="AD31" s="99"/>
      <c r="AE31" s="99"/>
      <c r="AF31" s="99"/>
      <c r="AG31" s="99"/>
      <c r="AH31" s="99"/>
      <c r="AI31" s="99"/>
      <c r="AJ31" s="99"/>
      <c r="AK31" s="99"/>
      <c r="AL31" s="99"/>
      <c r="AM31" s="99"/>
      <c r="AN31" s="99"/>
      <c r="AO31" s="99"/>
      <c r="AP31" s="99"/>
      <c r="AQ31" s="99"/>
      <c r="AR31" s="99"/>
      <c r="AS31" s="99"/>
      <c r="AT31" s="99"/>
      <c r="AU31" s="99"/>
      <c r="AV31" s="99"/>
      <c r="AW31" s="99"/>
      <c r="AX31" s="99"/>
      <c r="AY31" s="99"/>
      <c r="AZ31" s="99"/>
      <c r="BA31" s="99"/>
      <c r="BB31" s="99"/>
      <c r="BC31" s="99"/>
      <c r="BD31" s="99"/>
    </row>
    <row r="32" spans="1:56" x14ac:dyDescent="0.25">
      <c r="A32" s="37">
        <f>'04 SEMANA'!A12</f>
        <v>0</v>
      </c>
      <c r="B32" s="38">
        <f>'04 SEMANA'!B12</f>
        <v>0</v>
      </c>
      <c r="C32" s="38">
        <f>'04 SEMANA'!C12</f>
        <v>0</v>
      </c>
      <c r="D32" s="38">
        <f>'04 SEMANA'!D12</f>
        <v>0</v>
      </c>
      <c r="E32" s="100">
        <f>+'SALDOS INICIALES'!F32</f>
        <v>6211</v>
      </c>
      <c r="F32" s="100"/>
      <c r="G32" s="99"/>
      <c r="H32" s="101"/>
      <c r="I32" s="102">
        <f>+'04 SEMANA'!F12</f>
        <v>0</v>
      </c>
      <c r="J32" s="102">
        <f>+'04 SEMANA'!G12</f>
        <v>0</v>
      </c>
      <c r="K32" s="102">
        <f>+'04 SEMANA'!H12</f>
        <v>0</v>
      </c>
      <c r="L32" s="102">
        <f>+'04 SEMANA'!I12</f>
        <v>0</v>
      </c>
      <c r="M32" s="102">
        <f>+'04 SEMANA'!J12</f>
        <v>0</v>
      </c>
      <c r="N32" s="102">
        <f>+'04 SEMANA'!K12</f>
        <v>0</v>
      </c>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99"/>
      <c r="AN32" s="99"/>
      <c r="AO32" s="99"/>
      <c r="AP32" s="99"/>
      <c r="AQ32" s="99"/>
      <c r="AR32" s="99"/>
      <c r="AS32" s="99"/>
      <c r="AT32" s="99"/>
      <c r="AU32" s="99"/>
      <c r="AV32" s="99"/>
      <c r="AW32" s="99"/>
      <c r="AX32" s="99"/>
      <c r="AY32" s="99"/>
      <c r="AZ32" s="99"/>
      <c r="BA32" s="99"/>
      <c r="BB32" s="99"/>
      <c r="BC32" s="99"/>
      <c r="BD32" s="99"/>
    </row>
    <row r="33" spans="1:56" x14ac:dyDescent="0.25">
      <c r="A33" s="37">
        <f>'04 SEMANA'!A13</f>
        <v>0</v>
      </c>
      <c r="B33" s="38">
        <f>'04 SEMANA'!B13</f>
        <v>0</v>
      </c>
      <c r="C33" s="38">
        <f>'04 SEMANA'!C13</f>
        <v>0</v>
      </c>
      <c r="D33" s="38">
        <f>'04 SEMANA'!D13</f>
        <v>0</v>
      </c>
      <c r="E33" s="100">
        <f>+'SALDOS INICIALES'!F33</f>
        <v>0</v>
      </c>
      <c r="F33" s="100"/>
      <c r="G33" s="99"/>
      <c r="H33" s="101"/>
      <c r="I33" s="102">
        <f>+'04 SEMANA'!F13</f>
        <v>0</v>
      </c>
      <c r="J33" s="102">
        <f>+'04 SEMANA'!G13</f>
        <v>0</v>
      </c>
      <c r="K33" s="102">
        <f>+'04 SEMANA'!H13</f>
        <v>0</v>
      </c>
      <c r="L33" s="102">
        <f>+'04 SEMANA'!I13</f>
        <v>0</v>
      </c>
      <c r="M33" s="102">
        <f>+'04 SEMANA'!J13</f>
        <v>0</v>
      </c>
      <c r="N33" s="102">
        <f>+'04 SEMANA'!K13</f>
        <v>0</v>
      </c>
      <c r="O33" s="99"/>
      <c r="P33" s="99"/>
      <c r="Q33" s="99"/>
      <c r="R33" s="99"/>
      <c r="S33" s="99"/>
      <c r="T33" s="99"/>
      <c r="U33" s="99"/>
      <c r="V33" s="99"/>
      <c r="W33" s="99"/>
      <c r="X33" s="99"/>
      <c r="Y33" s="99"/>
      <c r="Z33" s="99"/>
      <c r="AA33" s="99"/>
      <c r="AB33" s="99"/>
      <c r="AC33" s="99"/>
      <c r="AD33" s="99"/>
      <c r="AE33" s="99"/>
      <c r="AF33" s="99"/>
      <c r="AG33" s="99"/>
      <c r="AH33" s="99"/>
      <c r="AI33" s="99"/>
      <c r="AJ33" s="99"/>
      <c r="AK33" s="99"/>
      <c r="AL33" s="99"/>
      <c r="AM33" s="99"/>
      <c r="AN33" s="99"/>
      <c r="AO33" s="99"/>
      <c r="AP33" s="99"/>
      <c r="AQ33" s="99"/>
      <c r="AR33" s="99"/>
      <c r="AS33" s="99"/>
      <c r="AT33" s="99"/>
      <c r="AU33" s="99"/>
      <c r="AV33" s="99"/>
      <c r="AW33" s="99"/>
      <c r="AX33" s="99"/>
      <c r="AY33" s="99"/>
      <c r="AZ33" s="99"/>
      <c r="BA33" s="99"/>
      <c r="BB33" s="99"/>
      <c r="BC33" s="99"/>
      <c r="BD33" s="99"/>
    </row>
    <row r="34" spans="1:56" x14ac:dyDescent="0.25">
      <c r="A34" s="37">
        <f>'04 SEMANA'!A14</f>
        <v>0</v>
      </c>
      <c r="B34" s="38">
        <f>'04 SEMANA'!B14</f>
        <v>0</v>
      </c>
      <c r="C34" s="38">
        <f>'04 SEMANA'!C14</f>
        <v>0</v>
      </c>
      <c r="D34" s="38">
        <f>'04 SEMANA'!D14</f>
        <v>0</v>
      </c>
      <c r="E34" s="100">
        <f>+'SALDOS INICIALES'!F34</f>
        <v>0</v>
      </c>
      <c r="F34" s="100"/>
      <c r="G34" s="99"/>
      <c r="H34" s="101"/>
      <c r="I34" s="102">
        <f>+'04 SEMANA'!F14</f>
        <v>0</v>
      </c>
      <c r="J34" s="102">
        <f>+'04 SEMANA'!G14</f>
        <v>0</v>
      </c>
      <c r="K34" s="102">
        <f>+'04 SEMANA'!H14</f>
        <v>0</v>
      </c>
      <c r="L34" s="102">
        <f>+'04 SEMANA'!I14</f>
        <v>0</v>
      </c>
      <c r="M34" s="102">
        <f>+'04 SEMANA'!J14</f>
        <v>0</v>
      </c>
      <c r="N34" s="102">
        <f>+'04 SEMANA'!K14</f>
        <v>0</v>
      </c>
      <c r="O34" s="99"/>
      <c r="P34" s="99"/>
      <c r="Q34" s="99"/>
      <c r="R34" s="99"/>
      <c r="S34" s="99"/>
      <c r="T34" s="99"/>
      <c r="U34" s="99"/>
      <c r="V34" s="99"/>
      <c r="W34" s="99"/>
      <c r="X34" s="99"/>
      <c r="Y34" s="99"/>
      <c r="Z34" s="99"/>
      <c r="AA34" s="99"/>
      <c r="AB34" s="99"/>
      <c r="AC34" s="99"/>
      <c r="AD34" s="99"/>
      <c r="AE34" s="99"/>
      <c r="AF34" s="99"/>
      <c r="AG34" s="99"/>
      <c r="AH34" s="99"/>
      <c r="AI34" s="99"/>
      <c r="AJ34" s="99"/>
      <c r="AK34" s="99"/>
      <c r="AL34" s="99"/>
      <c r="AM34" s="99"/>
      <c r="AN34" s="99"/>
      <c r="AO34" s="99"/>
      <c r="AP34" s="99"/>
      <c r="AQ34" s="99"/>
      <c r="AR34" s="99"/>
      <c r="AS34" s="99"/>
      <c r="AT34" s="99"/>
      <c r="AU34" s="99"/>
      <c r="AV34" s="99"/>
      <c r="AW34" s="99"/>
      <c r="AX34" s="99"/>
      <c r="AY34" s="99"/>
      <c r="AZ34" s="99"/>
      <c r="BA34" s="99"/>
      <c r="BB34" s="99"/>
      <c r="BC34" s="99"/>
      <c r="BD34" s="99"/>
    </row>
    <row r="35" spans="1:56" x14ac:dyDescent="0.25">
      <c r="A35" s="37">
        <f>'04 SEMANA'!A15</f>
        <v>0</v>
      </c>
      <c r="B35" s="38">
        <f>'04 SEMANA'!B15</f>
        <v>0</v>
      </c>
      <c r="C35" s="38">
        <f>'04 SEMANA'!C15</f>
        <v>0</v>
      </c>
      <c r="D35" s="38">
        <f>'04 SEMANA'!D15</f>
        <v>0</v>
      </c>
      <c r="E35" s="100">
        <f>+'SALDOS INICIALES'!F35</f>
        <v>0</v>
      </c>
      <c r="F35" s="100"/>
      <c r="G35" s="99"/>
      <c r="H35" s="101"/>
      <c r="I35" s="102">
        <f>+'04 SEMANA'!F15</f>
        <v>0</v>
      </c>
      <c r="J35" s="102">
        <f>+'04 SEMANA'!G15</f>
        <v>0</v>
      </c>
      <c r="K35" s="102">
        <f>+'04 SEMANA'!H15</f>
        <v>0</v>
      </c>
      <c r="L35" s="102">
        <f>+'04 SEMANA'!I15</f>
        <v>0</v>
      </c>
      <c r="M35" s="102">
        <f>+'04 SEMANA'!J15</f>
        <v>0</v>
      </c>
      <c r="N35" s="102">
        <f>+'04 SEMANA'!K15</f>
        <v>0</v>
      </c>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row>
    <row r="36" spans="1:56" x14ac:dyDescent="0.25">
      <c r="A36" s="248">
        <f>'05 SEMANA'!A9</f>
        <v>46054</v>
      </c>
      <c r="B36" s="45">
        <f>'05 SEMANA'!B9</f>
        <v>244</v>
      </c>
      <c r="C36" s="45" t="str">
        <f>'05 SEMANA'!C9</f>
        <v xml:space="preserve">MIGUEL ÁNGEL DE LA CRUZ </v>
      </c>
      <c r="D36" s="45" t="str">
        <f>+'05 SEMANA'!D9</f>
        <v>COCINA</v>
      </c>
      <c r="E36" s="100">
        <f>+'SALDOS INICIALES'!F36</f>
        <v>0</v>
      </c>
      <c r="F36" s="100"/>
      <c r="G36" s="99"/>
      <c r="H36" s="101"/>
      <c r="I36" s="102"/>
      <c r="J36" s="100">
        <f>+'05 SEMANA'!F9</f>
        <v>850</v>
      </c>
      <c r="K36" s="100">
        <f>+'05 SEMANA'!G9</f>
        <v>850</v>
      </c>
      <c r="L36" s="100">
        <f>+'05 SEMANA'!H9</f>
        <v>0</v>
      </c>
      <c r="M36" s="100">
        <f>+'05 SEMANA'!I9</f>
        <v>0</v>
      </c>
      <c r="N36" s="100">
        <f>+'05 SEMANA'!J9</f>
        <v>0</v>
      </c>
      <c r="O36" s="100">
        <f>+'05 SEMANA'!K9</f>
        <v>0</v>
      </c>
      <c r="P36" s="99"/>
      <c r="Q36" s="99"/>
      <c r="R36" s="99"/>
      <c r="S36" s="99"/>
      <c r="T36" s="99"/>
      <c r="U36" s="99"/>
      <c r="V36" s="99"/>
      <c r="W36" s="99"/>
      <c r="X36" s="99"/>
      <c r="Y36" s="99"/>
      <c r="Z36" s="99"/>
      <c r="AA36" s="99"/>
      <c r="AB36" s="99"/>
      <c r="AC36" s="99"/>
      <c r="AD36" s="99"/>
      <c r="AE36" s="99"/>
      <c r="AF36" s="99"/>
      <c r="AG36" s="99"/>
      <c r="AH36" s="99"/>
      <c r="AI36" s="99"/>
      <c r="AJ36" s="99"/>
      <c r="AK36" s="99"/>
      <c r="AL36" s="99"/>
      <c r="AM36" s="99"/>
      <c r="AN36" s="99"/>
      <c r="AO36" s="99"/>
      <c r="AP36" s="99"/>
      <c r="AQ36" s="99"/>
      <c r="AR36" s="99"/>
      <c r="AS36" s="99"/>
      <c r="AT36" s="99"/>
      <c r="AU36" s="99"/>
      <c r="AV36" s="99"/>
      <c r="AW36" s="99"/>
      <c r="AX36" s="99"/>
      <c r="AY36" s="99"/>
      <c r="AZ36" s="99"/>
      <c r="BA36" s="99"/>
      <c r="BB36" s="99"/>
      <c r="BC36" s="99"/>
      <c r="BD36" s="99"/>
    </row>
    <row r="37" spans="1:56" x14ac:dyDescent="0.25">
      <c r="A37" s="248">
        <f>'05 SEMANA'!A10</f>
        <v>46054</v>
      </c>
      <c r="B37" s="45">
        <f>'05 SEMANA'!B10</f>
        <v>474</v>
      </c>
      <c r="C37" s="45" t="str">
        <f>'05 SEMANA'!C10</f>
        <v>ABRAHAM EDGAR VAZQUEZ ANARIO</v>
      </c>
      <c r="D37" s="45" t="str">
        <f>+'05 SEMANA'!D10</f>
        <v>COCINA</v>
      </c>
      <c r="E37" s="100">
        <f>+'SALDOS INICIALES'!F37</f>
        <v>0</v>
      </c>
      <c r="F37" s="100"/>
      <c r="G37" s="99"/>
      <c r="H37" s="101"/>
      <c r="I37" s="102"/>
      <c r="J37" s="100">
        <f>+'05 SEMANA'!F10</f>
        <v>250</v>
      </c>
      <c r="K37" s="100">
        <f>+'05 SEMANA'!G10</f>
        <v>250</v>
      </c>
      <c r="L37" s="100">
        <f>+'05 SEMANA'!H10</f>
        <v>0</v>
      </c>
      <c r="M37" s="100">
        <f>+'05 SEMANA'!I10</f>
        <v>0</v>
      </c>
      <c r="N37" s="100">
        <f>+'05 SEMANA'!J10</f>
        <v>0</v>
      </c>
      <c r="O37" s="100">
        <f>+'05 SEMANA'!K10</f>
        <v>0</v>
      </c>
      <c r="P37" s="99"/>
      <c r="Q37" s="99"/>
      <c r="R37" s="99"/>
      <c r="S37" s="99"/>
      <c r="T37" s="99"/>
      <c r="U37" s="99"/>
      <c r="V37" s="99"/>
      <c r="W37" s="99"/>
      <c r="X37" s="99"/>
      <c r="Y37" s="99"/>
      <c r="Z37" s="99"/>
      <c r="AA37" s="99"/>
      <c r="AB37" s="99"/>
      <c r="AC37" s="99"/>
      <c r="AD37" s="99"/>
      <c r="AE37" s="99"/>
      <c r="AF37" s="99"/>
      <c r="AG37" s="99"/>
      <c r="AH37" s="99"/>
      <c r="AI37" s="99"/>
      <c r="AJ37" s="99"/>
      <c r="AK37" s="99"/>
      <c r="AL37" s="99"/>
      <c r="AM37" s="99"/>
      <c r="AN37" s="99"/>
      <c r="AO37" s="99"/>
      <c r="AP37" s="99"/>
      <c r="AQ37" s="99"/>
      <c r="AR37" s="99"/>
      <c r="AS37" s="99"/>
      <c r="AT37" s="99"/>
      <c r="AU37" s="99"/>
      <c r="AV37" s="99"/>
      <c r="AW37" s="99"/>
      <c r="AX37" s="99"/>
      <c r="AY37" s="99"/>
      <c r="AZ37" s="99"/>
      <c r="BA37" s="99"/>
      <c r="BB37" s="99"/>
      <c r="BC37" s="99"/>
      <c r="BD37" s="99"/>
    </row>
    <row r="38" spans="1:56" x14ac:dyDescent="0.25">
      <c r="A38" s="248">
        <f>'05 SEMANA'!A11</f>
        <v>46054</v>
      </c>
      <c r="B38" s="45">
        <f>'05 SEMANA'!B11</f>
        <v>479</v>
      </c>
      <c r="C38" s="45" t="str">
        <f>'05 SEMANA'!C11</f>
        <v xml:space="preserve">JULIO CESAR NORIEGA </v>
      </c>
      <c r="D38" s="45" t="str">
        <f>+'05 SEMANA'!D11</f>
        <v>COCINA</v>
      </c>
      <c r="E38" s="100">
        <f>+'SALDOS INICIALES'!F41</f>
        <v>0</v>
      </c>
      <c r="F38" s="100"/>
      <c r="G38" s="99"/>
      <c r="H38" s="101"/>
      <c r="I38" s="102"/>
      <c r="J38" s="100">
        <f>+'05 SEMANA'!F11</f>
        <v>500</v>
      </c>
      <c r="K38" s="100">
        <f>+'05 SEMANA'!G11</f>
        <v>500</v>
      </c>
      <c r="L38" s="100">
        <f>+'05 SEMANA'!H11</f>
        <v>0</v>
      </c>
      <c r="M38" s="100">
        <f>+'05 SEMANA'!I11</f>
        <v>0</v>
      </c>
      <c r="N38" s="100">
        <f>+'05 SEMANA'!J11</f>
        <v>0</v>
      </c>
      <c r="O38" s="100">
        <f>+'05 SEMANA'!K11</f>
        <v>0</v>
      </c>
      <c r="P38" s="99"/>
      <c r="Q38" s="99"/>
      <c r="R38" s="99"/>
      <c r="S38" s="99"/>
      <c r="T38" s="99"/>
      <c r="U38" s="99"/>
      <c r="V38" s="99"/>
      <c r="W38" s="99"/>
      <c r="X38" s="99"/>
      <c r="Y38" s="99"/>
      <c r="Z38" s="99"/>
      <c r="AA38" s="99"/>
      <c r="AB38" s="99"/>
      <c r="AC38" s="99"/>
      <c r="AD38" s="99"/>
      <c r="AE38" s="99"/>
      <c r="AF38" s="99"/>
      <c r="AG38" s="99"/>
      <c r="AH38" s="99"/>
      <c r="AI38" s="99"/>
      <c r="AJ38" s="99"/>
      <c r="AK38" s="99"/>
      <c r="AL38" s="99"/>
      <c r="AM38" s="99"/>
      <c r="AN38" s="99"/>
      <c r="AO38" s="99"/>
      <c r="AP38" s="99"/>
      <c r="AQ38" s="99"/>
      <c r="AR38" s="99"/>
      <c r="AS38" s="99"/>
      <c r="AT38" s="99"/>
      <c r="AU38" s="99"/>
      <c r="AV38" s="99"/>
      <c r="AW38" s="99"/>
      <c r="AX38" s="99"/>
      <c r="AY38" s="99"/>
      <c r="AZ38" s="99"/>
      <c r="BA38" s="99"/>
      <c r="BB38" s="99"/>
      <c r="BC38" s="99"/>
      <c r="BD38" s="99"/>
    </row>
    <row r="39" spans="1:56" x14ac:dyDescent="0.25">
      <c r="A39" s="248">
        <f>'05 SEMANA'!A12</f>
        <v>46054</v>
      </c>
      <c r="B39" s="45">
        <f>'05 SEMANA'!B12</f>
        <v>592</v>
      </c>
      <c r="C39" s="45" t="str">
        <f>'05 SEMANA'!C12</f>
        <v xml:space="preserve">DANIEL ORTEGA ORDOÑEZ </v>
      </c>
      <c r="D39" s="45" t="str">
        <f>+'05 SEMANA'!D12</f>
        <v xml:space="preserve">ASEO </v>
      </c>
      <c r="E39" s="100"/>
      <c r="F39" s="100"/>
      <c r="G39" s="99"/>
      <c r="H39" s="101"/>
      <c r="I39" s="102"/>
      <c r="J39" s="100">
        <f>+'05 SEMANA'!F12</f>
        <v>300</v>
      </c>
      <c r="K39" s="100">
        <f>+'05 SEMANA'!G12</f>
        <v>300</v>
      </c>
      <c r="L39" s="100">
        <f>+'05 SEMANA'!H12</f>
        <v>0</v>
      </c>
      <c r="M39" s="100">
        <f>+'05 SEMANA'!I12</f>
        <v>0</v>
      </c>
      <c r="N39" s="100">
        <f>+'05 SEMANA'!J12</f>
        <v>0</v>
      </c>
      <c r="O39" s="100">
        <f>+'05 SEMANA'!K12</f>
        <v>0</v>
      </c>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row>
    <row r="40" spans="1:56" x14ac:dyDescent="0.25">
      <c r="A40" s="248">
        <f>'05 SEMANA'!A13</f>
        <v>46054</v>
      </c>
      <c r="B40" s="45">
        <f>'05 SEMANA'!B13</f>
        <v>809</v>
      </c>
      <c r="C40" s="45" t="str">
        <f>'05 SEMANA'!C13</f>
        <v>ANDRES CORTES AGUIRRE</v>
      </c>
      <c r="D40" s="45" t="str">
        <f>+'05 SEMANA'!D13</f>
        <v>ASEO</v>
      </c>
      <c r="E40" s="100"/>
      <c r="F40" s="100"/>
      <c r="G40" s="99"/>
      <c r="H40" s="101"/>
      <c r="I40" s="102"/>
      <c r="J40" s="100">
        <f>+'05 SEMANA'!F13</f>
        <v>200</v>
      </c>
      <c r="K40" s="100">
        <f>+'05 SEMANA'!G13</f>
        <v>200</v>
      </c>
      <c r="L40" s="100">
        <f>+'05 SEMANA'!H13</f>
        <v>0</v>
      </c>
      <c r="M40" s="100">
        <f>+'05 SEMANA'!I13</f>
        <v>0</v>
      </c>
      <c r="N40" s="100">
        <f>+'05 SEMANA'!J13</f>
        <v>0</v>
      </c>
      <c r="O40" s="100">
        <f>+'05 SEMANA'!K13</f>
        <v>0</v>
      </c>
      <c r="P40" s="99"/>
      <c r="Q40" s="99"/>
      <c r="R40" s="99"/>
      <c r="S40" s="99"/>
      <c r="T40" s="99"/>
      <c r="U40" s="99"/>
      <c r="V40" s="99"/>
      <c r="W40" s="99"/>
      <c r="X40" s="99"/>
      <c r="Y40" s="99"/>
      <c r="Z40" s="99"/>
      <c r="AA40" s="99"/>
      <c r="AB40" s="99"/>
      <c r="AC40" s="99"/>
      <c r="AD40" s="99"/>
      <c r="AE40" s="99"/>
      <c r="AF40" s="99"/>
      <c r="AG40" s="99"/>
      <c r="AH40" s="99"/>
      <c r="AI40" s="99"/>
      <c r="AJ40" s="99"/>
      <c r="AK40" s="99"/>
      <c r="AL40" s="99"/>
      <c r="AM40" s="99"/>
      <c r="AN40" s="99"/>
      <c r="AO40" s="99"/>
      <c r="AP40" s="99"/>
      <c r="AQ40" s="99"/>
      <c r="AR40" s="99"/>
      <c r="AS40" s="99"/>
      <c r="AT40" s="99"/>
      <c r="AU40" s="99"/>
      <c r="AV40" s="99"/>
      <c r="AW40" s="99"/>
      <c r="AX40" s="99"/>
      <c r="AY40" s="99"/>
      <c r="AZ40" s="99"/>
      <c r="BA40" s="99"/>
      <c r="BB40" s="99"/>
      <c r="BC40" s="99"/>
      <c r="BD40" s="99"/>
    </row>
    <row r="41" spans="1:56" x14ac:dyDescent="0.25">
      <c r="A41" s="248">
        <f>'05 SEMANA'!A14</f>
        <v>0</v>
      </c>
      <c r="B41" s="45">
        <f>'05 SEMANA'!B14</f>
        <v>0</v>
      </c>
      <c r="C41" s="45">
        <f>'05 SEMANA'!C14</f>
        <v>0</v>
      </c>
      <c r="D41" s="45">
        <f>+'05 SEMANA'!D14</f>
        <v>0</v>
      </c>
      <c r="E41" s="100"/>
      <c r="F41" s="100"/>
      <c r="G41" s="99"/>
      <c r="H41" s="101"/>
      <c r="I41" s="102"/>
      <c r="J41" s="100">
        <f>+'05 SEMANA'!F14</f>
        <v>0</v>
      </c>
      <c r="K41" s="100">
        <f>+'05 SEMANA'!G14</f>
        <v>0</v>
      </c>
      <c r="L41" s="100">
        <f>+'05 SEMANA'!H14</f>
        <v>0</v>
      </c>
      <c r="M41" s="100">
        <f>+'05 SEMANA'!I14</f>
        <v>0</v>
      </c>
      <c r="N41" s="100">
        <f>+'05 SEMANA'!J14</f>
        <v>0</v>
      </c>
      <c r="O41" s="100">
        <f>+'05 SEMANA'!K14</f>
        <v>0</v>
      </c>
      <c r="P41" s="99"/>
      <c r="Q41" s="99"/>
      <c r="R41" s="99"/>
      <c r="S41" s="99"/>
      <c r="T41" s="99"/>
      <c r="U41" s="99"/>
      <c r="V41" s="99"/>
      <c r="W41" s="99"/>
      <c r="X41" s="99"/>
      <c r="Y41" s="99"/>
      <c r="Z41" s="99"/>
      <c r="AA41" s="99"/>
      <c r="AB41" s="99"/>
      <c r="AC41" s="99"/>
      <c r="AD41" s="99"/>
      <c r="AE41" s="99"/>
      <c r="AF41" s="99"/>
      <c r="AG41" s="99"/>
      <c r="AH41" s="99"/>
      <c r="AI41" s="99"/>
      <c r="AJ41" s="99"/>
      <c r="AK41" s="99"/>
      <c r="AL41" s="99"/>
      <c r="AM41" s="99"/>
      <c r="AN41" s="99"/>
      <c r="AO41" s="99"/>
      <c r="AP41" s="99"/>
      <c r="AQ41" s="99"/>
      <c r="AR41" s="99"/>
      <c r="AS41" s="99"/>
      <c r="AT41" s="99"/>
      <c r="AU41" s="99"/>
      <c r="AV41" s="99"/>
      <c r="AW41" s="99"/>
      <c r="AX41" s="99"/>
      <c r="AY41" s="99"/>
      <c r="AZ41" s="99"/>
      <c r="BA41" s="99"/>
      <c r="BB41" s="99"/>
      <c r="BC41" s="99"/>
      <c r="BD41" s="99"/>
    </row>
    <row r="42" spans="1:56" x14ac:dyDescent="0.25">
      <c r="A42" s="37">
        <f>'06 SEMANA'!A9</f>
        <v>46061</v>
      </c>
      <c r="B42" s="38">
        <f>'06 SEMANA'!B9</f>
        <v>24</v>
      </c>
      <c r="C42" s="38" t="str">
        <f>'06 SEMANA'!C9</f>
        <v>LUIS ÁNGEL QUIROZ LLANITO</v>
      </c>
      <c r="D42" s="38">
        <f>+'06 SEMANA'!D15</f>
        <v>0</v>
      </c>
      <c r="E42" s="100"/>
      <c r="F42" s="100"/>
      <c r="G42" s="99"/>
      <c r="H42" s="101"/>
      <c r="I42" s="102"/>
      <c r="J42" s="103"/>
      <c r="K42" s="100">
        <f>+'06 SEMANA'!F9</f>
        <v>500</v>
      </c>
      <c r="L42" s="100">
        <f>+'06 SEMANA'!G9</f>
        <v>0</v>
      </c>
      <c r="M42" s="100">
        <f>+'06 SEMANA'!H9</f>
        <v>0</v>
      </c>
      <c r="N42" s="100">
        <f>+'06 SEMANA'!I9</f>
        <v>0</v>
      </c>
      <c r="O42" s="100">
        <f>+'06 SEMANA'!J9</f>
        <v>0</v>
      </c>
      <c r="P42" s="100">
        <f>+'06 SEMANA'!K9</f>
        <v>0</v>
      </c>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row>
    <row r="43" spans="1:56" x14ac:dyDescent="0.25">
      <c r="A43" s="37">
        <f>'06 SEMANA'!A10</f>
        <v>46061</v>
      </c>
      <c r="B43" s="38">
        <f>'06 SEMANA'!B10</f>
        <v>672</v>
      </c>
      <c r="C43" s="38" t="str">
        <f>'06 SEMANA'!C10</f>
        <v>OMAR ROMERO GAISTARDO</v>
      </c>
      <c r="D43" s="38" t="str">
        <f>+'06 SEMANA'!D9</f>
        <v xml:space="preserve">COMEDOR </v>
      </c>
      <c r="E43" s="100"/>
      <c r="F43" s="100"/>
      <c r="G43" s="99"/>
      <c r="H43" s="101"/>
      <c r="I43" s="102"/>
      <c r="J43" s="103"/>
      <c r="K43" s="100">
        <f>+'06 SEMANA'!F10</f>
        <v>300</v>
      </c>
      <c r="L43" s="100">
        <f>+'06 SEMANA'!G10</f>
        <v>0</v>
      </c>
      <c r="M43" s="100">
        <f>+'06 SEMANA'!H10</f>
        <v>0</v>
      </c>
      <c r="N43" s="100">
        <f>+'06 SEMANA'!I10</f>
        <v>0</v>
      </c>
      <c r="O43" s="100">
        <f>+'06 SEMANA'!J10</f>
        <v>0</v>
      </c>
      <c r="P43" s="100">
        <f>+'06 SEMANA'!K10</f>
        <v>0</v>
      </c>
      <c r="Q43" s="99"/>
      <c r="R43" s="99"/>
      <c r="S43" s="99"/>
      <c r="T43" s="99"/>
      <c r="U43" s="99"/>
      <c r="V43" s="99"/>
      <c r="W43" s="99"/>
      <c r="X43" s="99"/>
      <c r="Y43" s="99"/>
      <c r="Z43" s="99"/>
      <c r="AA43" s="99"/>
      <c r="AB43" s="99"/>
      <c r="AC43" s="99"/>
      <c r="AD43" s="99"/>
      <c r="AE43" s="99"/>
      <c r="AF43" s="99"/>
      <c r="AG43" s="99"/>
      <c r="AH43" s="99"/>
      <c r="AI43" s="99"/>
      <c r="AJ43" s="99"/>
      <c r="AK43" s="99"/>
      <c r="AL43" s="99"/>
      <c r="AM43" s="99"/>
      <c r="AN43" s="99"/>
      <c r="AO43" s="99"/>
      <c r="AP43" s="99"/>
      <c r="AQ43" s="99"/>
      <c r="AR43" s="99"/>
      <c r="AS43" s="99"/>
      <c r="AT43" s="99"/>
      <c r="AU43" s="99"/>
      <c r="AV43" s="99"/>
      <c r="AW43" s="99"/>
      <c r="AX43" s="99"/>
      <c r="AY43" s="99"/>
      <c r="AZ43" s="99"/>
      <c r="BA43" s="99"/>
      <c r="BB43" s="99"/>
      <c r="BC43" s="99"/>
      <c r="BD43" s="99"/>
    </row>
    <row r="44" spans="1:56" x14ac:dyDescent="0.25">
      <c r="A44" s="37">
        <f>'06 SEMANA'!A11</f>
        <v>0</v>
      </c>
      <c r="B44" s="38">
        <f>'06 SEMANA'!B11</f>
        <v>0</v>
      </c>
      <c r="C44" s="38">
        <f>'06 SEMANA'!C11</f>
        <v>0</v>
      </c>
      <c r="D44" s="38" t="str">
        <f>+'06 SEMANA'!D10</f>
        <v xml:space="preserve">ASEO </v>
      </c>
      <c r="E44" s="100"/>
      <c r="F44" s="100"/>
      <c r="G44" s="99"/>
      <c r="H44" s="101"/>
      <c r="I44" s="102"/>
      <c r="J44" s="103"/>
      <c r="K44" s="100">
        <f>+'06 SEMANA'!F11</f>
        <v>0</v>
      </c>
      <c r="L44" s="100">
        <f>+'06 SEMANA'!G11</f>
        <v>0</v>
      </c>
      <c r="M44" s="100">
        <f>+'06 SEMANA'!H11</f>
        <v>0</v>
      </c>
      <c r="N44" s="100">
        <f>+'06 SEMANA'!I11</f>
        <v>0</v>
      </c>
      <c r="O44" s="100">
        <f>+'06 SEMANA'!J11</f>
        <v>0</v>
      </c>
      <c r="P44" s="100">
        <f>+'06 SEMANA'!K11</f>
        <v>0</v>
      </c>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row>
    <row r="45" spans="1:56" x14ac:dyDescent="0.25">
      <c r="A45" s="37">
        <f>'06 SEMANA'!A12</f>
        <v>0</v>
      </c>
      <c r="B45" s="38">
        <f>'06 SEMANA'!B12</f>
        <v>0</v>
      </c>
      <c r="C45" s="38">
        <f>'06 SEMANA'!C12</f>
        <v>0</v>
      </c>
      <c r="D45" s="38">
        <f>+'06 SEMANA'!D11</f>
        <v>0</v>
      </c>
      <c r="E45" s="100"/>
      <c r="F45" s="100"/>
      <c r="G45" s="99"/>
      <c r="H45" s="101"/>
      <c r="I45" s="102"/>
      <c r="J45" s="103"/>
      <c r="K45" s="100">
        <f>+'06 SEMANA'!F12</f>
        <v>0</v>
      </c>
      <c r="L45" s="100">
        <f>+'06 SEMANA'!G12</f>
        <v>0</v>
      </c>
      <c r="M45" s="100">
        <f>+'06 SEMANA'!H12</f>
        <v>0</v>
      </c>
      <c r="N45" s="100">
        <f>+'06 SEMANA'!I12</f>
        <v>0</v>
      </c>
      <c r="O45" s="100">
        <f>+'06 SEMANA'!J12</f>
        <v>0</v>
      </c>
      <c r="P45" s="100">
        <f>+'06 SEMANA'!K12</f>
        <v>0</v>
      </c>
      <c r="Q45" s="99"/>
      <c r="R45" s="99"/>
      <c r="S45" s="99"/>
      <c r="T45" s="99"/>
      <c r="U45" s="99"/>
      <c r="V45" s="99"/>
      <c r="W45" s="99"/>
      <c r="X45" s="99"/>
      <c r="Y45" s="99"/>
      <c r="Z45" s="99"/>
      <c r="AA45" s="99"/>
      <c r="AB45" s="99"/>
      <c r="AC45" s="99"/>
      <c r="AD45" s="99"/>
      <c r="AE45" s="99"/>
      <c r="AF45" s="99"/>
      <c r="AG45" s="99"/>
      <c r="AH45" s="99"/>
      <c r="AI45" s="99"/>
      <c r="AJ45" s="99"/>
      <c r="AK45" s="99"/>
      <c r="AL45" s="99"/>
      <c r="AM45" s="99"/>
      <c r="AN45" s="99"/>
      <c r="AO45" s="99"/>
      <c r="AP45" s="99"/>
      <c r="AQ45" s="99"/>
      <c r="AR45" s="99"/>
      <c r="AS45" s="99"/>
      <c r="AT45" s="99"/>
      <c r="AU45" s="99"/>
      <c r="AV45" s="99"/>
      <c r="AW45" s="99"/>
      <c r="AX45" s="99"/>
      <c r="AY45" s="99"/>
      <c r="AZ45" s="99"/>
      <c r="BA45" s="99"/>
      <c r="BB45" s="99"/>
      <c r="BC45" s="99"/>
      <c r="BD45" s="99"/>
    </row>
    <row r="46" spans="1:56" x14ac:dyDescent="0.25">
      <c r="A46" s="37">
        <f>'06 SEMANA'!A13</f>
        <v>0</v>
      </c>
      <c r="B46" s="38">
        <f>'06 SEMANA'!B13</f>
        <v>0</v>
      </c>
      <c r="C46" s="38">
        <f>'06 SEMANA'!C13</f>
        <v>0</v>
      </c>
      <c r="D46" s="38">
        <f>+'06 SEMANA'!D12</f>
        <v>0</v>
      </c>
      <c r="E46" s="100"/>
      <c r="F46" s="100"/>
      <c r="G46" s="99"/>
      <c r="H46" s="101"/>
      <c r="I46" s="102"/>
      <c r="J46" s="103"/>
      <c r="K46" s="100">
        <f>+'06 SEMANA'!F13</f>
        <v>0</v>
      </c>
      <c r="L46" s="100">
        <f>+'06 SEMANA'!G13</f>
        <v>0</v>
      </c>
      <c r="M46" s="100">
        <f>+'06 SEMANA'!H13</f>
        <v>0</v>
      </c>
      <c r="N46" s="100">
        <f>+'06 SEMANA'!I13</f>
        <v>0</v>
      </c>
      <c r="O46" s="100">
        <f>+'06 SEMANA'!J13</f>
        <v>0</v>
      </c>
      <c r="P46" s="100">
        <f>+'06 SEMANA'!K13</f>
        <v>0</v>
      </c>
      <c r="Q46" s="99"/>
      <c r="R46" s="99"/>
      <c r="S46" s="99"/>
      <c r="T46" s="99"/>
      <c r="U46" s="99"/>
      <c r="V46" s="99"/>
      <c r="W46" s="99"/>
      <c r="X46" s="99"/>
      <c r="Y46" s="99"/>
      <c r="Z46" s="99"/>
      <c r="AA46" s="99"/>
      <c r="AB46" s="99"/>
      <c r="AC46" s="99"/>
      <c r="AD46" s="99"/>
      <c r="AE46" s="99"/>
      <c r="AF46" s="99"/>
      <c r="AG46" s="99"/>
      <c r="AH46" s="99"/>
      <c r="AI46" s="99"/>
      <c r="AJ46" s="99"/>
      <c r="AK46" s="99"/>
      <c r="AL46" s="99"/>
      <c r="AM46" s="99"/>
      <c r="AN46" s="99"/>
      <c r="AO46" s="99"/>
      <c r="AP46" s="99"/>
      <c r="AQ46" s="99"/>
      <c r="AR46" s="99"/>
      <c r="AS46" s="99"/>
      <c r="AT46" s="99"/>
      <c r="AU46" s="99"/>
      <c r="AV46" s="99"/>
      <c r="AW46" s="99"/>
      <c r="AX46" s="99"/>
      <c r="AY46" s="99"/>
      <c r="AZ46" s="99"/>
      <c r="BA46" s="99"/>
      <c r="BB46" s="99"/>
      <c r="BC46" s="99"/>
      <c r="BD46" s="99"/>
    </row>
    <row r="47" spans="1:56" x14ac:dyDescent="0.25">
      <c r="A47" s="37">
        <f>'06 SEMANA'!A14</f>
        <v>0</v>
      </c>
      <c r="B47" s="38">
        <f>'06 SEMANA'!B14</f>
        <v>0</v>
      </c>
      <c r="C47" s="38">
        <f>'06 SEMANA'!C14</f>
        <v>0</v>
      </c>
      <c r="D47" s="38">
        <f>+'06 SEMANA'!D13</f>
        <v>0</v>
      </c>
      <c r="E47" s="100"/>
      <c r="F47" s="100"/>
      <c r="G47" s="99"/>
      <c r="H47" s="101"/>
      <c r="I47" s="102"/>
      <c r="J47" s="103"/>
      <c r="K47" s="100">
        <f>+'06 SEMANA'!F14</f>
        <v>0</v>
      </c>
      <c r="L47" s="100">
        <f>+'06 SEMANA'!G14</f>
        <v>0</v>
      </c>
      <c r="M47" s="100">
        <f>+'06 SEMANA'!H14</f>
        <v>0</v>
      </c>
      <c r="N47" s="100">
        <f>+'06 SEMANA'!I14</f>
        <v>0</v>
      </c>
      <c r="O47" s="100">
        <f>+'06 SEMANA'!J14</f>
        <v>0</v>
      </c>
      <c r="P47" s="100">
        <f>+'06 SEMANA'!K14</f>
        <v>0</v>
      </c>
      <c r="Q47" s="99"/>
      <c r="R47" s="99"/>
      <c r="S47" s="99"/>
      <c r="T47" s="99"/>
      <c r="U47" s="99"/>
      <c r="V47" s="99"/>
      <c r="W47" s="99"/>
      <c r="X47" s="99"/>
      <c r="Y47" s="99"/>
      <c r="Z47" s="99"/>
      <c r="AA47" s="99"/>
      <c r="AB47" s="99"/>
      <c r="AC47" s="99"/>
      <c r="AD47" s="99"/>
      <c r="AE47" s="99"/>
      <c r="AF47" s="99"/>
      <c r="AG47" s="99"/>
      <c r="AH47" s="99"/>
      <c r="AI47" s="99"/>
      <c r="AJ47" s="99"/>
      <c r="AK47" s="99"/>
      <c r="AL47" s="99"/>
      <c r="AM47" s="99"/>
      <c r="AN47" s="99"/>
      <c r="AO47" s="99"/>
      <c r="AP47" s="99"/>
      <c r="AQ47" s="99"/>
      <c r="AR47" s="99"/>
      <c r="AS47" s="99"/>
      <c r="AT47" s="99"/>
      <c r="AU47" s="99"/>
      <c r="AV47" s="99"/>
      <c r="AW47" s="99"/>
      <c r="AX47" s="99"/>
      <c r="AY47" s="99"/>
      <c r="AZ47" s="99"/>
      <c r="BA47" s="99"/>
      <c r="BB47" s="99"/>
      <c r="BC47" s="99"/>
      <c r="BD47" s="99"/>
    </row>
    <row r="48" spans="1:56" x14ac:dyDescent="0.25">
      <c r="A48" s="37">
        <f>'07 SEMANA'!A9</f>
        <v>46068</v>
      </c>
      <c r="B48" s="38">
        <f>'07 SEMANA'!B9</f>
        <v>787</v>
      </c>
      <c r="C48" s="38" t="str">
        <f>'07 SEMANA'!C9</f>
        <v>SEBASTIAN GUILLERMO LUCIO</v>
      </c>
      <c r="D48" s="38">
        <f>+'06 SEMANA'!D14</f>
        <v>0</v>
      </c>
      <c r="E48" s="100"/>
      <c r="F48" s="100"/>
      <c r="G48" s="99"/>
      <c r="H48" s="101"/>
      <c r="I48" s="102"/>
      <c r="J48" s="103"/>
      <c r="K48" s="100">
        <f>+'06 SEMANA'!F15</f>
        <v>0</v>
      </c>
      <c r="L48" s="100">
        <f>+'06 SEMANA'!G15</f>
        <v>0</v>
      </c>
      <c r="M48" s="100">
        <f>+'06 SEMANA'!H15</f>
        <v>0</v>
      </c>
      <c r="N48" s="100">
        <f>+'06 SEMANA'!I15</f>
        <v>0</v>
      </c>
      <c r="O48" s="100">
        <f>+'06 SEMANA'!J15</f>
        <v>0</v>
      </c>
      <c r="P48" s="100">
        <f>+'06 SEMANA'!K15</f>
        <v>0</v>
      </c>
      <c r="Q48" s="99"/>
      <c r="R48" s="99"/>
      <c r="S48" s="99"/>
      <c r="T48" s="99"/>
      <c r="U48" s="99"/>
      <c r="V48" s="99"/>
      <c r="W48" s="99"/>
      <c r="X48" s="99"/>
      <c r="Y48" s="99"/>
      <c r="Z48" s="99"/>
      <c r="AA48" s="99"/>
      <c r="AB48" s="99"/>
      <c r="AC48" s="99"/>
      <c r="AD48" s="99"/>
      <c r="AE48" s="99"/>
      <c r="AF48" s="99"/>
      <c r="AG48" s="99"/>
      <c r="AH48" s="99"/>
      <c r="AI48" s="99"/>
      <c r="AJ48" s="99"/>
      <c r="AK48" s="99"/>
      <c r="AL48" s="99"/>
      <c r="AM48" s="99"/>
      <c r="AN48" s="99"/>
      <c r="AO48" s="99"/>
      <c r="AP48" s="99"/>
      <c r="AQ48" s="99"/>
      <c r="AR48" s="99"/>
      <c r="AS48" s="99"/>
      <c r="AT48" s="99"/>
      <c r="AU48" s="99"/>
      <c r="AV48" s="99"/>
      <c r="AW48" s="99"/>
      <c r="AX48" s="99"/>
      <c r="AY48" s="99"/>
      <c r="AZ48" s="99"/>
      <c r="BA48" s="99"/>
      <c r="BB48" s="99"/>
      <c r="BC48" s="99"/>
      <c r="BD48" s="99"/>
    </row>
    <row r="49" spans="1:56" x14ac:dyDescent="0.25">
      <c r="A49" s="37">
        <f>'07 SEMANA'!A10</f>
        <v>0</v>
      </c>
      <c r="B49" s="38">
        <f>'07 SEMANA'!B10</f>
        <v>0</v>
      </c>
      <c r="C49" s="38">
        <f>'07 SEMANA'!C10</f>
        <v>0</v>
      </c>
      <c r="D49" s="38" t="str">
        <f>+'07 SEMANA'!D9</f>
        <v>COMEDOR</v>
      </c>
      <c r="E49" s="100"/>
      <c r="F49" s="100"/>
      <c r="G49" s="99"/>
      <c r="H49" s="101"/>
      <c r="I49" s="102"/>
      <c r="J49" s="103"/>
      <c r="K49" s="99"/>
      <c r="L49" s="100">
        <f>+'07 SEMANA'!F9</f>
        <v>0</v>
      </c>
      <c r="M49" s="100">
        <f>+'07 SEMANA'!G9</f>
        <v>0</v>
      </c>
      <c r="N49" s="100">
        <f>+'07 SEMANA'!H9</f>
        <v>0</v>
      </c>
      <c r="O49" s="100">
        <f>+'07 SEMANA'!I9</f>
        <v>0</v>
      </c>
      <c r="P49" s="100">
        <f>+'07 SEMANA'!J9</f>
        <v>0</v>
      </c>
      <c r="Q49" s="100">
        <f>+'07 SEMANA'!N9</f>
        <v>0</v>
      </c>
      <c r="R49" s="99"/>
      <c r="S49" s="99"/>
      <c r="T49" s="99"/>
      <c r="U49" s="99"/>
      <c r="V49" s="99"/>
      <c r="W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c r="BB49" s="99"/>
      <c r="BC49" s="99"/>
      <c r="BD49" s="99"/>
    </row>
    <row r="50" spans="1:56" x14ac:dyDescent="0.25">
      <c r="A50" s="37">
        <f>'07 SEMANA'!A11</f>
        <v>0</v>
      </c>
      <c r="B50" s="38">
        <f>'07 SEMANA'!B11</f>
        <v>0</v>
      </c>
      <c r="C50" s="38">
        <f>'07 SEMANA'!C11</f>
        <v>0</v>
      </c>
      <c r="D50" s="38">
        <f>+'07 SEMANA'!D10</f>
        <v>0</v>
      </c>
      <c r="E50" s="100"/>
      <c r="F50" s="100"/>
      <c r="G50" s="99"/>
      <c r="H50" s="101"/>
      <c r="I50" s="102"/>
      <c r="J50" s="103"/>
      <c r="K50" s="99"/>
      <c r="L50" s="100">
        <f>+'07 SEMANA'!F10</f>
        <v>0</v>
      </c>
      <c r="M50" s="100">
        <f>+'07 SEMANA'!G10</f>
        <v>0</v>
      </c>
      <c r="N50" s="100">
        <f>+'07 SEMANA'!H10</f>
        <v>0</v>
      </c>
      <c r="O50" s="100">
        <f>+'07 SEMANA'!I10</f>
        <v>0</v>
      </c>
      <c r="P50" s="100">
        <f>+'07 SEMANA'!J10</f>
        <v>0</v>
      </c>
      <c r="Q50" s="100">
        <f>+'07 SEMANA'!N10</f>
        <v>0</v>
      </c>
      <c r="R50" s="99"/>
      <c r="S50" s="99"/>
      <c r="T50" s="99"/>
      <c r="U50" s="99"/>
      <c r="V50" s="99"/>
      <c r="W50" s="99"/>
      <c r="X50" s="99"/>
      <c r="Y50" s="99"/>
      <c r="Z50" s="99"/>
      <c r="AA50" s="99"/>
      <c r="AB50" s="99"/>
      <c r="AC50" s="99"/>
      <c r="AD50" s="99"/>
      <c r="AE50" s="99"/>
      <c r="AF50" s="99"/>
      <c r="AG50" s="99"/>
      <c r="AH50" s="99"/>
      <c r="AI50" s="99"/>
      <c r="AJ50" s="99"/>
      <c r="AK50" s="99"/>
      <c r="AL50" s="99"/>
      <c r="AM50" s="99"/>
      <c r="AN50" s="99"/>
      <c r="AO50" s="99"/>
      <c r="AP50" s="99"/>
      <c r="AQ50" s="99"/>
      <c r="AR50" s="99"/>
      <c r="AS50" s="99"/>
      <c r="AT50" s="99"/>
      <c r="AU50" s="99"/>
      <c r="AV50" s="99"/>
      <c r="AW50" s="99"/>
      <c r="AX50" s="99"/>
      <c r="AY50" s="99"/>
      <c r="AZ50" s="99"/>
      <c r="BA50" s="99"/>
      <c r="BB50" s="99"/>
      <c r="BC50" s="99"/>
      <c r="BD50" s="99"/>
    </row>
    <row r="51" spans="1:56" x14ac:dyDescent="0.25">
      <c r="A51" s="37">
        <f>'07 SEMANA'!A12</f>
        <v>0</v>
      </c>
      <c r="B51" s="38">
        <f>'07 SEMANA'!B12</f>
        <v>0</v>
      </c>
      <c r="C51" s="38">
        <f>'07 SEMANA'!C12</f>
        <v>0</v>
      </c>
      <c r="D51" s="38">
        <f>+'07 SEMANA'!D11</f>
        <v>0</v>
      </c>
      <c r="E51" s="100"/>
      <c r="F51" s="100"/>
      <c r="G51" s="99"/>
      <c r="H51" s="101"/>
      <c r="I51" s="102"/>
      <c r="J51" s="103"/>
      <c r="K51" s="99"/>
      <c r="L51" s="100">
        <f>+'07 SEMANA'!F11</f>
        <v>0</v>
      </c>
      <c r="M51" s="100">
        <f>+'07 SEMANA'!G11</f>
        <v>0</v>
      </c>
      <c r="N51" s="100">
        <f>+'07 SEMANA'!H11</f>
        <v>0</v>
      </c>
      <c r="O51" s="100">
        <f>+'07 SEMANA'!I11</f>
        <v>0</v>
      </c>
      <c r="P51" s="100">
        <f>+'07 SEMANA'!J11</f>
        <v>0</v>
      </c>
      <c r="Q51" s="100">
        <f>+'07 SEMANA'!N11</f>
        <v>0</v>
      </c>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row>
    <row r="52" spans="1:56" x14ac:dyDescent="0.25">
      <c r="A52" s="37">
        <f>'07 SEMANA'!A13</f>
        <v>0</v>
      </c>
      <c r="B52" s="38">
        <f>'07 SEMANA'!B13</f>
        <v>0</v>
      </c>
      <c r="C52" s="38">
        <f>'07 SEMANA'!C13</f>
        <v>0</v>
      </c>
      <c r="D52" s="38">
        <f>+'07 SEMANA'!D12</f>
        <v>0</v>
      </c>
      <c r="E52" s="100"/>
      <c r="F52" s="100"/>
      <c r="G52" s="99"/>
      <c r="H52" s="101"/>
      <c r="I52" s="102"/>
      <c r="J52" s="103"/>
      <c r="K52" s="99"/>
      <c r="L52" s="100">
        <f>+'07 SEMANA'!F12</f>
        <v>0</v>
      </c>
      <c r="M52" s="100">
        <f>+'07 SEMANA'!G12</f>
        <v>0</v>
      </c>
      <c r="N52" s="100">
        <f>+'07 SEMANA'!H12</f>
        <v>0</v>
      </c>
      <c r="O52" s="100">
        <f>+'07 SEMANA'!I12</f>
        <v>0</v>
      </c>
      <c r="P52" s="100">
        <f>+'07 SEMANA'!J12</f>
        <v>0</v>
      </c>
      <c r="Q52" s="100">
        <f>+'07 SEMANA'!N12</f>
        <v>0</v>
      </c>
      <c r="R52" s="99"/>
      <c r="S52" s="99"/>
      <c r="T52" s="99"/>
      <c r="U52" s="99"/>
      <c r="V52" s="99"/>
      <c r="W52" s="99"/>
      <c r="X52" s="99"/>
      <c r="Y52" s="99"/>
      <c r="Z52" s="99"/>
      <c r="AA52" s="99"/>
      <c r="AB52" s="99"/>
      <c r="AC52" s="99"/>
      <c r="AD52" s="99"/>
      <c r="AE52" s="99"/>
      <c r="AF52" s="99"/>
      <c r="AG52" s="99"/>
      <c r="AH52" s="99"/>
      <c r="AI52" s="99"/>
      <c r="AJ52" s="99"/>
      <c r="AK52" s="99"/>
      <c r="AL52" s="99"/>
      <c r="AM52" s="99"/>
      <c r="AN52" s="99"/>
      <c r="AO52" s="99"/>
      <c r="AP52" s="99"/>
      <c r="AQ52" s="99"/>
      <c r="AR52" s="99"/>
      <c r="AS52" s="99"/>
      <c r="AT52" s="99"/>
      <c r="AU52" s="99"/>
      <c r="AV52" s="99"/>
      <c r="AW52" s="99"/>
      <c r="AX52" s="99"/>
      <c r="AY52" s="99"/>
      <c r="AZ52" s="99"/>
      <c r="BA52" s="99"/>
      <c r="BB52" s="99"/>
      <c r="BC52" s="99"/>
      <c r="BD52" s="99"/>
    </row>
    <row r="53" spans="1:56" x14ac:dyDescent="0.25">
      <c r="A53" s="37">
        <f>'07 SEMANA'!A14</f>
        <v>0</v>
      </c>
      <c r="B53" s="38">
        <f>'07 SEMANA'!B14</f>
        <v>0</v>
      </c>
      <c r="C53" s="38">
        <f>'07 SEMANA'!C14</f>
        <v>0</v>
      </c>
      <c r="D53" s="38">
        <f>+'07 SEMANA'!D13</f>
        <v>0</v>
      </c>
      <c r="E53" s="100"/>
      <c r="F53" s="100"/>
      <c r="G53" s="99"/>
      <c r="H53" s="101"/>
      <c r="I53" s="102"/>
      <c r="J53" s="103"/>
      <c r="K53" s="99"/>
      <c r="L53" s="100">
        <f>+'07 SEMANA'!F13</f>
        <v>0</v>
      </c>
      <c r="M53" s="100">
        <f>+'07 SEMANA'!G13</f>
        <v>0</v>
      </c>
      <c r="N53" s="100">
        <f>+'07 SEMANA'!H13</f>
        <v>0</v>
      </c>
      <c r="O53" s="100">
        <f>+'07 SEMANA'!I13</f>
        <v>0</v>
      </c>
      <c r="P53" s="100">
        <f>+'07 SEMANA'!J13</f>
        <v>0</v>
      </c>
      <c r="Q53" s="100">
        <f>+'07 SEMANA'!N13</f>
        <v>0</v>
      </c>
      <c r="R53" s="99"/>
      <c r="S53" s="99"/>
      <c r="T53" s="99"/>
      <c r="U53" s="99"/>
      <c r="V53" s="99"/>
      <c r="W53" s="99"/>
      <c r="X53" s="99"/>
      <c r="Y53" s="99"/>
      <c r="Z53" s="99"/>
      <c r="AA53" s="99"/>
      <c r="AB53" s="99"/>
      <c r="AC53" s="99"/>
      <c r="AD53" s="99"/>
      <c r="AE53" s="99"/>
      <c r="AF53" s="99"/>
      <c r="AG53" s="99"/>
      <c r="AH53" s="99"/>
      <c r="AI53" s="99"/>
      <c r="AJ53" s="99"/>
      <c r="AK53" s="99"/>
      <c r="AL53" s="99"/>
      <c r="AM53" s="99"/>
      <c r="AN53" s="99"/>
      <c r="AO53" s="99"/>
      <c r="AP53" s="99"/>
      <c r="AQ53" s="99"/>
      <c r="AR53" s="99"/>
      <c r="AS53" s="99"/>
      <c r="AT53" s="99"/>
      <c r="AU53" s="99"/>
      <c r="AV53" s="99"/>
      <c r="AW53" s="99"/>
      <c r="AX53" s="99"/>
      <c r="AY53" s="99"/>
      <c r="AZ53" s="99"/>
      <c r="BA53" s="99"/>
      <c r="BB53" s="99"/>
      <c r="BC53" s="99"/>
      <c r="BD53" s="99"/>
    </row>
    <row r="54" spans="1:56" x14ac:dyDescent="0.25">
      <c r="A54" s="37">
        <f>'08 SEMANA'!A9</f>
        <v>46075</v>
      </c>
      <c r="B54" s="38">
        <f>'08 SEMANA'!B9</f>
        <v>477</v>
      </c>
      <c r="C54" s="38" t="str">
        <f>'08 SEMANA'!C9</f>
        <v xml:space="preserve">JOSE URIEL BAUTISTA </v>
      </c>
      <c r="D54" s="38">
        <f>+'07 SEMANA'!D14</f>
        <v>0</v>
      </c>
      <c r="E54" s="100"/>
      <c r="F54" s="100"/>
      <c r="G54" s="99"/>
      <c r="H54" s="101"/>
      <c r="I54" s="102"/>
      <c r="J54" s="103"/>
      <c r="K54" s="99"/>
      <c r="L54" s="100">
        <f>+'07 SEMANA'!F14</f>
        <v>0</v>
      </c>
      <c r="M54" s="100">
        <f>+'07 SEMANA'!G14</f>
        <v>0</v>
      </c>
      <c r="N54" s="100">
        <f>+'07 SEMANA'!H14</f>
        <v>0</v>
      </c>
      <c r="O54" s="100">
        <f>+'07 SEMANA'!I14</f>
        <v>0</v>
      </c>
      <c r="P54" s="100">
        <f>+'07 SEMANA'!J14</f>
        <v>0</v>
      </c>
      <c r="Q54" s="100">
        <f>+'07 SEMANA'!N14</f>
        <v>0</v>
      </c>
      <c r="R54" s="99"/>
      <c r="S54" s="99"/>
      <c r="T54" s="99"/>
      <c r="U54" s="99"/>
      <c r="V54" s="99"/>
      <c r="W54" s="99"/>
      <c r="X54" s="99"/>
      <c r="Y54" s="99"/>
      <c r="Z54" s="99"/>
      <c r="AA54" s="99"/>
      <c r="AB54" s="99"/>
      <c r="AC54" s="99"/>
      <c r="AD54" s="99"/>
      <c r="AE54" s="99"/>
      <c r="AF54" s="99"/>
      <c r="AG54" s="99"/>
      <c r="AH54" s="99"/>
      <c r="AI54" s="99"/>
      <c r="AJ54" s="99"/>
      <c r="AK54" s="99"/>
      <c r="AL54" s="99"/>
      <c r="AM54" s="99"/>
      <c r="AN54" s="99"/>
      <c r="AO54" s="99"/>
      <c r="AP54" s="99"/>
      <c r="AQ54" s="99"/>
      <c r="AR54" s="99"/>
      <c r="AS54" s="99"/>
      <c r="AT54" s="99"/>
      <c r="AU54" s="99"/>
      <c r="AV54" s="99"/>
      <c r="AW54" s="99"/>
      <c r="AX54" s="99"/>
      <c r="AY54" s="99"/>
      <c r="AZ54" s="99"/>
      <c r="BA54" s="99"/>
      <c r="BB54" s="99"/>
      <c r="BC54" s="99"/>
      <c r="BD54" s="99"/>
    </row>
    <row r="55" spans="1:56" x14ac:dyDescent="0.25">
      <c r="A55" s="37">
        <f>'08 SEMANA'!A10</f>
        <v>46075</v>
      </c>
      <c r="B55" s="38">
        <f>'08 SEMANA'!B10</f>
        <v>485</v>
      </c>
      <c r="C55" s="38" t="str">
        <f>'08 SEMANA'!C10</f>
        <v xml:space="preserve">ULISES ALVAREZ Martínez </v>
      </c>
      <c r="D55" s="38" t="str">
        <f>+'08 SEMANA'!D9</f>
        <v xml:space="preserve">COMEDOR </v>
      </c>
      <c r="E55" s="100"/>
      <c r="F55" s="100"/>
      <c r="G55" s="99"/>
      <c r="H55" s="101"/>
      <c r="I55" s="102"/>
      <c r="J55" s="103"/>
      <c r="K55" s="99"/>
      <c r="L55" s="99"/>
      <c r="M55" s="100">
        <f>+'08 SEMANA'!F9</f>
        <v>0</v>
      </c>
      <c r="N55" s="100">
        <f>+'08 SEMANA'!G9</f>
        <v>0</v>
      </c>
      <c r="O55" s="100">
        <f>+'08 SEMANA'!H9</f>
        <v>0</v>
      </c>
      <c r="P55" s="100">
        <f>+'08 SEMANA'!I9</f>
        <v>0</v>
      </c>
      <c r="Q55" s="100">
        <f>+'08 SEMANA'!J9</f>
        <v>0</v>
      </c>
      <c r="R55" s="100">
        <f>+'08 SEMANA'!N9</f>
        <v>0</v>
      </c>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row>
    <row r="56" spans="1:56" x14ac:dyDescent="0.25">
      <c r="A56" s="37">
        <f>'08 SEMANA'!A11</f>
        <v>46075</v>
      </c>
      <c r="B56" s="38">
        <f>'08 SEMANA'!B11</f>
        <v>596</v>
      </c>
      <c r="C56" s="38" t="str">
        <f>'08 SEMANA'!C11</f>
        <v>José ALBERTO Sánchez Álvarez</v>
      </c>
      <c r="D56" s="38" t="str">
        <f>+'08 SEMANA'!D10</f>
        <v xml:space="preserve">COMEDOR </v>
      </c>
      <c r="E56" s="100"/>
      <c r="F56" s="100"/>
      <c r="G56" s="99"/>
      <c r="H56" s="101"/>
      <c r="I56" s="102"/>
      <c r="J56" s="103"/>
      <c r="K56" s="99"/>
      <c r="L56" s="99"/>
      <c r="M56" s="100">
        <f>+'08 SEMANA'!F10</f>
        <v>0</v>
      </c>
      <c r="N56" s="100">
        <f>+'08 SEMANA'!G10</f>
        <v>0</v>
      </c>
      <c r="O56" s="100">
        <f>+'08 SEMANA'!H10</f>
        <v>0</v>
      </c>
      <c r="P56" s="100">
        <f>+'08 SEMANA'!I10</f>
        <v>0</v>
      </c>
      <c r="Q56" s="100">
        <f>+'08 SEMANA'!J10</f>
        <v>0</v>
      </c>
      <c r="R56" s="100">
        <f>+'08 SEMANA'!N10</f>
        <v>0</v>
      </c>
      <c r="S56" s="99"/>
      <c r="T56" s="99"/>
      <c r="U56" s="99"/>
      <c r="V56" s="99"/>
      <c r="W56" s="99"/>
      <c r="X56" s="99"/>
      <c r="Y56" s="99"/>
      <c r="Z56" s="99"/>
      <c r="AA56" s="99"/>
      <c r="AB56" s="99"/>
      <c r="AC56" s="99"/>
      <c r="AD56" s="99"/>
      <c r="AE56" s="99"/>
      <c r="AF56" s="99"/>
      <c r="AG56" s="99"/>
      <c r="AH56" s="99"/>
      <c r="AI56" s="99"/>
      <c r="AJ56" s="99"/>
      <c r="AK56" s="99"/>
      <c r="AL56" s="99"/>
      <c r="AM56" s="99"/>
      <c r="AN56" s="99"/>
      <c r="AO56" s="99"/>
      <c r="AP56" s="99"/>
      <c r="AQ56" s="99"/>
      <c r="AR56" s="99"/>
      <c r="AS56" s="99"/>
      <c r="AT56" s="99"/>
      <c r="AU56" s="99"/>
      <c r="AV56" s="99"/>
      <c r="AW56" s="99"/>
      <c r="AX56" s="99"/>
      <c r="AY56" s="99"/>
      <c r="AZ56" s="99"/>
      <c r="BA56" s="99"/>
      <c r="BB56" s="99"/>
      <c r="BC56" s="99"/>
      <c r="BD56" s="99"/>
    </row>
    <row r="57" spans="1:56" x14ac:dyDescent="0.25">
      <c r="A57" s="37">
        <f>'08 SEMANA'!A12</f>
        <v>0</v>
      </c>
      <c r="B57" s="38">
        <f>'08 SEMANA'!B12</f>
        <v>0</v>
      </c>
      <c r="C57" s="38">
        <f>'08 SEMANA'!C12</f>
        <v>0</v>
      </c>
      <c r="D57" s="38" t="str">
        <f>+'08 SEMANA'!D11</f>
        <v xml:space="preserve">COMEDOR </v>
      </c>
      <c r="E57" s="100"/>
      <c r="F57" s="100"/>
      <c r="G57" s="99"/>
      <c r="H57" s="101"/>
      <c r="I57" s="102"/>
      <c r="J57" s="103"/>
      <c r="K57" s="99"/>
      <c r="L57" s="99"/>
      <c r="M57" s="100">
        <f>+'08 SEMANA'!F11</f>
        <v>0</v>
      </c>
      <c r="N57" s="100">
        <f>+'08 SEMANA'!G11</f>
        <v>0</v>
      </c>
      <c r="O57" s="100">
        <f>+'08 SEMANA'!H11</f>
        <v>0</v>
      </c>
      <c r="P57" s="100">
        <f>+'08 SEMANA'!I11</f>
        <v>0</v>
      </c>
      <c r="Q57" s="100">
        <f>+'08 SEMANA'!J11</f>
        <v>0</v>
      </c>
      <c r="R57" s="100">
        <f>+'08 SEMANA'!N11</f>
        <v>0</v>
      </c>
      <c r="S57" s="99"/>
      <c r="T57" s="99"/>
      <c r="U57" s="99"/>
      <c r="V57" s="99"/>
      <c r="W57" s="99"/>
      <c r="X57" s="99"/>
      <c r="Y57" s="99"/>
      <c r="Z57" s="99"/>
      <c r="AA57" s="99"/>
      <c r="AB57" s="99"/>
      <c r="AC57" s="99"/>
      <c r="AD57" s="99"/>
      <c r="AE57" s="99"/>
      <c r="AF57" s="99"/>
      <c r="AG57" s="99"/>
      <c r="AH57" s="99"/>
      <c r="AI57" s="99"/>
      <c r="AJ57" s="99"/>
      <c r="AK57" s="99"/>
      <c r="AL57" s="99"/>
      <c r="AM57" s="99"/>
      <c r="AN57" s="99"/>
      <c r="AO57" s="99"/>
      <c r="AP57" s="99"/>
      <c r="AQ57" s="99"/>
      <c r="AR57" s="99"/>
      <c r="AS57" s="99"/>
      <c r="AT57" s="99"/>
      <c r="AU57" s="99"/>
      <c r="AV57" s="99"/>
      <c r="AW57" s="99"/>
      <c r="AX57" s="99"/>
      <c r="AY57" s="99"/>
      <c r="AZ57" s="99"/>
      <c r="BA57" s="99"/>
      <c r="BB57" s="99"/>
      <c r="BC57" s="99"/>
      <c r="BD57" s="99"/>
    </row>
    <row r="58" spans="1:56" x14ac:dyDescent="0.25">
      <c r="A58" s="37">
        <f>'08 SEMANA'!A13</f>
        <v>0</v>
      </c>
      <c r="B58" s="38">
        <f>'08 SEMANA'!B13</f>
        <v>0</v>
      </c>
      <c r="C58" s="38">
        <f>'08 SEMANA'!C13</f>
        <v>0</v>
      </c>
      <c r="D58" s="38">
        <f>+'08 SEMANA'!D12</f>
        <v>0</v>
      </c>
      <c r="E58" s="100"/>
      <c r="F58" s="100"/>
      <c r="G58" s="99"/>
      <c r="H58" s="101"/>
      <c r="I58" s="102"/>
      <c r="J58" s="103"/>
      <c r="K58" s="99"/>
      <c r="L58" s="99"/>
      <c r="M58" s="100">
        <f>+'08 SEMANA'!F12</f>
        <v>0</v>
      </c>
      <c r="N58" s="100">
        <f>+'08 SEMANA'!G12</f>
        <v>0</v>
      </c>
      <c r="O58" s="100">
        <f>+'08 SEMANA'!H12</f>
        <v>0</v>
      </c>
      <c r="P58" s="100">
        <f>+'08 SEMANA'!I12</f>
        <v>0</v>
      </c>
      <c r="Q58" s="100">
        <f>+'08 SEMANA'!J12</f>
        <v>0</v>
      </c>
      <c r="R58" s="100">
        <f>+'08 SEMANA'!N12</f>
        <v>0</v>
      </c>
      <c r="S58" s="99"/>
      <c r="T58" s="99"/>
      <c r="U58" s="99"/>
      <c r="V58" s="99"/>
      <c r="W58" s="99"/>
      <c r="X58" s="99"/>
      <c r="Y58" s="99"/>
      <c r="Z58" s="99"/>
      <c r="AA58" s="99"/>
      <c r="AB58" s="99"/>
      <c r="AC58" s="99"/>
      <c r="AD58" s="99"/>
      <c r="AE58" s="99"/>
      <c r="AF58" s="99"/>
      <c r="AG58" s="99"/>
      <c r="AH58" s="99"/>
      <c r="AI58" s="99"/>
      <c r="AJ58" s="99"/>
      <c r="AK58" s="99"/>
      <c r="AL58" s="99"/>
      <c r="AM58" s="99"/>
      <c r="AN58" s="99"/>
      <c r="AO58" s="99"/>
      <c r="AP58" s="99"/>
      <c r="AQ58" s="99"/>
      <c r="AR58" s="99"/>
      <c r="AS58" s="99"/>
      <c r="AT58" s="99"/>
      <c r="AU58" s="99"/>
      <c r="AV58" s="99"/>
      <c r="AW58" s="99"/>
      <c r="AX58" s="99"/>
      <c r="AY58" s="99"/>
      <c r="AZ58" s="99"/>
      <c r="BA58" s="99"/>
      <c r="BB58" s="99"/>
      <c r="BC58" s="99"/>
      <c r="BD58" s="99"/>
    </row>
    <row r="59" spans="1:56" x14ac:dyDescent="0.25">
      <c r="A59" s="37">
        <f>'08 SEMANA'!A14</f>
        <v>0</v>
      </c>
      <c r="B59" s="38">
        <f>'08 SEMANA'!B14</f>
        <v>0</v>
      </c>
      <c r="C59" s="38">
        <f>'08 SEMANA'!C14</f>
        <v>0</v>
      </c>
      <c r="D59" s="38">
        <f>+'08 SEMANA'!D13</f>
        <v>0</v>
      </c>
      <c r="E59" s="100"/>
      <c r="F59" s="100"/>
      <c r="G59" s="99"/>
      <c r="H59" s="101"/>
      <c r="I59" s="102"/>
      <c r="J59" s="103"/>
      <c r="K59" s="99"/>
      <c r="L59" s="99"/>
      <c r="M59" s="100">
        <f>+'08 SEMANA'!F13</f>
        <v>0</v>
      </c>
      <c r="N59" s="100">
        <f>+'08 SEMANA'!G13</f>
        <v>0</v>
      </c>
      <c r="O59" s="100">
        <f>+'08 SEMANA'!H13</f>
        <v>0</v>
      </c>
      <c r="P59" s="100">
        <f>+'08 SEMANA'!I13</f>
        <v>0</v>
      </c>
      <c r="Q59" s="100">
        <f>+'08 SEMANA'!J13</f>
        <v>0</v>
      </c>
      <c r="R59" s="100">
        <f>+'08 SEMANA'!N13</f>
        <v>0</v>
      </c>
      <c r="S59" s="99"/>
      <c r="T59" s="99"/>
      <c r="U59" s="99"/>
      <c r="V59" s="99"/>
      <c r="W59" s="99"/>
      <c r="X59" s="99"/>
      <c r="Y59" s="99"/>
      <c r="Z59" s="99"/>
      <c r="AA59" s="99"/>
      <c r="AB59" s="99"/>
      <c r="AC59" s="99"/>
      <c r="AD59" s="99"/>
      <c r="AE59" s="99"/>
      <c r="AF59" s="99"/>
      <c r="AG59" s="99"/>
      <c r="AH59" s="99"/>
      <c r="AI59" s="99"/>
      <c r="AJ59" s="99"/>
      <c r="AK59" s="99"/>
      <c r="AL59" s="99"/>
      <c r="AM59" s="99"/>
      <c r="AN59" s="99"/>
      <c r="AO59" s="99"/>
      <c r="AP59" s="99"/>
      <c r="AQ59" s="99"/>
      <c r="AR59" s="99"/>
      <c r="AS59" s="99"/>
      <c r="AT59" s="99"/>
      <c r="AU59" s="99"/>
      <c r="AV59" s="99"/>
      <c r="AW59" s="99"/>
      <c r="AX59" s="99"/>
      <c r="AY59" s="99"/>
      <c r="AZ59" s="99"/>
      <c r="BA59" s="99"/>
      <c r="BB59" s="99"/>
      <c r="BC59" s="99"/>
      <c r="BD59" s="99"/>
    </row>
    <row r="60" spans="1:56" x14ac:dyDescent="0.25">
      <c r="A60" s="37">
        <f>'09 SEMANA'!A9</f>
        <v>0</v>
      </c>
      <c r="B60" s="38">
        <f>'09 SEMANA'!B9</f>
        <v>0</v>
      </c>
      <c r="C60" s="38">
        <f>'09 SEMANA'!C9</f>
        <v>0</v>
      </c>
      <c r="D60" s="38">
        <f>+'08 SEMANA'!D14</f>
        <v>0</v>
      </c>
      <c r="E60" s="100"/>
      <c r="F60" s="100"/>
      <c r="G60" s="99"/>
      <c r="H60" s="101"/>
      <c r="I60" s="102"/>
      <c r="J60" s="103"/>
      <c r="K60" s="99"/>
      <c r="L60" s="99"/>
      <c r="M60" s="100">
        <f>+'08 SEMANA'!F14</f>
        <v>0</v>
      </c>
      <c r="N60" s="100">
        <f>+'08 SEMANA'!G14</f>
        <v>0</v>
      </c>
      <c r="O60" s="100">
        <f>+'08 SEMANA'!H14</f>
        <v>0</v>
      </c>
      <c r="P60" s="100">
        <f>+'08 SEMANA'!I14</f>
        <v>0</v>
      </c>
      <c r="Q60" s="100">
        <f>+'08 SEMANA'!J14</f>
        <v>0</v>
      </c>
      <c r="R60" s="100">
        <f>+'08 SEMANA'!N14</f>
        <v>0</v>
      </c>
      <c r="S60" s="99"/>
      <c r="T60" s="99"/>
      <c r="U60" s="99"/>
      <c r="V60" s="99"/>
      <c r="W60" s="99"/>
      <c r="X60" s="99"/>
      <c r="Y60" s="99"/>
      <c r="Z60" s="99"/>
      <c r="AA60" s="99"/>
      <c r="AB60" s="99"/>
      <c r="AC60" s="99"/>
      <c r="AD60" s="99"/>
      <c r="AE60" s="99"/>
      <c r="AF60" s="99"/>
      <c r="AG60" s="99"/>
      <c r="AH60" s="99"/>
      <c r="AI60" s="99"/>
      <c r="AJ60" s="99"/>
      <c r="AK60" s="99"/>
      <c r="AL60" s="99"/>
      <c r="AM60" s="99"/>
      <c r="AN60" s="99"/>
      <c r="AO60" s="99"/>
      <c r="AP60" s="99"/>
      <c r="AQ60" s="99"/>
      <c r="AR60" s="99"/>
      <c r="AS60" s="99"/>
      <c r="AT60" s="99"/>
      <c r="AU60" s="99"/>
      <c r="AV60" s="99"/>
      <c r="AW60" s="99"/>
      <c r="AX60" s="99"/>
      <c r="AY60" s="99"/>
      <c r="AZ60" s="99"/>
      <c r="BA60" s="99"/>
      <c r="BB60" s="99"/>
      <c r="BC60" s="99"/>
      <c r="BD60" s="99"/>
    </row>
    <row r="61" spans="1:56" x14ac:dyDescent="0.25">
      <c r="A61" s="37">
        <f>'09 SEMANA'!A10</f>
        <v>0</v>
      </c>
      <c r="B61" s="38">
        <f>'09 SEMANA'!B10</f>
        <v>0</v>
      </c>
      <c r="C61" s="38">
        <f>'09 SEMANA'!C10</f>
        <v>0</v>
      </c>
      <c r="D61" s="38">
        <f>+'09 SEMANA'!E9</f>
        <v>0</v>
      </c>
      <c r="E61" s="100"/>
      <c r="F61" s="100"/>
      <c r="G61" s="99"/>
      <c r="H61" s="101"/>
      <c r="I61" s="102"/>
      <c r="J61" s="103"/>
      <c r="K61" s="99"/>
      <c r="L61" s="99"/>
      <c r="M61" s="99"/>
      <c r="N61" s="100">
        <f>+'09 SEMANA'!F9</f>
        <v>0</v>
      </c>
      <c r="O61" s="100">
        <f>+'09 SEMANA'!G9</f>
        <v>0</v>
      </c>
      <c r="P61" s="100">
        <f>+'09 SEMANA'!H9</f>
        <v>0</v>
      </c>
      <c r="Q61" s="100">
        <f>+'09 SEMANA'!I9</f>
        <v>0</v>
      </c>
      <c r="R61" s="100">
        <f>+'09 SEMANA'!J9</f>
        <v>0</v>
      </c>
      <c r="S61" s="100">
        <f>+'09 SEMANA'!O9</f>
        <v>0</v>
      </c>
      <c r="T61" s="99"/>
      <c r="U61" s="99"/>
      <c r="V61" s="99"/>
      <c r="W61" s="99"/>
      <c r="X61" s="99"/>
      <c r="Y61" s="99"/>
      <c r="Z61" s="99"/>
      <c r="AA61" s="99"/>
      <c r="AB61" s="99"/>
      <c r="AC61" s="99"/>
      <c r="AD61" s="99"/>
      <c r="AE61" s="99"/>
      <c r="AF61" s="99"/>
      <c r="AG61" s="99"/>
      <c r="AH61" s="99"/>
      <c r="AI61" s="99"/>
      <c r="AJ61" s="99"/>
      <c r="AK61" s="99"/>
      <c r="AL61" s="99"/>
      <c r="AM61" s="99"/>
      <c r="AN61" s="99"/>
      <c r="AO61" s="99"/>
      <c r="AP61" s="99"/>
      <c r="AQ61" s="99"/>
      <c r="AR61" s="99"/>
      <c r="AS61" s="99"/>
      <c r="AT61" s="99"/>
      <c r="AU61" s="99"/>
      <c r="AV61" s="99"/>
      <c r="AW61" s="99"/>
      <c r="AX61" s="99"/>
      <c r="AY61" s="99"/>
      <c r="AZ61" s="99"/>
      <c r="BA61" s="99"/>
      <c r="BB61" s="99"/>
      <c r="BC61" s="99"/>
      <c r="BD61" s="99"/>
    </row>
    <row r="62" spans="1:56" x14ac:dyDescent="0.25">
      <c r="A62" s="37">
        <f>'09 SEMANA'!A11</f>
        <v>0</v>
      </c>
      <c r="B62" s="38">
        <f>'09 SEMANA'!B11</f>
        <v>0</v>
      </c>
      <c r="C62" s="38">
        <f>'09 SEMANA'!C11</f>
        <v>0</v>
      </c>
      <c r="D62" s="38">
        <f>+'09 SEMANA'!E10</f>
        <v>0</v>
      </c>
      <c r="E62" s="100"/>
      <c r="F62" s="100"/>
      <c r="G62" s="99"/>
      <c r="H62" s="101"/>
      <c r="I62" s="102"/>
      <c r="J62" s="103"/>
      <c r="K62" s="99"/>
      <c r="L62" s="99"/>
      <c r="M62" s="99"/>
      <c r="N62" s="100">
        <f>+'09 SEMANA'!F10</f>
        <v>0</v>
      </c>
      <c r="O62" s="100">
        <f>+'09 SEMANA'!G10</f>
        <v>0</v>
      </c>
      <c r="P62" s="100">
        <f>+'09 SEMANA'!H10</f>
        <v>0</v>
      </c>
      <c r="Q62" s="100">
        <f>+'09 SEMANA'!I10</f>
        <v>0</v>
      </c>
      <c r="R62" s="100">
        <f>+'09 SEMANA'!J10</f>
        <v>0</v>
      </c>
      <c r="S62" s="100">
        <f>+'09 SEMANA'!O10</f>
        <v>0</v>
      </c>
      <c r="T62" s="99"/>
      <c r="U62" s="99"/>
      <c r="V62" s="99"/>
      <c r="W62" s="99"/>
      <c r="X62" s="99"/>
      <c r="Y62" s="99"/>
      <c r="Z62" s="99"/>
      <c r="AA62" s="99"/>
      <c r="AB62" s="99"/>
      <c r="AC62" s="99"/>
      <c r="AD62" s="99"/>
      <c r="AE62" s="99"/>
      <c r="AF62" s="99"/>
      <c r="AG62" s="99"/>
      <c r="AH62" s="99"/>
      <c r="AI62" s="99"/>
      <c r="AJ62" s="99"/>
      <c r="AK62" s="99"/>
      <c r="AL62" s="99"/>
      <c r="AM62" s="99"/>
      <c r="AN62" s="99"/>
      <c r="AO62" s="99"/>
      <c r="AP62" s="99"/>
      <c r="AQ62" s="99"/>
      <c r="AR62" s="99"/>
      <c r="AS62" s="99"/>
      <c r="AT62" s="99"/>
      <c r="AU62" s="99"/>
      <c r="AV62" s="99"/>
      <c r="AW62" s="99"/>
      <c r="AX62" s="99"/>
      <c r="AY62" s="99"/>
      <c r="AZ62" s="99"/>
      <c r="BA62" s="99"/>
      <c r="BB62" s="99"/>
      <c r="BC62" s="99"/>
      <c r="BD62" s="99"/>
    </row>
    <row r="63" spans="1:56" x14ac:dyDescent="0.25">
      <c r="A63" s="37">
        <f>'09 SEMANA'!A12</f>
        <v>0</v>
      </c>
      <c r="B63" s="38">
        <f>'09 SEMANA'!B12</f>
        <v>0</v>
      </c>
      <c r="C63" s="38">
        <f>'09 SEMANA'!C12</f>
        <v>0</v>
      </c>
      <c r="D63" s="38">
        <f>+'09 SEMANA'!E11</f>
        <v>0</v>
      </c>
      <c r="E63" s="100"/>
      <c r="F63" s="100"/>
      <c r="G63" s="99"/>
      <c r="H63" s="101"/>
      <c r="I63" s="102"/>
      <c r="J63" s="103"/>
      <c r="K63" s="99"/>
      <c r="L63" s="99"/>
      <c r="M63" s="99"/>
      <c r="N63" s="100">
        <f>+'09 SEMANA'!F11</f>
        <v>0</v>
      </c>
      <c r="O63" s="100">
        <f>+'09 SEMANA'!G11</f>
        <v>0</v>
      </c>
      <c r="P63" s="100">
        <f>+'09 SEMANA'!H11</f>
        <v>0</v>
      </c>
      <c r="Q63" s="100">
        <f>+'09 SEMANA'!I11</f>
        <v>0</v>
      </c>
      <c r="R63" s="100">
        <f>+'09 SEMANA'!J11</f>
        <v>0</v>
      </c>
      <c r="S63" s="100">
        <f>+'09 SEMANA'!O11</f>
        <v>0</v>
      </c>
      <c r="T63" s="99"/>
      <c r="U63" s="99"/>
      <c r="V63" s="99"/>
      <c r="W63" s="99"/>
      <c r="X63" s="99"/>
      <c r="Y63" s="99"/>
      <c r="Z63" s="99"/>
      <c r="AA63" s="99"/>
      <c r="AB63" s="99"/>
      <c r="AC63" s="99"/>
      <c r="AD63" s="99"/>
      <c r="AE63" s="99"/>
      <c r="AF63" s="99"/>
      <c r="AG63" s="99"/>
      <c r="AH63" s="99"/>
      <c r="AI63" s="99"/>
      <c r="AJ63" s="99"/>
      <c r="AK63" s="99"/>
      <c r="AL63" s="99"/>
      <c r="AM63" s="99"/>
      <c r="AN63" s="99"/>
      <c r="AO63" s="99"/>
      <c r="AP63" s="99"/>
      <c r="AQ63" s="99"/>
      <c r="AR63" s="99"/>
      <c r="AS63" s="99"/>
      <c r="AT63" s="99"/>
      <c r="AU63" s="99"/>
      <c r="AV63" s="99"/>
      <c r="AW63" s="99"/>
      <c r="AX63" s="99"/>
      <c r="AY63" s="99"/>
      <c r="AZ63" s="99"/>
      <c r="BA63" s="99"/>
      <c r="BB63" s="99"/>
      <c r="BC63" s="99"/>
      <c r="BD63" s="99"/>
    </row>
    <row r="64" spans="1:56" x14ac:dyDescent="0.25">
      <c r="A64" s="37">
        <f>'09 SEMANA'!A13</f>
        <v>0</v>
      </c>
      <c r="B64" s="38">
        <f>'09 SEMANA'!B13</f>
        <v>0</v>
      </c>
      <c r="C64" s="38">
        <f>'09 SEMANA'!C13</f>
        <v>0</v>
      </c>
      <c r="D64" s="38">
        <f>+'09 SEMANA'!E12</f>
        <v>0</v>
      </c>
      <c r="E64" s="100"/>
      <c r="F64" s="100"/>
      <c r="G64" s="99"/>
      <c r="H64" s="101"/>
      <c r="I64" s="102"/>
      <c r="J64" s="103"/>
      <c r="K64" s="99"/>
      <c r="L64" s="99"/>
      <c r="M64" s="99"/>
      <c r="N64" s="100">
        <f>+'09 SEMANA'!F12</f>
        <v>0</v>
      </c>
      <c r="O64" s="100">
        <f>+'09 SEMANA'!G12</f>
        <v>0</v>
      </c>
      <c r="P64" s="100">
        <f>+'09 SEMANA'!H12</f>
        <v>0</v>
      </c>
      <c r="Q64" s="100">
        <f>+'09 SEMANA'!I12</f>
        <v>0</v>
      </c>
      <c r="R64" s="100">
        <f>+'09 SEMANA'!J12</f>
        <v>0</v>
      </c>
      <c r="S64" s="100">
        <f>+'09 SEMANA'!O12</f>
        <v>0</v>
      </c>
      <c r="T64" s="99"/>
      <c r="U64" s="99"/>
      <c r="V64" s="99"/>
      <c r="W64" s="99"/>
      <c r="X64" s="99"/>
      <c r="Y64" s="99"/>
      <c r="Z64" s="99"/>
      <c r="AA64" s="99"/>
      <c r="AB64" s="99"/>
      <c r="AC64" s="99"/>
      <c r="AD64" s="99"/>
      <c r="AE64" s="99"/>
      <c r="AF64" s="99"/>
      <c r="AG64" s="99"/>
      <c r="AH64" s="99"/>
      <c r="AI64" s="99"/>
      <c r="AJ64" s="99"/>
      <c r="AK64" s="99"/>
      <c r="AL64" s="99"/>
      <c r="AM64" s="99"/>
      <c r="AN64" s="99"/>
      <c r="AO64" s="99"/>
      <c r="AP64" s="99"/>
      <c r="AQ64" s="99"/>
      <c r="AR64" s="99"/>
      <c r="AS64" s="99"/>
      <c r="AT64" s="99"/>
      <c r="AU64" s="99"/>
      <c r="AV64" s="99"/>
      <c r="AW64" s="99"/>
      <c r="AX64" s="99"/>
      <c r="AY64" s="99"/>
      <c r="AZ64" s="99"/>
      <c r="BA64" s="99"/>
      <c r="BB64" s="99"/>
      <c r="BC64" s="99"/>
      <c r="BD64" s="99"/>
    </row>
    <row r="65" spans="1:56" x14ac:dyDescent="0.25">
      <c r="A65" s="37">
        <f>'09 SEMANA'!A14</f>
        <v>0</v>
      </c>
      <c r="B65" s="38">
        <f>'09 SEMANA'!B14</f>
        <v>0</v>
      </c>
      <c r="C65" s="38">
        <f>'09 SEMANA'!C14</f>
        <v>0</v>
      </c>
      <c r="D65" s="38">
        <f>+'09 SEMANA'!E13</f>
        <v>0</v>
      </c>
      <c r="E65" s="100"/>
      <c r="F65" s="100"/>
      <c r="G65" s="99"/>
      <c r="H65" s="101"/>
      <c r="I65" s="102"/>
      <c r="J65" s="103"/>
      <c r="K65" s="99"/>
      <c r="L65" s="99"/>
      <c r="M65" s="99"/>
      <c r="N65" s="100">
        <f>+'09 SEMANA'!F13</f>
        <v>0</v>
      </c>
      <c r="O65" s="100">
        <f>+'09 SEMANA'!G13</f>
        <v>0</v>
      </c>
      <c r="P65" s="100">
        <f>+'09 SEMANA'!H13</f>
        <v>0</v>
      </c>
      <c r="Q65" s="100">
        <f>+'09 SEMANA'!I13</f>
        <v>0</v>
      </c>
      <c r="R65" s="100">
        <f>+'09 SEMANA'!J13</f>
        <v>0</v>
      </c>
      <c r="S65" s="100">
        <f>+'09 SEMANA'!O13</f>
        <v>0</v>
      </c>
      <c r="T65" s="99"/>
      <c r="U65" s="99"/>
      <c r="V65" s="99"/>
      <c r="W65" s="99"/>
      <c r="X65" s="99"/>
      <c r="Y65" s="99"/>
      <c r="Z65" s="99"/>
      <c r="AA65" s="99"/>
      <c r="AB65" s="99"/>
      <c r="AC65" s="99"/>
      <c r="AD65" s="99"/>
      <c r="AE65" s="99"/>
      <c r="AF65" s="99"/>
      <c r="AG65" s="99"/>
      <c r="AH65" s="99"/>
      <c r="AI65" s="99"/>
      <c r="AJ65" s="99"/>
      <c r="AK65" s="99"/>
      <c r="AL65" s="99"/>
      <c r="AM65" s="99"/>
      <c r="AN65" s="99"/>
      <c r="AO65" s="99"/>
      <c r="AP65" s="99"/>
      <c r="AQ65" s="99"/>
      <c r="AR65" s="99"/>
      <c r="AS65" s="99"/>
      <c r="AT65" s="99"/>
      <c r="AU65" s="99"/>
      <c r="AV65" s="99"/>
      <c r="AW65" s="99"/>
      <c r="AX65" s="99"/>
      <c r="AY65" s="99"/>
      <c r="AZ65" s="99"/>
      <c r="BA65" s="99"/>
      <c r="BB65" s="99"/>
      <c r="BC65" s="99"/>
      <c r="BD65" s="99"/>
    </row>
    <row r="66" spans="1:56" x14ac:dyDescent="0.25">
      <c r="A66" s="37">
        <f>'10 SEMANA '!A9</f>
        <v>0</v>
      </c>
      <c r="B66" s="38">
        <f>'10 SEMANA '!B9</f>
        <v>0</v>
      </c>
      <c r="C66" s="38">
        <f>'10 SEMANA '!C9</f>
        <v>0</v>
      </c>
      <c r="D66" s="38">
        <f>+'09 SEMANA'!E14</f>
        <v>0</v>
      </c>
      <c r="E66" s="100"/>
      <c r="F66" s="100"/>
      <c r="G66" s="99"/>
      <c r="H66" s="101"/>
      <c r="I66" s="102"/>
      <c r="J66" s="103"/>
      <c r="K66" s="99"/>
      <c r="L66" s="99"/>
      <c r="M66" s="99"/>
      <c r="N66" s="100">
        <f>+'09 SEMANA'!F14</f>
        <v>0</v>
      </c>
      <c r="O66" s="100">
        <f>+'09 SEMANA'!G14</f>
        <v>0</v>
      </c>
      <c r="P66" s="100">
        <f>+'09 SEMANA'!H14</f>
        <v>0</v>
      </c>
      <c r="Q66" s="100">
        <f>+'09 SEMANA'!I14</f>
        <v>0</v>
      </c>
      <c r="R66" s="100">
        <f>+'09 SEMANA'!J14</f>
        <v>0</v>
      </c>
      <c r="S66" s="100">
        <f>+'09 SEMANA'!O14</f>
        <v>0</v>
      </c>
      <c r="T66" s="99"/>
      <c r="U66" s="99"/>
      <c r="V66" s="99"/>
      <c r="W66" s="99"/>
      <c r="X66" s="99"/>
      <c r="Y66" s="99"/>
      <c r="Z66" s="99"/>
      <c r="AA66" s="99"/>
      <c r="AB66" s="99"/>
      <c r="AC66" s="99"/>
      <c r="AD66" s="99"/>
      <c r="AE66" s="99"/>
      <c r="AF66" s="99"/>
      <c r="AG66" s="99"/>
      <c r="AH66" s="99"/>
      <c r="AI66" s="99"/>
      <c r="AJ66" s="99"/>
      <c r="AK66" s="99"/>
      <c r="AL66" s="99"/>
      <c r="AM66" s="99"/>
      <c r="AN66" s="99"/>
      <c r="AO66" s="99"/>
      <c r="AP66" s="99"/>
      <c r="AQ66" s="99"/>
      <c r="AR66" s="99"/>
      <c r="AS66" s="99"/>
      <c r="AT66" s="99"/>
      <c r="AU66" s="99"/>
      <c r="AV66" s="99"/>
      <c r="AW66" s="99"/>
      <c r="AX66" s="99"/>
      <c r="AY66" s="99"/>
      <c r="AZ66" s="99"/>
      <c r="BA66" s="99"/>
      <c r="BB66" s="99"/>
      <c r="BC66" s="99"/>
      <c r="BD66" s="99"/>
    </row>
    <row r="67" spans="1:56" x14ac:dyDescent="0.25">
      <c r="A67" s="37">
        <f>'10 SEMANA '!A10</f>
        <v>0</v>
      </c>
      <c r="B67" s="38">
        <f>'10 SEMANA '!B10</f>
        <v>0</v>
      </c>
      <c r="C67" s="38">
        <f>'10 SEMANA '!C10</f>
        <v>0</v>
      </c>
      <c r="D67" s="38">
        <f>+'10 SEMANA '!D9</f>
        <v>0</v>
      </c>
      <c r="E67" s="100"/>
      <c r="F67" s="100"/>
      <c r="G67" s="99"/>
      <c r="H67" s="101"/>
      <c r="I67" s="102"/>
      <c r="J67" s="103"/>
      <c r="K67" s="99"/>
      <c r="L67" s="99"/>
      <c r="M67" s="99"/>
      <c r="N67" s="99"/>
      <c r="O67" s="100">
        <f>+'10 SEMANA '!F9</f>
        <v>0</v>
      </c>
      <c r="P67" s="100">
        <f>+'10 SEMANA '!G9</f>
        <v>0</v>
      </c>
      <c r="Q67" s="100">
        <f>+'10 SEMANA '!H9</f>
        <v>0</v>
      </c>
      <c r="R67" s="100">
        <f>+'10 SEMANA '!I9</f>
        <v>0</v>
      </c>
      <c r="S67" s="100">
        <f>+'10 SEMANA '!J9</f>
        <v>0</v>
      </c>
      <c r="T67" s="100">
        <f>+'10 SEMANA '!O9</f>
        <v>0</v>
      </c>
      <c r="U67" s="99"/>
      <c r="V67" s="99"/>
      <c r="W67" s="99"/>
      <c r="X67" s="99"/>
      <c r="Y67" s="99"/>
      <c r="Z67" s="99"/>
      <c r="AA67" s="99"/>
      <c r="AB67" s="99"/>
      <c r="AC67" s="99"/>
      <c r="AD67" s="99"/>
      <c r="AE67" s="99"/>
      <c r="AF67" s="99"/>
      <c r="AG67" s="99"/>
      <c r="AH67" s="99"/>
      <c r="AI67" s="99"/>
      <c r="AJ67" s="99"/>
      <c r="AK67" s="99"/>
      <c r="AL67" s="99"/>
      <c r="AM67" s="99"/>
      <c r="AN67" s="99"/>
      <c r="AO67" s="99"/>
      <c r="AP67" s="99"/>
      <c r="AQ67" s="99"/>
      <c r="AR67" s="99"/>
      <c r="AS67" s="99"/>
      <c r="AT67" s="99"/>
      <c r="AU67" s="99"/>
      <c r="AV67" s="99"/>
      <c r="AW67" s="99"/>
      <c r="AX67" s="99"/>
      <c r="AY67" s="99"/>
      <c r="AZ67" s="99"/>
      <c r="BA67" s="99"/>
      <c r="BB67" s="99"/>
      <c r="BC67" s="99"/>
      <c r="BD67" s="99"/>
    </row>
    <row r="68" spans="1:56" x14ac:dyDescent="0.25">
      <c r="A68" s="37">
        <f>'10 SEMANA '!A11</f>
        <v>0</v>
      </c>
      <c r="B68" s="38">
        <f>'10 SEMANA '!B11</f>
        <v>0</v>
      </c>
      <c r="C68" s="38">
        <f>'10 SEMANA '!C11</f>
        <v>0</v>
      </c>
      <c r="D68" s="38">
        <f>+'10 SEMANA '!D10</f>
        <v>0</v>
      </c>
      <c r="E68" s="100"/>
      <c r="F68" s="100"/>
      <c r="G68" s="99"/>
      <c r="H68" s="101"/>
      <c r="I68" s="102"/>
      <c r="J68" s="103"/>
      <c r="K68" s="99"/>
      <c r="L68" s="99"/>
      <c r="M68" s="99"/>
      <c r="N68" s="99"/>
      <c r="O68" s="100">
        <f>+'10 SEMANA '!F10</f>
        <v>0</v>
      </c>
      <c r="P68" s="100">
        <f>+'10 SEMANA '!G10</f>
        <v>0</v>
      </c>
      <c r="Q68" s="100">
        <f>+'10 SEMANA '!H10</f>
        <v>0</v>
      </c>
      <c r="R68" s="100">
        <f>+'10 SEMANA '!I10</f>
        <v>0</v>
      </c>
      <c r="S68" s="100">
        <f>+'10 SEMANA '!J10</f>
        <v>0</v>
      </c>
      <c r="T68" s="100">
        <f>+'10 SEMANA '!O10</f>
        <v>0</v>
      </c>
      <c r="U68" s="99"/>
      <c r="V68" s="99"/>
      <c r="W68" s="99"/>
      <c r="X68" s="99"/>
      <c r="Y68" s="99"/>
      <c r="Z68" s="99"/>
      <c r="AA68" s="99"/>
      <c r="AB68" s="99"/>
      <c r="AC68" s="99"/>
      <c r="AD68" s="99"/>
      <c r="AE68" s="99"/>
      <c r="AF68" s="99"/>
      <c r="AG68" s="99"/>
      <c r="AH68" s="99"/>
      <c r="AI68" s="99"/>
      <c r="AJ68" s="99"/>
      <c r="AK68" s="99"/>
      <c r="AL68" s="99"/>
      <c r="AM68" s="99"/>
      <c r="AN68" s="99"/>
      <c r="AO68" s="99"/>
      <c r="AP68" s="99"/>
      <c r="AQ68" s="99"/>
      <c r="AR68" s="99"/>
      <c r="AS68" s="99"/>
      <c r="AT68" s="99"/>
      <c r="AU68" s="99"/>
      <c r="AV68" s="99"/>
      <c r="AW68" s="99"/>
      <c r="AX68" s="99"/>
      <c r="AY68" s="99"/>
      <c r="AZ68" s="99"/>
      <c r="BA68" s="99"/>
      <c r="BB68" s="99"/>
      <c r="BC68" s="99"/>
      <c r="BD68" s="99"/>
    </row>
    <row r="69" spans="1:56" x14ac:dyDescent="0.25">
      <c r="A69" s="37">
        <f>'10 SEMANA '!A12</f>
        <v>0</v>
      </c>
      <c r="B69" s="38">
        <f>'10 SEMANA '!B12</f>
        <v>0</v>
      </c>
      <c r="C69" s="38">
        <f>'10 SEMANA '!C12</f>
        <v>0</v>
      </c>
      <c r="D69" s="38">
        <f>+'10 SEMANA '!D11</f>
        <v>0</v>
      </c>
      <c r="E69" s="100"/>
      <c r="F69" s="100"/>
      <c r="G69" s="99"/>
      <c r="H69" s="101"/>
      <c r="I69" s="102"/>
      <c r="J69" s="103"/>
      <c r="K69" s="99"/>
      <c r="L69" s="99"/>
      <c r="M69" s="99"/>
      <c r="N69" s="99"/>
      <c r="O69" s="100">
        <f>+'10 SEMANA '!F11</f>
        <v>0</v>
      </c>
      <c r="P69" s="100">
        <f>+'10 SEMANA '!G11</f>
        <v>0</v>
      </c>
      <c r="Q69" s="100">
        <f>+'10 SEMANA '!H11</f>
        <v>0</v>
      </c>
      <c r="R69" s="100">
        <f>+'10 SEMANA '!I11</f>
        <v>0</v>
      </c>
      <c r="S69" s="100">
        <f>+'10 SEMANA '!J11</f>
        <v>0</v>
      </c>
      <c r="T69" s="100">
        <f>+'10 SEMANA '!O11</f>
        <v>0</v>
      </c>
      <c r="U69" s="99"/>
      <c r="V69" s="99"/>
      <c r="W69" s="99"/>
      <c r="X69" s="99"/>
      <c r="Y69" s="99"/>
      <c r="Z69" s="99"/>
      <c r="AA69" s="99"/>
      <c r="AB69" s="99"/>
      <c r="AC69" s="99"/>
      <c r="AD69" s="99"/>
      <c r="AE69" s="99"/>
      <c r="AF69" s="99"/>
      <c r="AG69" s="99"/>
      <c r="AH69" s="99"/>
      <c r="AI69" s="99"/>
      <c r="AJ69" s="99"/>
      <c r="AK69" s="99"/>
      <c r="AL69" s="99"/>
      <c r="AM69" s="99"/>
      <c r="AN69" s="99"/>
      <c r="AO69" s="99"/>
      <c r="AP69" s="99"/>
      <c r="AQ69" s="99"/>
      <c r="AR69" s="99"/>
      <c r="AS69" s="99"/>
      <c r="AT69" s="99"/>
      <c r="AU69" s="99"/>
      <c r="AV69" s="99"/>
      <c r="AW69" s="99"/>
      <c r="AX69" s="99"/>
      <c r="AY69" s="99"/>
      <c r="AZ69" s="99"/>
      <c r="BA69" s="99"/>
      <c r="BB69" s="99"/>
      <c r="BC69" s="99"/>
      <c r="BD69" s="99"/>
    </row>
    <row r="70" spans="1:56" x14ac:dyDescent="0.25">
      <c r="A70" s="37">
        <f>'10 SEMANA '!A13</f>
        <v>0</v>
      </c>
      <c r="B70" s="38">
        <f>'10 SEMANA '!B13</f>
        <v>0</v>
      </c>
      <c r="C70" s="38">
        <f>'10 SEMANA '!C13</f>
        <v>0</v>
      </c>
      <c r="D70" s="38">
        <f>+'10 SEMANA '!D12</f>
        <v>0</v>
      </c>
      <c r="E70" s="100"/>
      <c r="F70" s="100"/>
      <c r="G70" s="99"/>
      <c r="H70" s="101"/>
      <c r="I70" s="102"/>
      <c r="J70" s="103"/>
      <c r="K70" s="99"/>
      <c r="L70" s="99"/>
      <c r="M70" s="99"/>
      <c r="N70" s="99"/>
      <c r="O70" s="100">
        <f>+'10 SEMANA '!F12</f>
        <v>0</v>
      </c>
      <c r="P70" s="100">
        <f>+'10 SEMANA '!G12</f>
        <v>0</v>
      </c>
      <c r="Q70" s="100">
        <f>+'10 SEMANA '!H12</f>
        <v>0</v>
      </c>
      <c r="R70" s="100">
        <f>+'10 SEMANA '!I12</f>
        <v>0</v>
      </c>
      <c r="S70" s="100">
        <f>+'10 SEMANA '!J12</f>
        <v>0</v>
      </c>
      <c r="T70" s="100">
        <f>+'10 SEMANA '!O12</f>
        <v>0</v>
      </c>
      <c r="U70" s="99"/>
      <c r="V70" s="99"/>
      <c r="W70" s="99"/>
      <c r="X70" s="99"/>
      <c r="Y70" s="99"/>
      <c r="Z70" s="99"/>
      <c r="AA70" s="99"/>
      <c r="AB70" s="99"/>
      <c r="AC70" s="99"/>
      <c r="AD70" s="99"/>
      <c r="AE70" s="99"/>
      <c r="AF70" s="99"/>
      <c r="AG70" s="99"/>
      <c r="AH70" s="99"/>
      <c r="AI70" s="99"/>
      <c r="AJ70" s="99"/>
      <c r="AK70" s="99"/>
      <c r="AL70" s="99"/>
      <c r="AM70" s="99"/>
      <c r="AN70" s="99"/>
      <c r="AO70" s="99"/>
      <c r="AP70" s="99"/>
      <c r="AQ70" s="99"/>
      <c r="AR70" s="99"/>
      <c r="AS70" s="99"/>
      <c r="AT70" s="99"/>
      <c r="AU70" s="99"/>
      <c r="AV70" s="99"/>
      <c r="AW70" s="99"/>
      <c r="AX70" s="99"/>
      <c r="AY70" s="99"/>
      <c r="AZ70" s="99"/>
      <c r="BA70" s="99"/>
      <c r="BB70" s="99"/>
      <c r="BC70" s="99"/>
      <c r="BD70" s="99"/>
    </row>
    <row r="71" spans="1:56" x14ac:dyDescent="0.25">
      <c r="A71" s="37">
        <f>'10 SEMANA '!A14</f>
        <v>0</v>
      </c>
      <c r="B71" s="38">
        <f>'10 SEMANA '!B14</f>
        <v>0</v>
      </c>
      <c r="C71" s="38">
        <f>'10 SEMANA '!C14</f>
        <v>0</v>
      </c>
      <c r="D71" s="38">
        <f>+'10 SEMANA '!D13</f>
        <v>0</v>
      </c>
      <c r="E71" s="100"/>
      <c r="F71" s="100"/>
      <c r="G71" s="99"/>
      <c r="H71" s="101"/>
      <c r="I71" s="102"/>
      <c r="J71" s="103"/>
      <c r="K71" s="99"/>
      <c r="L71" s="99"/>
      <c r="M71" s="99"/>
      <c r="N71" s="99"/>
      <c r="O71" s="100">
        <f>+'10 SEMANA '!F13</f>
        <v>0</v>
      </c>
      <c r="P71" s="100">
        <f>+'10 SEMANA '!G13</f>
        <v>0</v>
      </c>
      <c r="Q71" s="100">
        <f>+'10 SEMANA '!H13</f>
        <v>0</v>
      </c>
      <c r="R71" s="100">
        <f>+'10 SEMANA '!I13</f>
        <v>0</v>
      </c>
      <c r="S71" s="100">
        <f>+'10 SEMANA '!J13</f>
        <v>0</v>
      </c>
      <c r="T71" s="100">
        <f>+'10 SEMANA '!O13</f>
        <v>0</v>
      </c>
      <c r="U71" s="99"/>
      <c r="V71" s="99"/>
      <c r="W71" s="99"/>
      <c r="X71" s="99"/>
      <c r="Y71" s="99"/>
      <c r="Z71" s="99"/>
      <c r="AA71" s="99"/>
      <c r="AB71" s="99"/>
      <c r="AC71" s="99"/>
      <c r="AD71" s="99"/>
      <c r="AE71" s="99"/>
      <c r="AF71" s="99"/>
      <c r="AG71" s="99"/>
      <c r="AH71" s="99"/>
      <c r="AI71" s="99"/>
      <c r="AJ71" s="99"/>
      <c r="AK71" s="99"/>
      <c r="AL71" s="99"/>
      <c r="AM71" s="99"/>
      <c r="AN71" s="99"/>
      <c r="AO71" s="99"/>
      <c r="AP71" s="99"/>
      <c r="AQ71" s="99"/>
      <c r="AR71" s="99"/>
      <c r="AS71" s="99"/>
      <c r="AT71" s="99"/>
      <c r="AU71" s="99"/>
      <c r="AV71" s="99"/>
      <c r="AW71" s="99"/>
      <c r="AX71" s="99"/>
      <c r="AY71" s="99"/>
      <c r="AZ71" s="99"/>
      <c r="BA71" s="99"/>
      <c r="BB71" s="99"/>
      <c r="BC71" s="99"/>
      <c r="BD71" s="99"/>
    </row>
    <row r="72" spans="1:56" x14ac:dyDescent="0.25">
      <c r="A72" s="37">
        <f>'11 SEMANA'!A9</f>
        <v>0</v>
      </c>
      <c r="B72" s="38">
        <f>'11 SEMANA'!B9</f>
        <v>0</v>
      </c>
      <c r="C72" s="38">
        <f>'11 SEMANA'!C9</f>
        <v>0</v>
      </c>
      <c r="D72" s="38">
        <f>+'10 SEMANA '!D14</f>
        <v>0</v>
      </c>
      <c r="E72" s="100"/>
      <c r="F72" s="100"/>
      <c r="G72" s="99"/>
      <c r="H72" s="101"/>
      <c r="I72" s="102"/>
      <c r="J72" s="103"/>
      <c r="K72" s="99"/>
      <c r="L72" s="99"/>
      <c r="M72" s="99"/>
      <c r="N72" s="99"/>
      <c r="O72" s="100">
        <f>+'10 SEMANA '!F14</f>
        <v>0</v>
      </c>
      <c r="P72" s="100">
        <f>+'10 SEMANA '!G14</f>
        <v>0</v>
      </c>
      <c r="Q72" s="100">
        <f>+'10 SEMANA '!H14</f>
        <v>0</v>
      </c>
      <c r="R72" s="100">
        <f>+'10 SEMANA '!I14</f>
        <v>0</v>
      </c>
      <c r="S72" s="100">
        <f>+'10 SEMANA '!J14</f>
        <v>0</v>
      </c>
      <c r="T72" s="100">
        <f>+'10 SEMANA '!O14</f>
        <v>0</v>
      </c>
      <c r="U72" s="99"/>
      <c r="V72" s="99"/>
      <c r="W72" s="99"/>
      <c r="X72" s="99"/>
      <c r="Y72" s="99"/>
      <c r="Z72" s="99"/>
      <c r="AA72" s="99"/>
      <c r="AB72" s="99"/>
      <c r="AC72" s="99"/>
      <c r="AD72" s="99"/>
      <c r="AE72" s="99"/>
      <c r="AF72" s="99"/>
      <c r="AG72" s="99"/>
      <c r="AH72" s="99"/>
      <c r="AI72" s="99"/>
      <c r="AJ72" s="99"/>
      <c r="AK72" s="99"/>
      <c r="AL72" s="99"/>
      <c r="AM72" s="99"/>
      <c r="AN72" s="99"/>
      <c r="AO72" s="99"/>
      <c r="AP72" s="99"/>
      <c r="AQ72" s="99"/>
      <c r="AR72" s="99"/>
      <c r="AS72" s="99"/>
      <c r="AT72" s="99"/>
      <c r="AU72" s="99"/>
      <c r="AV72" s="99"/>
      <c r="AW72" s="99"/>
      <c r="AX72" s="99"/>
      <c r="AY72" s="99"/>
      <c r="AZ72" s="99"/>
      <c r="BA72" s="99"/>
      <c r="BB72" s="99"/>
      <c r="BC72" s="99"/>
      <c r="BD72" s="99"/>
    </row>
    <row r="73" spans="1:56" x14ac:dyDescent="0.25">
      <c r="A73" s="37">
        <f>'11 SEMANA'!A10</f>
        <v>0</v>
      </c>
      <c r="B73" s="38">
        <f>'11 SEMANA'!B10</f>
        <v>0</v>
      </c>
      <c r="C73" s="38">
        <f>'11 SEMANA'!C10</f>
        <v>0</v>
      </c>
      <c r="D73" s="38">
        <f>+'11 SEMANA'!D9</f>
        <v>0</v>
      </c>
      <c r="E73" s="100"/>
      <c r="F73" s="100"/>
      <c r="G73" s="99"/>
      <c r="H73" s="101"/>
      <c r="I73" s="102"/>
      <c r="J73" s="103"/>
      <c r="K73" s="99"/>
      <c r="L73" s="99"/>
      <c r="M73" s="99"/>
      <c r="N73" s="99"/>
      <c r="O73" s="99"/>
      <c r="P73" s="100">
        <f>+'11 SEMANA'!F9</f>
        <v>0</v>
      </c>
      <c r="Q73" s="100">
        <f>+'11 SEMANA'!G9</f>
        <v>0</v>
      </c>
      <c r="R73" s="100">
        <f>+'11 SEMANA'!H9</f>
        <v>0</v>
      </c>
      <c r="S73" s="100">
        <f>+'11 SEMANA'!I9</f>
        <v>0</v>
      </c>
      <c r="T73" s="100">
        <f>+'11 SEMANA'!J9</f>
        <v>0</v>
      </c>
      <c r="U73" s="100">
        <f>+'11 SEMANA'!K9</f>
        <v>0</v>
      </c>
      <c r="V73" s="99"/>
      <c r="W73" s="99"/>
      <c r="X73" s="99"/>
      <c r="Y73" s="99"/>
      <c r="Z73" s="99"/>
      <c r="AA73" s="99"/>
      <c r="AB73" s="99"/>
      <c r="AC73" s="99"/>
      <c r="AD73" s="99"/>
      <c r="AE73" s="99"/>
      <c r="AF73" s="99"/>
      <c r="AG73" s="99"/>
      <c r="AH73" s="99"/>
      <c r="AI73" s="99"/>
      <c r="AJ73" s="99"/>
      <c r="AK73" s="99"/>
      <c r="AL73" s="99"/>
      <c r="AM73" s="99"/>
      <c r="AN73" s="99"/>
      <c r="AO73" s="99"/>
      <c r="AP73" s="99"/>
      <c r="AQ73" s="99"/>
      <c r="AR73" s="99"/>
      <c r="AS73" s="99"/>
      <c r="AT73" s="99"/>
      <c r="AU73" s="99"/>
      <c r="AV73" s="99"/>
      <c r="AW73" s="99"/>
      <c r="AX73" s="99"/>
      <c r="AY73" s="99"/>
      <c r="AZ73" s="99"/>
      <c r="BA73" s="99"/>
      <c r="BB73" s="99"/>
      <c r="BC73" s="99"/>
      <c r="BD73" s="99"/>
    </row>
    <row r="74" spans="1:56" x14ac:dyDescent="0.25">
      <c r="A74" s="37">
        <f>'11 SEMANA'!A11</f>
        <v>0</v>
      </c>
      <c r="B74" s="38">
        <f>'11 SEMANA'!B11</f>
        <v>0</v>
      </c>
      <c r="C74" s="38">
        <f>'11 SEMANA'!C11</f>
        <v>0</v>
      </c>
      <c r="D74" s="38">
        <f>+'11 SEMANA'!D10</f>
        <v>0</v>
      </c>
      <c r="E74" s="100"/>
      <c r="F74" s="100"/>
      <c r="G74" s="99"/>
      <c r="H74" s="101"/>
      <c r="I74" s="102"/>
      <c r="J74" s="103"/>
      <c r="K74" s="99"/>
      <c r="L74" s="99"/>
      <c r="M74" s="99"/>
      <c r="N74" s="99"/>
      <c r="O74" s="99"/>
      <c r="P74" s="100">
        <f>+'11 SEMANA'!F10</f>
        <v>0</v>
      </c>
      <c r="Q74" s="100">
        <f>+'11 SEMANA'!G10</f>
        <v>0</v>
      </c>
      <c r="R74" s="100">
        <f>+'11 SEMANA'!H10</f>
        <v>0</v>
      </c>
      <c r="S74" s="100">
        <f>+'11 SEMANA'!I10</f>
        <v>0</v>
      </c>
      <c r="T74" s="100">
        <f>+'11 SEMANA'!J10</f>
        <v>0</v>
      </c>
      <c r="U74" s="100">
        <f>+'11 SEMANA'!K10</f>
        <v>0</v>
      </c>
      <c r="V74" s="99"/>
      <c r="W74" s="99"/>
      <c r="X74" s="99"/>
      <c r="Y74" s="99"/>
      <c r="Z74" s="99"/>
      <c r="AA74" s="99"/>
      <c r="AB74" s="99"/>
      <c r="AC74" s="99"/>
      <c r="AD74" s="99"/>
      <c r="AE74" s="99"/>
      <c r="AF74" s="99"/>
      <c r="AG74" s="99"/>
      <c r="AH74" s="99"/>
      <c r="AI74" s="99"/>
      <c r="AJ74" s="99"/>
      <c r="AK74" s="99"/>
      <c r="AL74" s="99"/>
      <c r="AM74" s="99"/>
      <c r="AN74" s="99"/>
      <c r="AO74" s="99"/>
      <c r="AP74" s="99"/>
      <c r="AQ74" s="99"/>
      <c r="AR74" s="99"/>
      <c r="AS74" s="99"/>
      <c r="AT74" s="99"/>
      <c r="AU74" s="99"/>
      <c r="AV74" s="99"/>
      <c r="AW74" s="99"/>
      <c r="AX74" s="99"/>
      <c r="AY74" s="99"/>
      <c r="AZ74" s="99"/>
      <c r="BA74" s="99"/>
      <c r="BB74" s="99"/>
      <c r="BC74" s="99"/>
      <c r="BD74" s="99"/>
    </row>
    <row r="75" spans="1:56" x14ac:dyDescent="0.25">
      <c r="A75" s="37">
        <f>'11 SEMANA'!A12</f>
        <v>0</v>
      </c>
      <c r="B75" s="38">
        <f>'11 SEMANA'!B12</f>
        <v>0</v>
      </c>
      <c r="C75" s="38">
        <f>'11 SEMANA'!C12</f>
        <v>0</v>
      </c>
      <c r="D75" s="38">
        <f>+'11 SEMANA'!D11</f>
        <v>0</v>
      </c>
      <c r="E75" s="100"/>
      <c r="F75" s="100"/>
      <c r="G75" s="99"/>
      <c r="H75" s="101"/>
      <c r="I75" s="102"/>
      <c r="J75" s="103"/>
      <c r="K75" s="99"/>
      <c r="L75" s="99"/>
      <c r="M75" s="99"/>
      <c r="N75" s="99"/>
      <c r="O75" s="99"/>
      <c r="P75" s="100">
        <f>+'11 SEMANA'!F11</f>
        <v>0</v>
      </c>
      <c r="Q75" s="100">
        <f>+'11 SEMANA'!G11</f>
        <v>0</v>
      </c>
      <c r="R75" s="100">
        <f>+'11 SEMANA'!H11</f>
        <v>0</v>
      </c>
      <c r="S75" s="100">
        <f>+'11 SEMANA'!I11</f>
        <v>0</v>
      </c>
      <c r="T75" s="100">
        <f>+'11 SEMANA'!J11</f>
        <v>0</v>
      </c>
      <c r="U75" s="100">
        <f>+'11 SEMANA'!K11</f>
        <v>0</v>
      </c>
      <c r="V75" s="99"/>
      <c r="W75" s="99"/>
      <c r="X75" s="99"/>
      <c r="Y75" s="99"/>
      <c r="Z75" s="99"/>
      <c r="AA75" s="99"/>
      <c r="AB75" s="99"/>
      <c r="AC75" s="99"/>
      <c r="AD75" s="99"/>
      <c r="AE75" s="99"/>
      <c r="AF75" s="99"/>
      <c r="AG75" s="99"/>
      <c r="AH75" s="99"/>
      <c r="AI75" s="99"/>
      <c r="AJ75" s="99"/>
      <c r="AK75" s="99"/>
      <c r="AL75" s="99"/>
      <c r="AM75" s="99"/>
      <c r="AN75" s="99"/>
      <c r="AO75" s="99"/>
      <c r="AP75" s="99"/>
      <c r="AQ75" s="99"/>
      <c r="AR75" s="99"/>
      <c r="AS75" s="99"/>
      <c r="AT75" s="99"/>
      <c r="AU75" s="99"/>
      <c r="AV75" s="99"/>
      <c r="AW75" s="99"/>
      <c r="AX75" s="99"/>
      <c r="AY75" s="99"/>
      <c r="AZ75" s="99"/>
      <c r="BA75" s="99"/>
      <c r="BB75" s="99"/>
      <c r="BC75" s="99"/>
      <c r="BD75" s="99"/>
    </row>
    <row r="76" spans="1:56" x14ac:dyDescent="0.25">
      <c r="A76" s="37">
        <f>'11 SEMANA'!A13</f>
        <v>0</v>
      </c>
      <c r="B76" s="38">
        <f>'11 SEMANA'!B13</f>
        <v>0</v>
      </c>
      <c r="C76" s="38">
        <f>'11 SEMANA'!C13</f>
        <v>0</v>
      </c>
      <c r="D76" s="38">
        <f>+'11 SEMANA'!D12</f>
        <v>0</v>
      </c>
      <c r="E76" s="100"/>
      <c r="F76" s="100"/>
      <c r="G76" s="99"/>
      <c r="H76" s="101"/>
      <c r="I76" s="102"/>
      <c r="J76" s="103"/>
      <c r="K76" s="99"/>
      <c r="L76" s="99"/>
      <c r="M76" s="99"/>
      <c r="N76" s="99"/>
      <c r="O76" s="99"/>
      <c r="P76" s="100">
        <f>+'11 SEMANA'!F12</f>
        <v>0</v>
      </c>
      <c r="Q76" s="100">
        <f>+'11 SEMANA'!G12</f>
        <v>0</v>
      </c>
      <c r="R76" s="100">
        <f>+'11 SEMANA'!H12</f>
        <v>0</v>
      </c>
      <c r="S76" s="100">
        <f>+'11 SEMANA'!I12</f>
        <v>0</v>
      </c>
      <c r="T76" s="100">
        <f>+'11 SEMANA'!J12</f>
        <v>0</v>
      </c>
      <c r="U76" s="100">
        <f>+'11 SEMANA'!K12</f>
        <v>0</v>
      </c>
      <c r="V76" s="99"/>
      <c r="W76" s="99"/>
      <c r="X76" s="99"/>
      <c r="Y76" s="99"/>
      <c r="Z76" s="99"/>
      <c r="AA76" s="99"/>
      <c r="AB76" s="99"/>
      <c r="AC76" s="99"/>
      <c r="AD76" s="99"/>
      <c r="AE76" s="99"/>
      <c r="AF76" s="99"/>
      <c r="AG76" s="99"/>
      <c r="AH76" s="99"/>
      <c r="AI76" s="99"/>
      <c r="AJ76" s="99"/>
      <c r="AK76" s="99"/>
      <c r="AL76" s="99"/>
      <c r="AM76" s="99"/>
      <c r="AN76" s="99"/>
      <c r="AO76" s="99"/>
      <c r="AP76" s="99"/>
      <c r="AQ76" s="99"/>
      <c r="AR76" s="99"/>
      <c r="AS76" s="99"/>
      <c r="AT76" s="99"/>
      <c r="AU76" s="99"/>
      <c r="AV76" s="99"/>
      <c r="AW76" s="99"/>
      <c r="AX76" s="99"/>
      <c r="AY76" s="99"/>
      <c r="AZ76" s="99"/>
      <c r="BA76" s="99"/>
      <c r="BB76" s="99"/>
      <c r="BC76" s="99"/>
      <c r="BD76" s="99"/>
    </row>
    <row r="77" spans="1:56" x14ac:dyDescent="0.25">
      <c r="A77" s="37">
        <f>'11 SEMANA'!A14</f>
        <v>0</v>
      </c>
      <c r="B77" s="38">
        <f>'11 SEMANA'!B14</f>
        <v>0</v>
      </c>
      <c r="C77" s="38">
        <f>'11 SEMANA'!C14</f>
        <v>0</v>
      </c>
      <c r="D77" s="38">
        <f>+'11 SEMANA'!D13</f>
        <v>0</v>
      </c>
      <c r="E77" s="100"/>
      <c r="F77" s="100"/>
      <c r="G77" s="99"/>
      <c r="H77" s="101"/>
      <c r="I77" s="102"/>
      <c r="J77" s="103"/>
      <c r="K77" s="99"/>
      <c r="L77" s="99"/>
      <c r="M77" s="99"/>
      <c r="N77" s="99"/>
      <c r="O77" s="99"/>
      <c r="P77" s="100">
        <f>+'11 SEMANA'!F13</f>
        <v>0</v>
      </c>
      <c r="Q77" s="100">
        <f>+'11 SEMANA'!G13</f>
        <v>0</v>
      </c>
      <c r="R77" s="100">
        <f>+'11 SEMANA'!H13</f>
        <v>0</v>
      </c>
      <c r="S77" s="100">
        <f>+'11 SEMANA'!I13</f>
        <v>0</v>
      </c>
      <c r="T77" s="100">
        <f>+'11 SEMANA'!J13</f>
        <v>0</v>
      </c>
      <c r="U77" s="100">
        <f>+'11 SEMANA'!K13</f>
        <v>0</v>
      </c>
      <c r="V77" s="99"/>
      <c r="W77" s="99"/>
      <c r="X77" s="99"/>
      <c r="Y77" s="99"/>
      <c r="Z77" s="99"/>
      <c r="AA77" s="99"/>
      <c r="AB77" s="99"/>
      <c r="AC77" s="99"/>
      <c r="AD77" s="99"/>
      <c r="AE77" s="99"/>
      <c r="AF77" s="99"/>
      <c r="AG77" s="99"/>
      <c r="AH77" s="99"/>
      <c r="AI77" s="99"/>
      <c r="AJ77" s="99"/>
      <c r="AK77" s="99"/>
      <c r="AL77" s="99"/>
      <c r="AM77" s="99"/>
      <c r="AN77" s="99"/>
      <c r="AO77" s="99"/>
      <c r="AP77" s="99"/>
      <c r="AQ77" s="99"/>
      <c r="AR77" s="99"/>
      <c r="AS77" s="99"/>
      <c r="AT77" s="99"/>
      <c r="AU77" s="99"/>
      <c r="AV77" s="99"/>
      <c r="AW77" s="99"/>
      <c r="AX77" s="99"/>
      <c r="AY77" s="99"/>
      <c r="AZ77" s="99"/>
      <c r="BA77" s="99"/>
      <c r="BB77" s="99"/>
      <c r="BC77" s="99"/>
      <c r="BD77" s="99"/>
    </row>
    <row r="78" spans="1:56" x14ac:dyDescent="0.25">
      <c r="A78" s="37">
        <f>'12 SEMANA'!A9</f>
        <v>0</v>
      </c>
      <c r="B78" s="38">
        <f>'12 SEMANA'!B9</f>
        <v>0</v>
      </c>
      <c r="C78" s="38">
        <f>'12 SEMANA'!C9</f>
        <v>0</v>
      </c>
      <c r="D78" s="38">
        <f>+'11 SEMANA'!D14</f>
        <v>0</v>
      </c>
      <c r="E78" s="100"/>
      <c r="F78" s="100"/>
      <c r="G78" s="99"/>
      <c r="H78" s="101"/>
      <c r="I78" s="102"/>
      <c r="J78" s="103"/>
      <c r="K78" s="99"/>
      <c r="L78" s="99"/>
      <c r="M78" s="99"/>
      <c r="N78" s="99"/>
      <c r="O78" s="99"/>
      <c r="P78" s="100">
        <f>+'11 SEMANA'!F14</f>
        <v>0</v>
      </c>
      <c r="Q78" s="100">
        <f>+'11 SEMANA'!G14</f>
        <v>0</v>
      </c>
      <c r="R78" s="100">
        <f>+'11 SEMANA'!H14</f>
        <v>0</v>
      </c>
      <c r="S78" s="100">
        <f>+'11 SEMANA'!I14</f>
        <v>0</v>
      </c>
      <c r="T78" s="100">
        <f>+'11 SEMANA'!J14</f>
        <v>0</v>
      </c>
      <c r="U78" s="100">
        <f>+'11 SEMANA'!K14</f>
        <v>0</v>
      </c>
      <c r="V78" s="99"/>
      <c r="W78" s="99"/>
      <c r="X78" s="99"/>
      <c r="Y78" s="99"/>
      <c r="Z78" s="99"/>
      <c r="AA78" s="99"/>
      <c r="AB78" s="99"/>
      <c r="AC78" s="99"/>
      <c r="AD78" s="99"/>
      <c r="AE78" s="99"/>
      <c r="AF78" s="99"/>
      <c r="AG78" s="99"/>
      <c r="AH78" s="99"/>
      <c r="AI78" s="99"/>
      <c r="AJ78" s="99"/>
      <c r="AK78" s="99"/>
      <c r="AL78" s="99"/>
      <c r="AM78" s="99"/>
      <c r="AN78" s="99"/>
      <c r="AO78" s="99"/>
      <c r="AP78" s="99"/>
      <c r="AQ78" s="99"/>
      <c r="AR78" s="99"/>
      <c r="AS78" s="99"/>
      <c r="AT78" s="99"/>
      <c r="AU78" s="99"/>
      <c r="AV78" s="99"/>
      <c r="AW78" s="99"/>
      <c r="AX78" s="99"/>
      <c r="AY78" s="99"/>
      <c r="AZ78" s="99"/>
      <c r="BA78" s="99"/>
      <c r="BB78" s="99"/>
      <c r="BC78" s="99"/>
      <c r="BD78" s="99"/>
    </row>
    <row r="79" spans="1:56" x14ac:dyDescent="0.25">
      <c r="A79" s="37">
        <f>'12 SEMANA'!A10</f>
        <v>0</v>
      </c>
      <c r="B79" s="38">
        <f>'12 SEMANA'!B10</f>
        <v>0</v>
      </c>
      <c r="C79" s="38">
        <f>'12 SEMANA'!C10</f>
        <v>0</v>
      </c>
      <c r="D79" s="38">
        <f>+'12 SEMANA'!D9</f>
        <v>0</v>
      </c>
      <c r="E79" s="100"/>
      <c r="F79" s="100"/>
      <c r="G79" s="99"/>
      <c r="H79" s="101"/>
      <c r="I79" s="102"/>
      <c r="J79" s="103"/>
      <c r="K79" s="99"/>
      <c r="L79" s="99"/>
      <c r="M79" s="99"/>
      <c r="N79" s="99"/>
      <c r="O79" s="99"/>
      <c r="P79" s="99"/>
      <c r="Q79" s="100">
        <f>+'12 SEMANA'!F9</f>
        <v>0</v>
      </c>
      <c r="R79" s="100">
        <f>+'12 SEMANA'!G9</f>
        <v>0</v>
      </c>
      <c r="S79" s="100">
        <f>+'12 SEMANA'!H9</f>
        <v>0</v>
      </c>
      <c r="T79" s="100">
        <f>+'12 SEMANA'!I9</f>
        <v>0</v>
      </c>
      <c r="U79" s="100">
        <f>+'12 SEMANA'!J9</f>
        <v>0</v>
      </c>
      <c r="V79" s="100">
        <f>+'12 SEMANA'!K9</f>
        <v>0</v>
      </c>
      <c r="W79" s="99"/>
      <c r="X79" s="99"/>
      <c r="Y79" s="99"/>
      <c r="Z79" s="99"/>
      <c r="AA79" s="99"/>
      <c r="AB79" s="99"/>
      <c r="AC79" s="99"/>
      <c r="AD79" s="99"/>
      <c r="AE79" s="99"/>
      <c r="AF79" s="99"/>
      <c r="AG79" s="99"/>
      <c r="AH79" s="99"/>
      <c r="AI79" s="99"/>
      <c r="AJ79" s="99"/>
      <c r="AK79" s="99"/>
      <c r="AL79" s="99"/>
      <c r="AM79" s="99"/>
      <c r="AN79" s="99"/>
      <c r="AO79" s="99"/>
      <c r="AP79" s="99"/>
      <c r="AQ79" s="99"/>
      <c r="AR79" s="99"/>
      <c r="AS79" s="99"/>
      <c r="AT79" s="99"/>
      <c r="AU79" s="99"/>
      <c r="AV79" s="99"/>
      <c r="AW79" s="99"/>
      <c r="AX79" s="99"/>
      <c r="AY79" s="99"/>
      <c r="AZ79" s="99"/>
      <c r="BA79" s="99"/>
      <c r="BB79" s="99"/>
      <c r="BC79" s="99"/>
      <c r="BD79" s="99"/>
    </row>
    <row r="80" spans="1:56" x14ac:dyDescent="0.25">
      <c r="A80" s="37">
        <f>'12 SEMANA'!A11</f>
        <v>0</v>
      </c>
      <c r="B80" s="38">
        <f>'12 SEMANA'!B11</f>
        <v>0</v>
      </c>
      <c r="C80" s="38">
        <f>'12 SEMANA'!C11</f>
        <v>0</v>
      </c>
      <c r="D80" s="38">
        <f>+'12 SEMANA'!D10</f>
        <v>0</v>
      </c>
      <c r="E80" s="100"/>
      <c r="F80" s="100"/>
      <c r="G80" s="99"/>
      <c r="H80" s="101"/>
      <c r="I80" s="102"/>
      <c r="J80" s="103"/>
      <c r="K80" s="99"/>
      <c r="L80" s="99"/>
      <c r="M80" s="99"/>
      <c r="N80" s="99"/>
      <c r="O80" s="99"/>
      <c r="P80" s="99"/>
      <c r="Q80" s="100">
        <f>+'12 SEMANA'!F10</f>
        <v>0</v>
      </c>
      <c r="R80" s="100">
        <f>+'12 SEMANA'!G10</f>
        <v>0</v>
      </c>
      <c r="S80" s="100">
        <f>+'12 SEMANA'!H10</f>
        <v>0</v>
      </c>
      <c r="T80" s="100">
        <f>+'12 SEMANA'!I10</f>
        <v>0</v>
      </c>
      <c r="U80" s="100">
        <f>+'12 SEMANA'!J10</f>
        <v>0</v>
      </c>
      <c r="V80" s="100">
        <f>+'12 SEMANA'!K10</f>
        <v>0</v>
      </c>
      <c r="W80" s="99"/>
      <c r="X80" s="99"/>
      <c r="Y80" s="99"/>
      <c r="Z80" s="99"/>
      <c r="AA80" s="99"/>
      <c r="AB80" s="99"/>
      <c r="AC80" s="99"/>
      <c r="AD80" s="99"/>
      <c r="AE80" s="99"/>
      <c r="AF80" s="99"/>
      <c r="AG80" s="99"/>
      <c r="AH80" s="99"/>
      <c r="AI80" s="99"/>
      <c r="AJ80" s="99"/>
      <c r="AK80" s="99"/>
      <c r="AL80" s="99"/>
      <c r="AM80" s="99"/>
      <c r="AN80" s="99"/>
      <c r="AO80" s="99"/>
      <c r="AP80" s="99"/>
      <c r="AQ80" s="99"/>
      <c r="AR80" s="99"/>
      <c r="AS80" s="99"/>
      <c r="AT80" s="99"/>
      <c r="AU80" s="99"/>
      <c r="AV80" s="99"/>
      <c r="AW80" s="99"/>
      <c r="AX80" s="99"/>
      <c r="AY80" s="99"/>
      <c r="AZ80" s="99"/>
      <c r="BA80" s="99"/>
      <c r="BB80" s="99"/>
      <c r="BC80" s="99"/>
      <c r="BD80" s="99"/>
    </row>
    <row r="81" spans="1:56" x14ac:dyDescent="0.25">
      <c r="A81" s="37">
        <f>'12 SEMANA'!A12</f>
        <v>0</v>
      </c>
      <c r="B81" s="38">
        <f>'12 SEMANA'!B12</f>
        <v>0</v>
      </c>
      <c r="C81" s="38">
        <f>'12 SEMANA'!C12</f>
        <v>0</v>
      </c>
      <c r="D81" s="38">
        <f>+'12 SEMANA'!D11</f>
        <v>0</v>
      </c>
      <c r="E81" s="100"/>
      <c r="F81" s="100"/>
      <c r="G81" s="99"/>
      <c r="H81" s="101"/>
      <c r="I81" s="102"/>
      <c r="J81" s="103"/>
      <c r="K81" s="99"/>
      <c r="L81" s="99"/>
      <c r="M81" s="99"/>
      <c r="N81" s="99"/>
      <c r="O81" s="99"/>
      <c r="P81" s="99"/>
      <c r="Q81" s="100">
        <f>+'12 SEMANA'!F11</f>
        <v>0</v>
      </c>
      <c r="R81" s="100">
        <f>+'12 SEMANA'!G11</f>
        <v>0</v>
      </c>
      <c r="S81" s="100">
        <f>+'12 SEMANA'!H11</f>
        <v>0</v>
      </c>
      <c r="T81" s="100">
        <f>+'12 SEMANA'!I11</f>
        <v>0</v>
      </c>
      <c r="U81" s="100">
        <f>+'12 SEMANA'!J11</f>
        <v>0</v>
      </c>
      <c r="V81" s="100">
        <f>+'12 SEMANA'!K11</f>
        <v>0</v>
      </c>
      <c r="W81" s="99"/>
      <c r="X81" s="99"/>
      <c r="Y81" s="99"/>
      <c r="Z81" s="99"/>
      <c r="AA81" s="99"/>
      <c r="AB81" s="99"/>
      <c r="AC81" s="99"/>
      <c r="AD81" s="99"/>
      <c r="AE81" s="99"/>
      <c r="AF81" s="99"/>
      <c r="AG81" s="99"/>
      <c r="AH81" s="99"/>
      <c r="AI81" s="99"/>
      <c r="AJ81" s="99"/>
      <c r="AK81" s="99"/>
      <c r="AL81" s="99"/>
      <c r="AM81" s="99"/>
      <c r="AN81" s="99"/>
      <c r="AO81" s="99"/>
      <c r="AP81" s="99"/>
      <c r="AQ81" s="99"/>
      <c r="AR81" s="99"/>
      <c r="AS81" s="99"/>
      <c r="AT81" s="99"/>
      <c r="AU81" s="99"/>
      <c r="AV81" s="99"/>
      <c r="AW81" s="99"/>
      <c r="AX81" s="99"/>
      <c r="AY81" s="99"/>
      <c r="AZ81" s="99"/>
      <c r="BA81" s="99"/>
      <c r="BB81" s="99"/>
      <c r="BC81" s="99"/>
      <c r="BD81" s="99"/>
    </row>
    <row r="82" spans="1:56" x14ac:dyDescent="0.25">
      <c r="A82" s="37">
        <f>'12 SEMANA'!A13</f>
        <v>0</v>
      </c>
      <c r="B82" s="38">
        <f>'12 SEMANA'!B13</f>
        <v>0</v>
      </c>
      <c r="C82" s="38">
        <f>'12 SEMANA'!C13</f>
        <v>0</v>
      </c>
      <c r="D82" s="38">
        <f>+'12 SEMANA'!D12</f>
        <v>0</v>
      </c>
      <c r="E82" s="100"/>
      <c r="F82" s="100"/>
      <c r="G82" s="99"/>
      <c r="H82" s="101"/>
      <c r="I82" s="102"/>
      <c r="J82" s="103"/>
      <c r="K82" s="99"/>
      <c r="L82" s="99"/>
      <c r="M82" s="99"/>
      <c r="N82" s="99"/>
      <c r="O82" s="99"/>
      <c r="P82" s="99"/>
      <c r="Q82" s="100">
        <f>+'12 SEMANA'!F12</f>
        <v>0</v>
      </c>
      <c r="R82" s="100">
        <f>+'12 SEMANA'!G12</f>
        <v>0</v>
      </c>
      <c r="S82" s="100">
        <f>+'12 SEMANA'!H12</f>
        <v>0</v>
      </c>
      <c r="T82" s="100">
        <f>+'12 SEMANA'!I12</f>
        <v>0</v>
      </c>
      <c r="U82" s="100">
        <f>+'12 SEMANA'!J12</f>
        <v>0</v>
      </c>
      <c r="V82" s="100">
        <f>+'12 SEMANA'!K12</f>
        <v>0</v>
      </c>
      <c r="W82" s="99"/>
      <c r="X82" s="99"/>
      <c r="Y82" s="99"/>
      <c r="Z82" s="99"/>
      <c r="AA82" s="99"/>
      <c r="AB82" s="99"/>
      <c r="AC82" s="99"/>
      <c r="AD82" s="99"/>
      <c r="AE82" s="99"/>
      <c r="AF82" s="99"/>
      <c r="AG82" s="99"/>
      <c r="AH82" s="99"/>
      <c r="AI82" s="99"/>
      <c r="AJ82" s="99"/>
      <c r="AK82" s="99"/>
      <c r="AL82" s="99"/>
      <c r="AM82" s="99"/>
      <c r="AN82" s="99"/>
      <c r="AO82" s="99"/>
      <c r="AP82" s="99"/>
      <c r="AQ82" s="99"/>
      <c r="AR82" s="99"/>
      <c r="AS82" s="99"/>
      <c r="AT82" s="99"/>
      <c r="AU82" s="99"/>
      <c r="AV82" s="99"/>
      <c r="AW82" s="99"/>
      <c r="AX82" s="99"/>
      <c r="AY82" s="99"/>
      <c r="AZ82" s="99"/>
      <c r="BA82" s="99"/>
      <c r="BB82" s="99"/>
      <c r="BC82" s="99"/>
      <c r="BD82" s="99"/>
    </row>
    <row r="83" spans="1:56" x14ac:dyDescent="0.25">
      <c r="A83" s="37">
        <f>'12 SEMANA'!A14</f>
        <v>0</v>
      </c>
      <c r="B83" s="38">
        <f>'12 SEMANA'!B14</f>
        <v>0</v>
      </c>
      <c r="C83" s="38">
        <f>'12 SEMANA'!C14</f>
        <v>0</v>
      </c>
      <c r="D83" s="38">
        <f>+'12 SEMANA'!D13</f>
        <v>0</v>
      </c>
      <c r="E83" s="100"/>
      <c r="F83" s="100"/>
      <c r="G83" s="99"/>
      <c r="H83" s="101"/>
      <c r="I83" s="102"/>
      <c r="J83" s="103"/>
      <c r="K83" s="99"/>
      <c r="L83" s="99"/>
      <c r="M83" s="99"/>
      <c r="N83" s="99"/>
      <c r="O83" s="99"/>
      <c r="P83" s="99"/>
      <c r="Q83" s="100">
        <f>+'12 SEMANA'!F13</f>
        <v>0</v>
      </c>
      <c r="R83" s="100">
        <f>+'12 SEMANA'!G13</f>
        <v>0</v>
      </c>
      <c r="S83" s="100">
        <f>+'12 SEMANA'!H13</f>
        <v>0</v>
      </c>
      <c r="T83" s="100">
        <f>+'12 SEMANA'!I13</f>
        <v>0</v>
      </c>
      <c r="U83" s="100">
        <f>+'12 SEMANA'!J13</f>
        <v>0</v>
      </c>
      <c r="V83" s="100">
        <f>+'12 SEMANA'!K13</f>
        <v>0</v>
      </c>
      <c r="W83" s="99"/>
      <c r="X83" s="99"/>
      <c r="Y83" s="99"/>
      <c r="Z83" s="99"/>
      <c r="AA83" s="99"/>
      <c r="AB83" s="99"/>
      <c r="AC83" s="99"/>
      <c r="AD83" s="99"/>
      <c r="AE83" s="99"/>
      <c r="AF83" s="99"/>
      <c r="AG83" s="99"/>
      <c r="AH83" s="99"/>
      <c r="AI83" s="99"/>
      <c r="AJ83" s="99"/>
      <c r="AK83" s="99"/>
      <c r="AL83" s="99"/>
      <c r="AM83" s="99"/>
      <c r="AN83" s="99"/>
      <c r="AO83" s="99"/>
      <c r="AP83" s="99"/>
      <c r="AQ83" s="99"/>
      <c r="AR83" s="99"/>
      <c r="AS83" s="99"/>
      <c r="AT83" s="99"/>
      <c r="AU83" s="99"/>
      <c r="AV83" s="99"/>
      <c r="AW83" s="99"/>
      <c r="AX83" s="99"/>
      <c r="AY83" s="99"/>
      <c r="AZ83" s="99"/>
      <c r="BA83" s="99"/>
      <c r="BB83" s="99"/>
      <c r="BC83" s="99"/>
      <c r="BD83" s="99"/>
    </row>
    <row r="84" spans="1:56" x14ac:dyDescent="0.25">
      <c r="A84" s="37">
        <f>'13 SEMANA'!A9</f>
        <v>0</v>
      </c>
      <c r="B84" s="38">
        <f>'13 SEMANA'!B9</f>
        <v>0</v>
      </c>
      <c r="C84" s="38">
        <f>'13 SEMANA'!C9</f>
        <v>0</v>
      </c>
      <c r="D84" s="38">
        <f>+'12 SEMANA'!D14</f>
        <v>0</v>
      </c>
      <c r="E84" s="100"/>
      <c r="F84" s="100"/>
      <c r="G84" s="99"/>
      <c r="H84" s="101"/>
      <c r="I84" s="102"/>
      <c r="J84" s="103"/>
      <c r="K84" s="99"/>
      <c r="L84" s="99"/>
      <c r="M84" s="99"/>
      <c r="N84" s="99"/>
      <c r="O84" s="99"/>
      <c r="P84" s="99"/>
      <c r="Q84" s="100">
        <f>+'12 SEMANA'!F14</f>
        <v>0</v>
      </c>
      <c r="R84" s="100">
        <f>+'12 SEMANA'!G14</f>
        <v>0</v>
      </c>
      <c r="S84" s="100">
        <f>+'12 SEMANA'!H14</f>
        <v>0</v>
      </c>
      <c r="T84" s="100">
        <f>+'12 SEMANA'!I14</f>
        <v>0</v>
      </c>
      <c r="U84" s="100">
        <f>+'12 SEMANA'!J14</f>
        <v>0</v>
      </c>
      <c r="V84" s="100">
        <f>+'12 SEMANA'!K14</f>
        <v>0</v>
      </c>
      <c r="W84" s="99"/>
      <c r="X84" s="99"/>
      <c r="Y84" s="99"/>
      <c r="Z84" s="99"/>
      <c r="AA84" s="99"/>
      <c r="AB84" s="99"/>
      <c r="AC84" s="99"/>
      <c r="AD84" s="99"/>
      <c r="AE84" s="99"/>
      <c r="AF84" s="99"/>
      <c r="AG84" s="99"/>
      <c r="AH84" s="99"/>
      <c r="AI84" s="99"/>
      <c r="AJ84" s="99"/>
      <c r="AK84" s="99"/>
      <c r="AL84" s="99"/>
      <c r="AM84" s="99"/>
      <c r="AN84" s="99"/>
      <c r="AO84" s="99"/>
      <c r="AP84" s="99"/>
      <c r="AQ84" s="99"/>
      <c r="AR84" s="99"/>
      <c r="AS84" s="99"/>
      <c r="AT84" s="99"/>
      <c r="AU84" s="99"/>
      <c r="AV84" s="99"/>
      <c r="AW84" s="99"/>
      <c r="AX84" s="99"/>
      <c r="AY84" s="99"/>
      <c r="AZ84" s="99"/>
      <c r="BA84" s="99"/>
      <c r="BB84" s="99"/>
      <c r="BC84" s="99"/>
      <c r="BD84" s="99"/>
    </row>
    <row r="85" spans="1:56" x14ac:dyDescent="0.25">
      <c r="A85" s="37">
        <f>'13 SEMANA'!A10</f>
        <v>0</v>
      </c>
      <c r="B85" s="38">
        <f>'13 SEMANA'!B10</f>
        <v>0</v>
      </c>
      <c r="C85" s="38">
        <f>'13 SEMANA'!C10</f>
        <v>0</v>
      </c>
      <c r="D85" s="38">
        <f>+'13 SEMANA'!D9</f>
        <v>0</v>
      </c>
      <c r="E85" s="100"/>
      <c r="F85" s="100"/>
      <c r="G85" s="99"/>
      <c r="H85" s="101"/>
      <c r="I85" s="102"/>
      <c r="J85" s="103"/>
      <c r="K85" s="99"/>
      <c r="L85" s="99"/>
      <c r="M85" s="99"/>
      <c r="N85" s="99"/>
      <c r="O85" s="99"/>
      <c r="P85" s="99"/>
      <c r="Q85" s="99"/>
      <c r="R85" s="100">
        <f>'14 SEMANA '!F9</f>
        <v>0</v>
      </c>
      <c r="S85" s="100">
        <f>'14 SEMANA '!G9</f>
        <v>0</v>
      </c>
      <c r="T85" s="100">
        <f>'14 SEMANA '!H9</f>
        <v>0</v>
      </c>
      <c r="U85" s="100">
        <f>'14 SEMANA '!I9</f>
        <v>0</v>
      </c>
      <c r="V85" s="100">
        <f>'14 SEMANA '!J9</f>
        <v>0</v>
      </c>
      <c r="W85" s="100">
        <f>'14 SEMANA '!K9</f>
        <v>0</v>
      </c>
      <c r="X85" s="99"/>
      <c r="Y85" s="99"/>
      <c r="Z85" s="99"/>
      <c r="AA85" s="99"/>
      <c r="AB85" s="99"/>
      <c r="AC85" s="99"/>
      <c r="AD85" s="99"/>
      <c r="AE85" s="99"/>
      <c r="AF85" s="99"/>
      <c r="AG85" s="99"/>
      <c r="AH85" s="99"/>
      <c r="AI85" s="99"/>
      <c r="AJ85" s="99"/>
      <c r="AK85" s="99"/>
      <c r="AL85" s="99"/>
      <c r="AM85" s="99"/>
      <c r="AN85" s="99"/>
      <c r="AO85" s="99"/>
      <c r="AP85" s="99"/>
      <c r="AQ85" s="99"/>
      <c r="AR85" s="99"/>
      <c r="AS85" s="99"/>
      <c r="AT85" s="99"/>
      <c r="AU85" s="99"/>
      <c r="AV85" s="99"/>
      <c r="AW85" s="99"/>
      <c r="AX85" s="99"/>
      <c r="AY85" s="99"/>
      <c r="AZ85" s="99"/>
      <c r="BA85" s="99"/>
      <c r="BB85" s="99"/>
      <c r="BC85" s="99"/>
      <c r="BD85" s="99"/>
    </row>
    <row r="86" spans="1:56" x14ac:dyDescent="0.25">
      <c r="A86" s="37">
        <f>'13 SEMANA'!A11</f>
        <v>0</v>
      </c>
      <c r="B86" s="38">
        <f>'13 SEMANA'!B11</f>
        <v>0</v>
      </c>
      <c r="C86" s="38">
        <f>'13 SEMANA'!C11</f>
        <v>0</v>
      </c>
      <c r="D86" s="38">
        <f>+'13 SEMANA'!D10</f>
        <v>0</v>
      </c>
      <c r="E86" s="100"/>
      <c r="F86" s="100"/>
      <c r="G86" s="99"/>
      <c r="H86" s="101"/>
      <c r="I86" s="102"/>
      <c r="J86" s="103"/>
      <c r="K86" s="99"/>
      <c r="L86" s="99"/>
      <c r="M86" s="99"/>
      <c r="N86" s="99"/>
      <c r="O86" s="99"/>
      <c r="P86" s="99"/>
      <c r="Q86" s="99"/>
      <c r="R86" s="100">
        <f>'14 SEMANA '!F10</f>
        <v>0</v>
      </c>
      <c r="S86" s="100">
        <f>'14 SEMANA '!G10</f>
        <v>0</v>
      </c>
      <c r="T86" s="100">
        <f>'14 SEMANA '!H10</f>
        <v>0</v>
      </c>
      <c r="U86" s="100">
        <f>'14 SEMANA '!I10</f>
        <v>0</v>
      </c>
      <c r="V86" s="100">
        <f>'14 SEMANA '!J10</f>
        <v>0</v>
      </c>
      <c r="W86" s="100">
        <f>'14 SEMANA '!K10</f>
        <v>0</v>
      </c>
      <c r="X86" s="99"/>
      <c r="Y86" s="99"/>
      <c r="Z86" s="99"/>
      <c r="AA86" s="99"/>
      <c r="AB86" s="99"/>
      <c r="AC86" s="99"/>
      <c r="AD86" s="99"/>
      <c r="AE86" s="99"/>
      <c r="AF86" s="99"/>
      <c r="AG86" s="99"/>
      <c r="AH86" s="99"/>
      <c r="AI86" s="99"/>
      <c r="AJ86" s="99"/>
      <c r="AK86" s="99"/>
      <c r="AL86" s="99"/>
      <c r="AM86" s="99"/>
      <c r="AN86" s="99"/>
      <c r="AO86" s="99"/>
      <c r="AP86" s="99"/>
      <c r="AQ86" s="99"/>
      <c r="AR86" s="99"/>
      <c r="AS86" s="99"/>
      <c r="AT86" s="99"/>
      <c r="AU86" s="99"/>
      <c r="AV86" s="99"/>
      <c r="AW86" s="99"/>
      <c r="AX86" s="99"/>
      <c r="AY86" s="99"/>
      <c r="AZ86" s="99"/>
      <c r="BA86" s="99"/>
      <c r="BB86" s="99"/>
      <c r="BC86" s="99"/>
      <c r="BD86" s="99"/>
    </row>
    <row r="87" spans="1:56" x14ac:dyDescent="0.25">
      <c r="A87" s="37">
        <f>'13 SEMANA'!A12</f>
        <v>0</v>
      </c>
      <c r="B87" s="38">
        <f>'13 SEMANA'!B12</f>
        <v>0</v>
      </c>
      <c r="C87" s="38">
        <f>'13 SEMANA'!C12</f>
        <v>0</v>
      </c>
      <c r="D87" s="38">
        <f>+'13 SEMANA'!D11</f>
        <v>0</v>
      </c>
      <c r="E87" s="100"/>
      <c r="F87" s="100"/>
      <c r="G87" s="99"/>
      <c r="H87" s="101"/>
      <c r="I87" s="102"/>
      <c r="J87" s="103"/>
      <c r="K87" s="99"/>
      <c r="L87" s="99"/>
      <c r="M87" s="99"/>
      <c r="N87" s="99"/>
      <c r="O87" s="99"/>
      <c r="P87" s="99"/>
      <c r="Q87" s="99"/>
      <c r="R87" s="100">
        <f>'14 SEMANA '!F11</f>
        <v>0</v>
      </c>
      <c r="S87" s="100">
        <f>'14 SEMANA '!G11</f>
        <v>0</v>
      </c>
      <c r="T87" s="100">
        <f>'14 SEMANA '!H11</f>
        <v>0</v>
      </c>
      <c r="U87" s="100">
        <f>'14 SEMANA '!I11</f>
        <v>0</v>
      </c>
      <c r="V87" s="100">
        <f>'14 SEMANA '!J11</f>
        <v>0</v>
      </c>
      <c r="W87" s="100">
        <f>'14 SEMANA '!K11</f>
        <v>0</v>
      </c>
      <c r="X87" s="99"/>
      <c r="Y87" s="99"/>
      <c r="Z87" s="99"/>
      <c r="AA87" s="99"/>
      <c r="AB87" s="99"/>
      <c r="AC87" s="99"/>
      <c r="AD87" s="99"/>
      <c r="AE87" s="99"/>
      <c r="AF87" s="99"/>
      <c r="AG87" s="99"/>
      <c r="AH87" s="99"/>
      <c r="AI87" s="99"/>
      <c r="AJ87" s="99"/>
      <c r="AK87" s="99"/>
      <c r="AL87" s="99"/>
      <c r="AM87" s="99"/>
      <c r="AN87" s="99"/>
      <c r="AO87" s="99"/>
      <c r="AP87" s="99"/>
      <c r="AQ87" s="99"/>
      <c r="AR87" s="99"/>
      <c r="AS87" s="99"/>
      <c r="AT87" s="99"/>
      <c r="AU87" s="99"/>
      <c r="AV87" s="99"/>
      <c r="AW87" s="99"/>
      <c r="AX87" s="99"/>
      <c r="AY87" s="99"/>
      <c r="AZ87" s="99"/>
      <c r="BA87" s="99"/>
      <c r="BB87" s="99"/>
      <c r="BC87" s="99"/>
      <c r="BD87" s="99"/>
    </row>
    <row r="88" spans="1:56" x14ac:dyDescent="0.25">
      <c r="A88" s="37">
        <f>'13 SEMANA'!A13</f>
        <v>0</v>
      </c>
      <c r="B88" s="38">
        <f>'13 SEMANA'!B13</f>
        <v>0</v>
      </c>
      <c r="C88" s="38">
        <f>'13 SEMANA'!C13</f>
        <v>0</v>
      </c>
      <c r="D88" s="38">
        <f>+'13 SEMANA'!D12</f>
        <v>0</v>
      </c>
      <c r="E88" s="100"/>
      <c r="F88" s="100"/>
      <c r="G88" s="99"/>
      <c r="H88" s="101"/>
      <c r="I88" s="102"/>
      <c r="J88" s="103"/>
      <c r="K88" s="99"/>
      <c r="L88" s="99"/>
      <c r="M88" s="99"/>
      <c r="N88" s="99"/>
      <c r="O88" s="99"/>
      <c r="P88" s="99"/>
      <c r="Q88" s="99"/>
      <c r="R88" s="100">
        <f>'14 SEMANA '!F12</f>
        <v>0</v>
      </c>
      <c r="S88" s="100">
        <f>'14 SEMANA '!G12</f>
        <v>0</v>
      </c>
      <c r="T88" s="100">
        <f>'14 SEMANA '!H12</f>
        <v>0</v>
      </c>
      <c r="U88" s="100">
        <f>'14 SEMANA '!I12</f>
        <v>0</v>
      </c>
      <c r="V88" s="100">
        <f>'14 SEMANA '!J12</f>
        <v>0</v>
      </c>
      <c r="W88" s="100">
        <f>'14 SEMANA '!K12</f>
        <v>0</v>
      </c>
      <c r="X88" s="99"/>
      <c r="Y88" s="99"/>
      <c r="Z88" s="99"/>
      <c r="AA88" s="99"/>
      <c r="AB88" s="99"/>
      <c r="AC88" s="99"/>
      <c r="AD88" s="99"/>
      <c r="AE88" s="99"/>
      <c r="AF88" s="99"/>
      <c r="AG88" s="99"/>
      <c r="AH88" s="99"/>
      <c r="AI88" s="99"/>
      <c r="AJ88" s="99"/>
      <c r="AK88" s="99"/>
      <c r="AL88" s="99"/>
      <c r="AM88" s="99"/>
      <c r="AN88" s="99"/>
      <c r="AO88" s="99"/>
      <c r="AP88" s="99"/>
      <c r="AQ88" s="99"/>
      <c r="AR88" s="99"/>
      <c r="AS88" s="99"/>
      <c r="AT88" s="99"/>
      <c r="AU88" s="99"/>
      <c r="AV88" s="99"/>
      <c r="AW88" s="99"/>
      <c r="AX88" s="99"/>
      <c r="AY88" s="99"/>
      <c r="AZ88" s="99"/>
      <c r="BA88" s="99"/>
      <c r="BB88" s="99"/>
      <c r="BC88" s="99"/>
      <c r="BD88" s="99"/>
    </row>
    <row r="89" spans="1:56" x14ac:dyDescent="0.25">
      <c r="A89" s="37">
        <f>'13 SEMANA'!A14</f>
        <v>0</v>
      </c>
      <c r="B89" s="38">
        <f>'13 SEMANA'!B14</f>
        <v>0</v>
      </c>
      <c r="C89" s="38">
        <f>'13 SEMANA'!C14</f>
        <v>0</v>
      </c>
      <c r="D89" s="38">
        <f>+'13 SEMANA'!D13</f>
        <v>0</v>
      </c>
      <c r="E89" s="100"/>
      <c r="F89" s="100"/>
      <c r="G89" s="99"/>
      <c r="H89" s="101"/>
      <c r="I89" s="102"/>
      <c r="J89" s="103"/>
      <c r="K89" s="99"/>
      <c r="L89" s="99"/>
      <c r="M89" s="99"/>
      <c r="N89" s="99"/>
      <c r="O89" s="99"/>
      <c r="P89" s="99"/>
      <c r="Q89" s="99"/>
      <c r="R89" s="100">
        <f>'14 SEMANA '!F13</f>
        <v>0</v>
      </c>
      <c r="S89" s="100">
        <f>'14 SEMANA '!G13</f>
        <v>0</v>
      </c>
      <c r="T89" s="100">
        <f>'14 SEMANA '!H13</f>
        <v>0</v>
      </c>
      <c r="U89" s="100">
        <f>'14 SEMANA '!I13</f>
        <v>0</v>
      </c>
      <c r="V89" s="100">
        <f>'14 SEMANA '!J13</f>
        <v>0</v>
      </c>
      <c r="W89" s="100">
        <f>'14 SEMANA '!K13</f>
        <v>0</v>
      </c>
      <c r="X89" s="99"/>
      <c r="Y89" s="99"/>
      <c r="Z89" s="99"/>
      <c r="AA89" s="99"/>
      <c r="AB89" s="99"/>
      <c r="AC89" s="99"/>
      <c r="AD89" s="99"/>
      <c r="AE89" s="99"/>
      <c r="AF89" s="99"/>
      <c r="AG89" s="99"/>
      <c r="AH89" s="99"/>
      <c r="AI89" s="99"/>
      <c r="AJ89" s="99"/>
      <c r="AK89" s="99"/>
      <c r="AL89" s="99"/>
      <c r="AM89" s="99"/>
      <c r="AN89" s="99"/>
      <c r="AO89" s="99"/>
      <c r="AP89" s="99"/>
      <c r="AQ89" s="99"/>
      <c r="AR89" s="99"/>
      <c r="AS89" s="99"/>
      <c r="AT89" s="99"/>
      <c r="AU89" s="99"/>
      <c r="AV89" s="99"/>
      <c r="AW89" s="99"/>
      <c r="AX89" s="99"/>
      <c r="AY89" s="99"/>
      <c r="AZ89" s="99"/>
      <c r="BA89" s="99"/>
      <c r="BB89" s="99"/>
      <c r="BC89" s="99"/>
      <c r="BD89" s="99"/>
    </row>
    <row r="90" spans="1:56" x14ac:dyDescent="0.25">
      <c r="A90" s="37">
        <f>'14 SEMANA '!A9</f>
        <v>0</v>
      </c>
      <c r="B90" s="38">
        <f>'14 SEMANA '!B9</f>
        <v>0</v>
      </c>
      <c r="C90" s="38">
        <f>'14 SEMANA '!C9</f>
        <v>0</v>
      </c>
      <c r="D90" s="38">
        <f>+'13 SEMANA'!D14</f>
        <v>0</v>
      </c>
      <c r="E90" s="100"/>
      <c r="F90" s="100"/>
      <c r="G90" s="99"/>
      <c r="H90" s="101"/>
      <c r="I90" s="102"/>
      <c r="J90" s="103"/>
      <c r="K90" s="99"/>
      <c r="L90" s="99"/>
      <c r="M90" s="99"/>
      <c r="N90" s="99"/>
      <c r="O90" s="99"/>
      <c r="P90" s="99"/>
      <c r="Q90" s="99"/>
      <c r="R90" s="100">
        <f>'14 SEMANA '!F14</f>
        <v>0</v>
      </c>
      <c r="S90" s="100">
        <f>'14 SEMANA '!G14</f>
        <v>0</v>
      </c>
      <c r="T90" s="100">
        <f>'14 SEMANA '!H14</f>
        <v>0</v>
      </c>
      <c r="U90" s="100">
        <f>'14 SEMANA '!I14</f>
        <v>0</v>
      </c>
      <c r="V90" s="100">
        <f>'14 SEMANA '!J14</f>
        <v>0</v>
      </c>
      <c r="W90" s="100">
        <f>'14 SEMANA '!K14</f>
        <v>0</v>
      </c>
      <c r="X90" s="99"/>
      <c r="Y90" s="99"/>
      <c r="Z90" s="99"/>
      <c r="AA90" s="99"/>
      <c r="AB90" s="99"/>
      <c r="AC90" s="99"/>
      <c r="AD90" s="99"/>
      <c r="AE90" s="99"/>
      <c r="AF90" s="99"/>
      <c r="AG90" s="99"/>
      <c r="AH90" s="99"/>
      <c r="AI90" s="99"/>
      <c r="AJ90" s="99"/>
      <c r="AK90" s="99"/>
      <c r="AL90" s="99"/>
      <c r="AM90" s="99"/>
      <c r="AN90" s="99"/>
      <c r="AO90" s="99"/>
      <c r="AP90" s="99"/>
      <c r="AQ90" s="99"/>
      <c r="AR90" s="99"/>
      <c r="AS90" s="99"/>
      <c r="AT90" s="99"/>
      <c r="AU90" s="99"/>
      <c r="AV90" s="99"/>
      <c r="AW90" s="99"/>
      <c r="AX90" s="99"/>
      <c r="AY90" s="99"/>
      <c r="AZ90" s="99"/>
      <c r="BA90" s="99"/>
      <c r="BB90" s="99"/>
      <c r="BC90" s="99"/>
      <c r="BD90" s="99"/>
    </row>
    <row r="91" spans="1:56" x14ac:dyDescent="0.25">
      <c r="A91" s="37">
        <f>'14 SEMANA '!A10</f>
        <v>0</v>
      </c>
      <c r="B91" s="38">
        <f>'14 SEMANA '!B10</f>
        <v>0</v>
      </c>
      <c r="C91" s="38">
        <f>'14 SEMANA '!C10</f>
        <v>0</v>
      </c>
      <c r="D91" s="38">
        <f>+'14 SEMANA '!D9</f>
        <v>0</v>
      </c>
      <c r="E91" s="100"/>
      <c r="F91" s="100"/>
      <c r="G91" s="99"/>
      <c r="H91" s="101"/>
      <c r="I91" s="102"/>
      <c r="J91" s="103"/>
      <c r="K91" s="99"/>
      <c r="L91" s="99"/>
      <c r="M91" s="99"/>
      <c r="N91" s="99"/>
      <c r="O91" s="99"/>
      <c r="P91" s="99"/>
      <c r="Q91" s="99"/>
      <c r="R91" s="99"/>
      <c r="S91" s="100">
        <f>+'14 SEMANA '!F9</f>
        <v>0</v>
      </c>
      <c r="T91" s="100">
        <f>+'14 SEMANA '!G9</f>
        <v>0</v>
      </c>
      <c r="U91" s="100">
        <f>+'14 SEMANA '!H9</f>
        <v>0</v>
      </c>
      <c r="V91" s="100">
        <f>+'14 SEMANA '!I9</f>
        <v>0</v>
      </c>
      <c r="W91" s="100">
        <f>+'14 SEMANA '!J9</f>
        <v>0</v>
      </c>
      <c r="X91" s="100">
        <f>+'14 SEMANA '!K9</f>
        <v>0</v>
      </c>
      <c r="Y91" s="99"/>
      <c r="Z91" s="99"/>
      <c r="AA91" s="99"/>
      <c r="AB91" s="99"/>
      <c r="AC91" s="99"/>
      <c r="AD91" s="99"/>
      <c r="AE91" s="99"/>
      <c r="AF91" s="99"/>
      <c r="AG91" s="99"/>
      <c r="AH91" s="99"/>
      <c r="AI91" s="99"/>
      <c r="AJ91" s="99"/>
      <c r="AK91" s="99"/>
      <c r="AL91" s="99"/>
      <c r="AM91" s="99"/>
      <c r="AN91" s="99"/>
      <c r="AO91" s="99"/>
      <c r="AP91" s="99"/>
      <c r="AQ91" s="99"/>
      <c r="AR91" s="99"/>
      <c r="AS91" s="99"/>
      <c r="AT91" s="99"/>
      <c r="AU91" s="99"/>
      <c r="AV91" s="99"/>
      <c r="AW91" s="99"/>
      <c r="AX91" s="99"/>
      <c r="AY91" s="99"/>
      <c r="AZ91" s="99"/>
      <c r="BA91" s="99"/>
      <c r="BB91" s="99"/>
      <c r="BC91" s="99"/>
      <c r="BD91" s="99"/>
    </row>
    <row r="92" spans="1:56" x14ac:dyDescent="0.25">
      <c r="A92" s="37">
        <f>'14 SEMANA '!A11</f>
        <v>0</v>
      </c>
      <c r="B92" s="38">
        <f>'14 SEMANA '!B11</f>
        <v>0</v>
      </c>
      <c r="C92" s="38">
        <f>'14 SEMANA '!C11</f>
        <v>0</v>
      </c>
      <c r="D92" s="38">
        <f>+'14 SEMANA '!D10</f>
        <v>0</v>
      </c>
      <c r="E92" s="100"/>
      <c r="F92" s="100"/>
      <c r="G92" s="99"/>
      <c r="H92" s="101"/>
      <c r="I92" s="102"/>
      <c r="J92" s="103"/>
      <c r="K92" s="99"/>
      <c r="L92" s="99"/>
      <c r="M92" s="99"/>
      <c r="N92" s="99"/>
      <c r="O92" s="99"/>
      <c r="P92" s="99"/>
      <c r="Q92" s="99"/>
      <c r="R92" s="99"/>
      <c r="S92" s="100">
        <f>+'14 SEMANA '!F10</f>
        <v>0</v>
      </c>
      <c r="T92" s="100">
        <f>+'14 SEMANA '!G10</f>
        <v>0</v>
      </c>
      <c r="U92" s="100">
        <f>+'14 SEMANA '!H10</f>
        <v>0</v>
      </c>
      <c r="V92" s="100">
        <f>+'14 SEMANA '!I10</f>
        <v>0</v>
      </c>
      <c r="W92" s="100">
        <f>+'14 SEMANA '!J10</f>
        <v>0</v>
      </c>
      <c r="X92" s="100">
        <f>+'14 SEMANA '!K10</f>
        <v>0</v>
      </c>
      <c r="Y92" s="99"/>
      <c r="Z92" s="99"/>
      <c r="AA92" s="99"/>
      <c r="AB92" s="99"/>
      <c r="AC92" s="99"/>
      <c r="AD92" s="99"/>
      <c r="AE92" s="99"/>
      <c r="AF92" s="99"/>
      <c r="AG92" s="99"/>
      <c r="AH92" s="99"/>
      <c r="AI92" s="99"/>
      <c r="AJ92" s="99"/>
      <c r="AK92" s="99"/>
      <c r="AL92" s="99"/>
      <c r="AM92" s="99"/>
      <c r="AN92" s="99"/>
      <c r="AO92" s="99"/>
      <c r="AP92" s="99"/>
      <c r="AQ92" s="99"/>
      <c r="AR92" s="99"/>
      <c r="AS92" s="99"/>
      <c r="AT92" s="99"/>
      <c r="AU92" s="99"/>
      <c r="AV92" s="99"/>
      <c r="AW92" s="99"/>
      <c r="AX92" s="99"/>
      <c r="AY92" s="99"/>
      <c r="AZ92" s="99"/>
      <c r="BA92" s="99"/>
      <c r="BB92" s="99"/>
      <c r="BC92" s="99"/>
      <c r="BD92" s="99"/>
    </row>
    <row r="93" spans="1:56" x14ac:dyDescent="0.25">
      <c r="A93" s="37">
        <f>'14 SEMANA '!A12</f>
        <v>0</v>
      </c>
      <c r="B93" s="38">
        <f>'14 SEMANA '!B12</f>
        <v>0</v>
      </c>
      <c r="C93" s="38">
        <f>'14 SEMANA '!C12</f>
        <v>0</v>
      </c>
      <c r="D93" s="38">
        <f>+'14 SEMANA '!D11</f>
        <v>0</v>
      </c>
      <c r="E93" s="100"/>
      <c r="F93" s="100"/>
      <c r="G93" s="99"/>
      <c r="H93" s="101"/>
      <c r="I93" s="102"/>
      <c r="J93" s="103"/>
      <c r="K93" s="99"/>
      <c r="L93" s="99"/>
      <c r="M93" s="99"/>
      <c r="N93" s="99"/>
      <c r="O93" s="99"/>
      <c r="P93" s="99"/>
      <c r="Q93" s="99"/>
      <c r="R93" s="99"/>
      <c r="S93" s="100">
        <f>+'14 SEMANA '!F11</f>
        <v>0</v>
      </c>
      <c r="T93" s="100">
        <f>+'14 SEMANA '!G11</f>
        <v>0</v>
      </c>
      <c r="U93" s="100">
        <f>+'14 SEMANA '!H11</f>
        <v>0</v>
      </c>
      <c r="V93" s="100">
        <f>+'14 SEMANA '!I11</f>
        <v>0</v>
      </c>
      <c r="W93" s="100">
        <f>+'14 SEMANA '!J11</f>
        <v>0</v>
      </c>
      <c r="X93" s="100">
        <f>+'14 SEMANA '!K11</f>
        <v>0</v>
      </c>
      <c r="Y93" s="99"/>
      <c r="Z93" s="99"/>
      <c r="AA93" s="99"/>
      <c r="AB93" s="99"/>
      <c r="AC93" s="99"/>
      <c r="AD93" s="99"/>
      <c r="AE93" s="99"/>
      <c r="AF93" s="99"/>
      <c r="AG93" s="99"/>
      <c r="AH93" s="99"/>
      <c r="AI93" s="99"/>
      <c r="AJ93" s="99"/>
      <c r="AK93" s="99"/>
      <c r="AL93" s="99"/>
      <c r="AM93" s="99"/>
      <c r="AN93" s="99"/>
      <c r="AO93" s="99"/>
      <c r="AP93" s="99"/>
      <c r="AQ93" s="99"/>
      <c r="AR93" s="99"/>
      <c r="AS93" s="99"/>
      <c r="AT93" s="99"/>
      <c r="AU93" s="99"/>
      <c r="AV93" s="99"/>
      <c r="AW93" s="99"/>
      <c r="AX93" s="99"/>
      <c r="AY93" s="99"/>
      <c r="AZ93" s="99"/>
      <c r="BA93" s="99"/>
      <c r="BB93" s="99"/>
      <c r="BC93" s="99"/>
      <c r="BD93" s="99"/>
    </row>
    <row r="94" spans="1:56" x14ac:dyDescent="0.25">
      <c r="A94" s="37">
        <f>'14 SEMANA '!A13</f>
        <v>0</v>
      </c>
      <c r="B94" s="38">
        <f>'14 SEMANA '!B13</f>
        <v>0</v>
      </c>
      <c r="C94" s="38">
        <f>'14 SEMANA '!C13</f>
        <v>0</v>
      </c>
      <c r="D94" s="38">
        <f>+'14 SEMANA '!D12</f>
        <v>0</v>
      </c>
      <c r="E94" s="100"/>
      <c r="F94" s="100"/>
      <c r="G94" s="99"/>
      <c r="H94" s="101"/>
      <c r="I94" s="102"/>
      <c r="J94" s="103"/>
      <c r="K94" s="99"/>
      <c r="L94" s="99"/>
      <c r="M94" s="99"/>
      <c r="N94" s="99"/>
      <c r="O94" s="99"/>
      <c r="P94" s="99"/>
      <c r="Q94" s="99"/>
      <c r="R94" s="99"/>
      <c r="S94" s="100">
        <f>+'14 SEMANA '!F12</f>
        <v>0</v>
      </c>
      <c r="T94" s="100">
        <f>+'14 SEMANA '!G12</f>
        <v>0</v>
      </c>
      <c r="U94" s="100">
        <f>+'14 SEMANA '!H12</f>
        <v>0</v>
      </c>
      <c r="V94" s="100">
        <f>+'14 SEMANA '!I12</f>
        <v>0</v>
      </c>
      <c r="W94" s="100">
        <f>+'14 SEMANA '!J12</f>
        <v>0</v>
      </c>
      <c r="X94" s="100">
        <f>+'14 SEMANA '!K12</f>
        <v>0</v>
      </c>
      <c r="Y94" s="99"/>
      <c r="Z94" s="99"/>
      <c r="AA94" s="99"/>
      <c r="AB94" s="99"/>
      <c r="AC94" s="99"/>
      <c r="AD94" s="99"/>
      <c r="AE94" s="99"/>
      <c r="AF94" s="99"/>
      <c r="AG94" s="99"/>
      <c r="AH94" s="99"/>
      <c r="AI94" s="99"/>
      <c r="AJ94" s="99"/>
      <c r="AK94" s="99"/>
      <c r="AL94" s="99"/>
      <c r="AM94" s="99"/>
      <c r="AN94" s="99"/>
      <c r="AO94" s="99"/>
      <c r="AP94" s="99"/>
      <c r="AQ94" s="99"/>
      <c r="AR94" s="99"/>
      <c r="AS94" s="99"/>
      <c r="AT94" s="99"/>
      <c r="AU94" s="99"/>
      <c r="AV94" s="99"/>
      <c r="AW94" s="99"/>
      <c r="AX94" s="99"/>
      <c r="AY94" s="99"/>
      <c r="AZ94" s="99"/>
      <c r="BA94" s="99"/>
      <c r="BB94" s="99"/>
      <c r="BC94" s="99"/>
      <c r="BD94" s="99"/>
    </row>
    <row r="95" spans="1:56" x14ac:dyDescent="0.25">
      <c r="A95" s="37">
        <f>'14 SEMANA '!A14</f>
        <v>0</v>
      </c>
      <c r="B95" s="38">
        <f>'14 SEMANA '!B14</f>
        <v>0</v>
      </c>
      <c r="C95" s="38">
        <f>'14 SEMANA '!C14</f>
        <v>0</v>
      </c>
      <c r="D95" s="38">
        <f>+'14 SEMANA '!D13</f>
        <v>0</v>
      </c>
      <c r="E95" s="100"/>
      <c r="F95" s="100"/>
      <c r="G95" s="99"/>
      <c r="H95" s="101"/>
      <c r="I95" s="102"/>
      <c r="J95" s="103"/>
      <c r="K95" s="99"/>
      <c r="L95" s="99"/>
      <c r="M95" s="99"/>
      <c r="N95" s="99"/>
      <c r="O95" s="99"/>
      <c r="P95" s="99"/>
      <c r="Q95" s="99"/>
      <c r="R95" s="99"/>
      <c r="S95" s="100">
        <f>+'14 SEMANA '!F13</f>
        <v>0</v>
      </c>
      <c r="T95" s="100">
        <f>+'14 SEMANA '!G13</f>
        <v>0</v>
      </c>
      <c r="U95" s="100">
        <f>+'14 SEMANA '!H13</f>
        <v>0</v>
      </c>
      <c r="V95" s="100">
        <f>+'14 SEMANA '!I13</f>
        <v>0</v>
      </c>
      <c r="W95" s="100">
        <f>+'14 SEMANA '!J13</f>
        <v>0</v>
      </c>
      <c r="X95" s="100">
        <f>+'14 SEMANA '!K13</f>
        <v>0</v>
      </c>
      <c r="Y95" s="99"/>
      <c r="Z95" s="99"/>
      <c r="AA95" s="99"/>
      <c r="AB95" s="99"/>
      <c r="AC95" s="99"/>
      <c r="AD95" s="99"/>
      <c r="AE95" s="99"/>
      <c r="AF95" s="99"/>
      <c r="AG95" s="99"/>
      <c r="AH95" s="99"/>
      <c r="AI95" s="99"/>
      <c r="AJ95" s="99"/>
      <c r="AK95" s="99"/>
      <c r="AL95" s="99"/>
      <c r="AM95" s="99"/>
      <c r="AN95" s="99"/>
      <c r="AO95" s="99"/>
      <c r="AP95" s="99"/>
      <c r="AQ95" s="99"/>
      <c r="AR95" s="99"/>
      <c r="AS95" s="99"/>
      <c r="AT95" s="99"/>
      <c r="AU95" s="99"/>
      <c r="AV95" s="99"/>
      <c r="AW95" s="99"/>
      <c r="AX95" s="99"/>
      <c r="AY95" s="99"/>
      <c r="AZ95" s="99"/>
      <c r="BA95" s="99"/>
      <c r="BB95" s="99"/>
      <c r="BC95" s="99"/>
      <c r="BD95" s="99"/>
    </row>
    <row r="96" spans="1:56" x14ac:dyDescent="0.25">
      <c r="A96" s="37">
        <f>'15 SEMANA'!A9</f>
        <v>0</v>
      </c>
      <c r="B96" s="38">
        <f>'15 SEMANA'!B9</f>
        <v>0</v>
      </c>
      <c r="C96" s="38">
        <f>'15 SEMANA'!C9</f>
        <v>0</v>
      </c>
      <c r="D96" s="38">
        <f>+'14 SEMANA '!D14</f>
        <v>0</v>
      </c>
      <c r="E96" s="100"/>
      <c r="F96" s="100"/>
      <c r="G96" s="99"/>
      <c r="H96" s="101"/>
      <c r="I96" s="102"/>
      <c r="J96" s="103"/>
      <c r="K96" s="99"/>
      <c r="L96" s="99"/>
      <c r="M96" s="99"/>
      <c r="N96" s="99"/>
      <c r="O96" s="99"/>
      <c r="P96" s="99"/>
      <c r="Q96" s="99"/>
      <c r="R96" s="99"/>
      <c r="S96" s="100">
        <f>+'14 SEMANA '!F14</f>
        <v>0</v>
      </c>
      <c r="T96" s="100">
        <f>+'14 SEMANA '!G14</f>
        <v>0</v>
      </c>
      <c r="U96" s="100">
        <f>+'14 SEMANA '!H14</f>
        <v>0</v>
      </c>
      <c r="V96" s="100">
        <f>+'14 SEMANA '!I14</f>
        <v>0</v>
      </c>
      <c r="W96" s="100">
        <f>+'14 SEMANA '!J14</f>
        <v>0</v>
      </c>
      <c r="X96" s="100">
        <f>+'14 SEMANA '!K14</f>
        <v>0</v>
      </c>
      <c r="Y96" s="99"/>
      <c r="Z96" s="99"/>
      <c r="AA96" s="99"/>
      <c r="AB96" s="99"/>
      <c r="AC96" s="99"/>
      <c r="AD96" s="99"/>
      <c r="AE96" s="99"/>
      <c r="AF96" s="99"/>
      <c r="AG96" s="99"/>
      <c r="AH96" s="99"/>
      <c r="AI96" s="99"/>
      <c r="AJ96" s="99"/>
      <c r="AK96" s="99"/>
      <c r="AL96" s="99"/>
      <c r="AM96" s="99"/>
      <c r="AN96" s="99"/>
      <c r="AO96" s="99"/>
      <c r="AP96" s="99"/>
      <c r="AQ96" s="99"/>
      <c r="AR96" s="99"/>
      <c r="AS96" s="99"/>
      <c r="AT96" s="99"/>
      <c r="AU96" s="99"/>
      <c r="AV96" s="99"/>
      <c r="AW96" s="99"/>
      <c r="AX96" s="99"/>
      <c r="AY96" s="99"/>
      <c r="AZ96" s="99"/>
      <c r="BA96" s="99"/>
      <c r="BB96" s="99"/>
      <c r="BC96" s="99"/>
      <c r="BD96" s="99"/>
    </row>
    <row r="97" spans="1:56" x14ac:dyDescent="0.25">
      <c r="A97" s="37">
        <f>'15 SEMANA'!A10</f>
        <v>0</v>
      </c>
      <c r="B97" s="38">
        <f>'15 SEMANA'!B10</f>
        <v>0</v>
      </c>
      <c r="C97" s="38">
        <f>'15 SEMANA'!C10</f>
        <v>0</v>
      </c>
      <c r="D97" s="38">
        <f>+'15 SEMANA'!D9</f>
        <v>0</v>
      </c>
      <c r="E97" s="100"/>
      <c r="F97" s="100"/>
      <c r="G97" s="99"/>
      <c r="H97" s="101"/>
      <c r="I97" s="102"/>
      <c r="J97" s="103"/>
      <c r="K97" s="99"/>
      <c r="L97" s="99"/>
      <c r="M97" s="99"/>
      <c r="N97" s="99"/>
      <c r="O97" s="99"/>
      <c r="P97" s="99"/>
      <c r="Q97" s="99"/>
      <c r="R97" s="99"/>
      <c r="S97" s="99"/>
      <c r="T97" s="100">
        <f>+'15 SEMANA'!F9</f>
        <v>0</v>
      </c>
      <c r="U97" s="100">
        <f>+'15 SEMANA'!G9</f>
        <v>0</v>
      </c>
      <c r="V97" s="100">
        <f>+'15 SEMANA'!H9</f>
        <v>0</v>
      </c>
      <c r="W97" s="100">
        <f>+'15 SEMANA'!I9</f>
        <v>0</v>
      </c>
      <c r="X97" s="100">
        <f>+'15 SEMANA'!J9</f>
        <v>0</v>
      </c>
      <c r="Y97" s="100">
        <f>+'15 SEMANA'!K9</f>
        <v>0</v>
      </c>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row>
    <row r="98" spans="1:56" x14ac:dyDescent="0.25">
      <c r="A98" s="37">
        <f>'15 SEMANA'!A11</f>
        <v>0</v>
      </c>
      <c r="B98" s="38">
        <f>'15 SEMANA'!B11</f>
        <v>0</v>
      </c>
      <c r="C98" s="38">
        <f>'15 SEMANA'!C11</f>
        <v>0</v>
      </c>
      <c r="D98" s="38">
        <f>+'15 SEMANA'!D10</f>
        <v>0</v>
      </c>
      <c r="E98" s="100"/>
      <c r="F98" s="100"/>
      <c r="G98" s="99"/>
      <c r="H98" s="101"/>
      <c r="I98" s="102"/>
      <c r="J98" s="103"/>
      <c r="K98" s="99"/>
      <c r="L98" s="99"/>
      <c r="M98" s="99"/>
      <c r="N98" s="99"/>
      <c r="O98" s="99"/>
      <c r="P98" s="99"/>
      <c r="Q98" s="99"/>
      <c r="R98" s="99"/>
      <c r="S98" s="99"/>
      <c r="T98" s="100">
        <f>+'15 SEMANA'!F10</f>
        <v>0</v>
      </c>
      <c r="U98" s="100">
        <f>+'15 SEMANA'!G10</f>
        <v>0</v>
      </c>
      <c r="V98" s="100">
        <f>+'15 SEMANA'!H10</f>
        <v>0</v>
      </c>
      <c r="W98" s="100">
        <f>+'15 SEMANA'!I10</f>
        <v>0</v>
      </c>
      <c r="X98" s="100">
        <f>+'15 SEMANA'!J10</f>
        <v>0</v>
      </c>
      <c r="Y98" s="100">
        <f>+'15 SEMANA'!K10</f>
        <v>0</v>
      </c>
      <c r="Z98" s="99"/>
      <c r="AA98" s="99"/>
      <c r="AB98" s="99"/>
      <c r="AC98" s="99"/>
      <c r="AD98" s="99"/>
      <c r="AE98" s="99"/>
      <c r="AF98" s="99"/>
      <c r="AG98" s="99"/>
      <c r="AH98" s="99"/>
      <c r="AI98" s="99"/>
      <c r="AJ98" s="99"/>
      <c r="AK98" s="99"/>
      <c r="AL98" s="99"/>
      <c r="AM98" s="99"/>
      <c r="AN98" s="99"/>
      <c r="AO98" s="99"/>
      <c r="AP98" s="99"/>
      <c r="AQ98" s="99"/>
      <c r="AR98" s="99"/>
      <c r="AS98" s="99"/>
      <c r="AT98" s="99"/>
      <c r="AU98" s="99"/>
      <c r="AV98" s="99"/>
      <c r="AW98" s="99"/>
      <c r="AX98" s="99"/>
      <c r="AY98" s="99"/>
      <c r="AZ98" s="99"/>
      <c r="BA98" s="99"/>
      <c r="BB98" s="99"/>
      <c r="BC98" s="99"/>
      <c r="BD98" s="99"/>
    </row>
    <row r="99" spans="1:56" x14ac:dyDescent="0.25">
      <c r="A99" s="37">
        <f>'15 SEMANA'!A12</f>
        <v>0</v>
      </c>
      <c r="B99" s="38">
        <f>'15 SEMANA'!B12</f>
        <v>0</v>
      </c>
      <c r="C99" s="38">
        <f>'15 SEMANA'!C12</f>
        <v>0</v>
      </c>
      <c r="D99" s="38">
        <f>+'15 SEMANA'!D11</f>
        <v>0</v>
      </c>
      <c r="E99" s="100"/>
      <c r="F99" s="100"/>
      <c r="G99" s="99"/>
      <c r="H99" s="101"/>
      <c r="I99" s="102"/>
      <c r="J99" s="103"/>
      <c r="K99" s="99"/>
      <c r="L99" s="99"/>
      <c r="M99" s="99"/>
      <c r="N99" s="99"/>
      <c r="O99" s="99"/>
      <c r="P99" s="99"/>
      <c r="Q99" s="99"/>
      <c r="R99" s="99"/>
      <c r="S99" s="99"/>
      <c r="T99" s="100">
        <f>+'15 SEMANA'!F11</f>
        <v>0</v>
      </c>
      <c r="U99" s="100">
        <f>+'15 SEMANA'!G11</f>
        <v>0</v>
      </c>
      <c r="V99" s="100">
        <f>+'15 SEMANA'!H11</f>
        <v>0</v>
      </c>
      <c r="W99" s="100">
        <f>+'15 SEMANA'!I11</f>
        <v>0</v>
      </c>
      <c r="X99" s="100">
        <f>+'15 SEMANA'!J11</f>
        <v>0</v>
      </c>
      <c r="Y99" s="100">
        <f>+'15 SEMANA'!K11</f>
        <v>0</v>
      </c>
      <c r="Z99" s="99"/>
      <c r="AA99" s="99"/>
      <c r="AB99" s="99"/>
      <c r="AC99" s="99"/>
      <c r="AD99" s="99"/>
      <c r="AE99" s="99"/>
      <c r="AF99" s="99"/>
      <c r="AG99" s="99"/>
      <c r="AH99" s="99"/>
      <c r="AI99" s="99"/>
      <c r="AJ99" s="99"/>
      <c r="AK99" s="99"/>
      <c r="AL99" s="99"/>
      <c r="AM99" s="99"/>
      <c r="AN99" s="99"/>
      <c r="AO99" s="99"/>
      <c r="AP99" s="99"/>
      <c r="AQ99" s="99"/>
      <c r="AR99" s="99"/>
      <c r="AS99" s="99"/>
      <c r="AT99" s="99"/>
      <c r="AU99" s="99"/>
      <c r="AV99" s="99"/>
      <c r="AW99" s="99"/>
      <c r="AX99" s="99"/>
      <c r="AY99" s="99"/>
      <c r="AZ99" s="99"/>
      <c r="BA99" s="99"/>
      <c r="BB99" s="99"/>
      <c r="BC99" s="99"/>
      <c r="BD99" s="99"/>
    </row>
    <row r="100" spans="1:56" x14ac:dyDescent="0.25">
      <c r="A100" s="37">
        <f>'15 SEMANA'!A13</f>
        <v>0</v>
      </c>
      <c r="B100" s="38">
        <f>'15 SEMANA'!B13</f>
        <v>0</v>
      </c>
      <c r="C100" s="38">
        <f>'15 SEMANA'!C13</f>
        <v>0</v>
      </c>
      <c r="D100" s="38">
        <f>+'15 SEMANA'!D12</f>
        <v>0</v>
      </c>
      <c r="E100" s="100"/>
      <c r="F100" s="100"/>
      <c r="G100" s="99"/>
      <c r="H100" s="101"/>
      <c r="I100" s="102"/>
      <c r="J100" s="103"/>
      <c r="K100" s="99"/>
      <c r="L100" s="99"/>
      <c r="M100" s="99"/>
      <c r="N100" s="99"/>
      <c r="O100" s="99"/>
      <c r="P100" s="99"/>
      <c r="Q100" s="99"/>
      <c r="R100" s="99"/>
      <c r="S100" s="99"/>
      <c r="T100" s="100">
        <f>+'15 SEMANA'!F12</f>
        <v>0</v>
      </c>
      <c r="U100" s="100">
        <f>+'15 SEMANA'!G12</f>
        <v>0</v>
      </c>
      <c r="V100" s="100">
        <f>+'15 SEMANA'!H12</f>
        <v>0</v>
      </c>
      <c r="W100" s="100">
        <f>+'15 SEMANA'!I12</f>
        <v>0</v>
      </c>
      <c r="X100" s="100">
        <f>+'15 SEMANA'!J12</f>
        <v>0</v>
      </c>
      <c r="Y100" s="100">
        <f>+'15 SEMANA'!K12</f>
        <v>0</v>
      </c>
      <c r="Z100" s="99"/>
      <c r="AA100" s="99"/>
      <c r="AB100" s="99"/>
      <c r="AC100" s="99"/>
      <c r="AD100" s="99"/>
      <c r="AE100" s="99"/>
      <c r="AF100" s="99"/>
      <c r="AG100" s="99"/>
      <c r="AH100" s="99"/>
      <c r="AI100" s="99"/>
      <c r="AJ100" s="99"/>
      <c r="AK100" s="99"/>
      <c r="AL100" s="99"/>
      <c r="AM100" s="99"/>
      <c r="AN100" s="99"/>
      <c r="AO100" s="99"/>
      <c r="AP100" s="99"/>
      <c r="AQ100" s="99"/>
      <c r="AR100" s="99"/>
      <c r="AS100" s="99"/>
      <c r="AT100" s="99"/>
      <c r="AU100" s="99"/>
      <c r="AV100" s="99"/>
      <c r="AW100" s="99"/>
      <c r="AX100" s="99"/>
      <c r="AY100" s="99"/>
      <c r="AZ100" s="99"/>
      <c r="BA100" s="99"/>
      <c r="BB100" s="99"/>
      <c r="BC100" s="99"/>
      <c r="BD100" s="99"/>
    </row>
    <row r="101" spans="1:56" x14ac:dyDescent="0.25">
      <c r="A101" s="37">
        <f>'15 SEMANA'!A14</f>
        <v>0</v>
      </c>
      <c r="B101" s="38">
        <f>'15 SEMANA'!B14</f>
        <v>0</v>
      </c>
      <c r="C101" s="38">
        <f>'15 SEMANA'!C14</f>
        <v>0</v>
      </c>
      <c r="D101" s="38">
        <f>+'15 SEMANA'!D13</f>
        <v>0</v>
      </c>
      <c r="E101" s="100"/>
      <c r="F101" s="100"/>
      <c r="G101" s="99"/>
      <c r="H101" s="101"/>
      <c r="I101" s="102"/>
      <c r="J101" s="103"/>
      <c r="K101" s="99"/>
      <c r="L101" s="99"/>
      <c r="M101" s="99"/>
      <c r="N101" s="99"/>
      <c r="O101" s="99"/>
      <c r="P101" s="99"/>
      <c r="Q101" s="99"/>
      <c r="R101" s="99"/>
      <c r="S101" s="99"/>
      <c r="T101" s="100">
        <f>+'15 SEMANA'!F13</f>
        <v>0</v>
      </c>
      <c r="U101" s="100">
        <f>+'15 SEMANA'!G13</f>
        <v>0</v>
      </c>
      <c r="V101" s="100">
        <f>+'15 SEMANA'!H13</f>
        <v>0</v>
      </c>
      <c r="W101" s="100">
        <f>+'15 SEMANA'!I13</f>
        <v>0</v>
      </c>
      <c r="X101" s="100">
        <f>+'15 SEMANA'!J13</f>
        <v>0</v>
      </c>
      <c r="Y101" s="100">
        <f>+'15 SEMANA'!K13</f>
        <v>0</v>
      </c>
      <c r="Z101" s="99"/>
      <c r="AA101" s="99"/>
      <c r="AB101" s="99"/>
      <c r="AC101" s="99"/>
      <c r="AD101" s="99"/>
      <c r="AE101" s="99"/>
      <c r="AF101" s="99"/>
      <c r="AG101" s="99"/>
      <c r="AH101" s="99"/>
      <c r="AI101" s="99"/>
      <c r="AJ101" s="99"/>
      <c r="AK101" s="99"/>
      <c r="AL101" s="99"/>
      <c r="AM101" s="99"/>
      <c r="AN101" s="99"/>
      <c r="AO101" s="99"/>
      <c r="AP101" s="99"/>
      <c r="AQ101" s="99"/>
      <c r="AR101" s="99"/>
      <c r="AS101" s="99"/>
      <c r="AT101" s="99"/>
      <c r="AU101" s="99"/>
      <c r="AV101" s="99"/>
      <c r="AW101" s="99"/>
      <c r="AX101" s="99"/>
      <c r="AY101" s="99"/>
      <c r="AZ101" s="99"/>
      <c r="BA101" s="99"/>
      <c r="BB101" s="99"/>
      <c r="BC101" s="99"/>
      <c r="BD101" s="99"/>
    </row>
    <row r="102" spans="1:56" x14ac:dyDescent="0.25">
      <c r="A102" s="37">
        <f>'16 SEMANA '!A9</f>
        <v>0</v>
      </c>
      <c r="B102" s="38">
        <f>'16 SEMANA '!B9</f>
        <v>0</v>
      </c>
      <c r="C102" s="38">
        <f>'16 SEMANA '!C9</f>
        <v>0</v>
      </c>
      <c r="D102" s="38">
        <f>+'15 SEMANA'!D14</f>
        <v>0</v>
      </c>
      <c r="E102" s="100"/>
      <c r="F102" s="100"/>
      <c r="G102" s="99"/>
      <c r="H102" s="101"/>
      <c r="I102" s="102"/>
      <c r="J102" s="103"/>
      <c r="K102" s="99"/>
      <c r="L102" s="99"/>
      <c r="M102" s="99"/>
      <c r="N102" s="99"/>
      <c r="O102" s="99"/>
      <c r="P102" s="99"/>
      <c r="Q102" s="99"/>
      <c r="R102" s="99"/>
      <c r="S102" s="99"/>
      <c r="T102" s="100">
        <f>+'15 SEMANA'!F14</f>
        <v>0</v>
      </c>
      <c r="U102" s="100">
        <f>+'15 SEMANA'!G14</f>
        <v>0</v>
      </c>
      <c r="V102" s="100">
        <f>+'15 SEMANA'!H14</f>
        <v>0</v>
      </c>
      <c r="W102" s="100">
        <f>+'15 SEMANA'!I14</f>
        <v>0</v>
      </c>
      <c r="X102" s="100">
        <f>+'15 SEMANA'!J14</f>
        <v>0</v>
      </c>
      <c r="Y102" s="100">
        <f>+'15 SEMANA'!K14</f>
        <v>0</v>
      </c>
      <c r="Z102" s="99"/>
      <c r="AA102" s="99"/>
      <c r="AB102" s="99"/>
      <c r="AC102" s="99"/>
      <c r="AD102" s="99"/>
      <c r="AE102" s="99"/>
      <c r="AF102" s="99"/>
      <c r="AG102" s="99"/>
      <c r="AH102" s="99"/>
      <c r="AI102" s="99"/>
      <c r="AJ102" s="99"/>
      <c r="AK102" s="99"/>
      <c r="AL102" s="99"/>
      <c r="AM102" s="99"/>
      <c r="AN102" s="99"/>
      <c r="AO102" s="99"/>
      <c r="AP102" s="99"/>
      <c r="AQ102" s="99"/>
      <c r="AR102" s="99"/>
      <c r="AS102" s="99"/>
      <c r="AT102" s="99"/>
      <c r="AU102" s="99"/>
      <c r="AV102" s="99"/>
      <c r="AW102" s="99"/>
      <c r="AX102" s="99"/>
      <c r="AY102" s="99"/>
      <c r="AZ102" s="99"/>
      <c r="BA102" s="99"/>
      <c r="BB102" s="99"/>
      <c r="BC102" s="99"/>
      <c r="BD102" s="99"/>
    </row>
    <row r="103" spans="1:56" x14ac:dyDescent="0.25">
      <c r="A103" s="37">
        <f>'16 SEMANA '!A10</f>
        <v>0</v>
      </c>
      <c r="B103" s="38">
        <f>'16 SEMANA '!B10</f>
        <v>0</v>
      </c>
      <c r="C103" s="38">
        <f>'16 SEMANA '!C10</f>
        <v>0</v>
      </c>
      <c r="D103" s="38">
        <f>+'16 SEMANA '!D9</f>
        <v>0</v>
      </c>
      <c r="E103" s="100"/>
      <c r="F103" s="100"/>
      <c r="G103" s="99"/>
      <c r="H103" s="101"/>
      <c r="I103" s="102"/>
      <c r="J103" s="103"/>
      <c r="K103" s="99"/>
      <c r="L103" s="99"/>
      <c r="M103" s="99"/>
      <c r="N103" s="99"/>
      <c r="O103" s="99"/>
      <c r="P103" s="99"/>
      <c r="Q103" s="99"/>
      <c r="R103" s="99"/>
      <c r="S103" s="99"/>
      <c r="T103" s="99"/>
      <c r="U103" s="100">
        <f>+'16 SEMANA '!F9</f>
        <v>0</v>
      </c>
      <c r="V103" s="100">
        <f>+'16 SEMANA '!G9</f>
        <v>0</v>
      </c>
      <c r="W103" s="100">
        <f>+'16 SEMANA '!H9</f>
        <v>0</v>
      </c>
      <c r="X103" s="100">
        <f>+'16 SEMANA '!I9</f>
        <v>0</v>
      </c>
      <c r="Y103" s="100">
        <f>+'16 SEMANA '!J9</f>
        <v>0</v>
      </c>
      <c r="Z103" s="100">
        <f>+'16 SEMANA '!K9</f>
        <v>0</v>
      </c>
      <c r="AA103" s="99"/>
      <c r="AB103" s="99"/>
      <c r="AC103" s="99"/>
      <c r="AD103" s="99"/>
      <c r="AE103" s="99"/>
      <c r="AF103" s="99"/>
      <c r="AG103" s="99"/>
      <c r="AH103" s="99"/>
      <c r="AI103" s="99"/>
      <c r="AJ103" s="99"/>
      <c r="AK103" s="99"/>
      <c r="AL103" s="99"/>
      <c r="AM103" s="99"/>
      <c r="AN103" s="99"/>
      <c r="AO103" s="99"/>
      <c r="AP103" s="99"/>
      <c r="AQ103" s="99"/>
      <c r="AR103" s="99"/>
      <c r="AS103" s="99"/>
      <c r="AT103" s="99"/>
      <c r="AU103" s="99"/>
      <c r="AV103" s="99"/>
      <c r="AW103" s="99"/>
      <c r="AX103" s="99"/>
      <c r="AY103" s="99"/>
      <c r="AZ103" s="99"/>
      <c r="BA103" s="99"/>
      <c r="BB103" s="99"/>
      <c r="BC103" s="99"/>
      <c r="BD103" s="99"/>
    </row>
    <row r="104" spans="1:56" x14ac:dyDescent="0.25">
      <c r="A104" s="37">
        <f>'16 SEMANA '!A11</f>
        <v>0</v>
      </c>
      <c r="B104" s="38">
        <f>'16 SEMANA '!B11</f>
        <v>0</v>
      </c>
      <c r="C104" s="38">
        <f>'16 SEMANA '!C11</f>
        <v>0</v>
      </c>
      <c r="D104" s="38">
        <f>+'16 SEMANA '!D10</f>
        <v>0</v>
      </c>
      <c r="E104" s="100"/>
      <c r="F104" s="100"/>
      <c r="G104" s="99"/>
      <c r="H104" s="101"/>
      <c r="I104" s="102"/>
      <c r="J104" s="103"/>
      <c r="K104" s="99"/>
      <c r="L104" s="99"/>
      <c r="M104" s="99"/>
      <c r="N104" s="99"/>
      <c r="O104" s="99"/>
      <c r="P104" s="99"/>
      <c r="Q104" s="99"/>
      <c r="R104" s="99"/>
      <c r="S104" s="99"/>
      <c r="T104" s="99"/>
      <c r="U104" s="100">
        <f>+'16 SEMANA '!F10</f>
        <v>0</v>
      </c>
      <c r="V104" s="100">
        <f>+'16 SEMANA '!G10</f>
        <v>0</v>
      </c>
      <c r="W104" s="100">
        <f>+'16 SEMANA '!H10</f>
        <v>0</v>
      </c>
      <c r="X104" s="100">
        <f>+'16 SEMANA '!I10</f>
        <v>0</v>
      </c>
      <c r="Y104" s="100">
        <f>+'16 SEMANA '!J10</f>
        <v>0</v>
      </c>
      <c r="Z104" s="100">
        <f>+'16 SEMANA '!K10</f>
        <v>0</v>
      </c>
      <c r="AA104" s="99"/>
      <c r="AB104" s="99"/>
      <c r="AC104" s="99"/>
      <c r="AD104" s="99"/>
      <c r="AE104" s="99"/>
      <c r="AF104" s="99"/>
      <c r="AG104" s="99"/>
      <c r="AH104" s="99"/>
      <c r="AI104" s="99"/>
      <c r="AJ104" s="99"/>
      <c r="AK104" s="99"/>
      <c r="AL104" s="99"/>
      <c r="AM104" s="99"/>
      <c r="AN104" s="99"/>
      <c r="AO104" s="99"/>
      <c r="AP104" s="99"/>
      <c r="AQ104" s="99"/>
      <c r="AR104" s="99"/>
      <c r="AS104" s="99"/>
      <c r="AT104" s="99"/>
      <c r="AU104" s="99"/>
      <c r="AV104" s="99"/>
      <c r="AW104" s="99"/>
      <c r="AX104" s="99"/>
      <c r="AY104" s="99"/>
      <c r="AZ104" s="99"/>
      <c r="BA104" s="99"/>
      <c r="BB104" s="99"/>
      <c r="BC104" s="99"/>
      <c r="BD104" s="99"/>
    </row>
    <row r="105" spans="1:56" x14ac:dyDescent="0.25">
      <c r="A105" s="37">
        <f>'16 SEMANA '!A12</f>
        <v>0</v>
      </c>
      <c r="B105" s="38">
        <f>'16 SEMANA '!B12</f>
        <v>0</v>
      </c>
      <c r="C105" s="38">
        <f>'16 SEMANA '!C12</f>
        <v>0</v>
      </c>
      <c r="D105" s="38">
        <f>+'16 SEMANA '!D11</f>
        <v>0</v>
      </c>
      <c r="E105" s="100"/>
      <c r="F105" s="100"/>
      <c r="G105" s="99"/>
      <c r="H105" s="101"/>
      <c r="I105" s="102"/>
      <c r="J105" s="103"/>
      <c r="K105" s="99"/>
      <c r="L105" s="99"/>
      <c r="M105" s="99"/>
      <c r="N105" s="99"/>
      <c r="O105" s="99"/>
      <c r="P105" s="99"/>
      <c r="Q105" s="99"/>
      <c r="R105" s="99"/>
      <c r="S105" s="99"/>
      <c r="T105" s="99"/>
      <c r="U105" s="100">
        <f>+'16 SEMANA '!F11</f>
        <v>0</v>
      </c>
      <c r="V105" s="100">
        <f>+'16 SEMANA '!G11</f>
        <v>0</v>
      </c>
      <c r="W105" s="100">
        <f>+'16 SEMANA '!H11</f>
        <v>0</v>
      </c>
      <c r="X105" s="100">
        <f>+'16 SEMANA '!I11</f>
        <v>0</v>
      </c>
      <c r="Y105" s="100">
        <f>+'16 SEMANA '!J11</f>
        <v>0</v>
      </c>
      <c r="Z105" s="100">
        <f>+'16 SEMANA '!K11</f>
        <v>0</v>
      </c>
      <c r="AA105" s="99"/>
      <c r="AB105" s="99"/>
      <c r="AC105" s="99"/>
      <c r="AD105" s="99"/>
      <c r="AE105" s="99"/>
      <c r="AF105" s="99"/>
      <c r="AG105" s="99"/>
      <c r="AH105" s="99"/>
      <c r="AI105" s="99"/>
      <c r="AJ105" s="99"/>
      <c r="AK105" s="99"/>
      <c r="AL105" s="99"/>
      <c r="AM105" s="99"/>
      <c r="AN105" s="99"/>
      <c r="AO105" s="99"/>
      <c r="AP105" s="99"/>
      <c r="AQ105" s="99"/>
      <c r="AR105" s="99"/>
      <c r="AS105" s="99"/>
      <c r="AT105" s="99"/>
      <c r="AU105" s="99"/>
      <c r="AV105" s="99"/>
      <c r="AW105" s="99"/>
      <c r="AX105" s="99"/>
      <c r="AY105" s="99"/>
      <c r="AZ105" s="99"/>
      <c r="BA105" s="99"/>
      <c r="BB105" s="99"/>
      <c r="BC105" s="99"/>
      <c r="BD105" s="99"/>
    </row>
    <row r="106" spans="1:56" x14ac:dyDescent="0.25">
      <c r="A106" s="37">
        <f>'16 SEMANA '!A13</f>
        <v>0</v>
      </c>
      <c r="B106" s="38">
        <f>'16 SEMANA '!B13</f>
        <v>0</v>
      </c>
      <c r="C106" s="38">
        <f>'16 SEMANA '!C13</f>
        <v>0</v>
      </c>
      <c r="D106" s="38">
        <f>+'16 SEMANA '!D12</f>
        <v>0</v>
      </c>
      <c r="E106" s="100"/>
      <c r="F106" s="100"/>
      <c r="G106" s="99"/>
      <c r="H106" s="101"/>
      <c r="I106" s="102"/>
      <c r="J106" s="103"/>
      <c r="K106" s="99"/>
      <c r="L106" s="99"/>
      <c r="M106" s="99"/>
      <c r="N106" s="99"/>
      <c r="O106" s="99"/>
      <c r="P106" s="99"/>
      <c r="Q106" s="99"/>
      <c r="R106" s="99"/>
      <c r="S106" s="99"/>
      <c r="T106" s="99"/>
      <c r="U106" s="100">
        <f>+'16 SEMANA '!F12</f>
        <v>0</v>
      </c>
      <c r="V106" s="100">
        <f>+'16 SEMANA '!G12</f>
        <v>0</v>
      </c>
      <c r="W106" s="100">
        <f>+'16 SEMANA '!H12</f>
        <v>0</v>
      </c>
      <c r="X106" s="100">
        <f>+'16 SEMANA '!I12</f>
        <v>0</v>
      </c>
      <c r="Y106" s="100">
        <f>+'16 SEMANA '!J12</f>
        <v>0</v>
      </c>
      <c r="Z106" s="100">
        <f>+'16 SEMANA '!K12</f>
        <v>0</v>
      </c>
      <c r="AA106" s="99"/>
      <c r="AB106" s="99"/>
      <c r="AC106" s="99"/>
      <c r="AD106" s="99"/>
      <c r="AE106" s="99"/>
      <c r="AF106" s="99"/>
      <c r="AG106" s="99"/>
      <c r="AH106" s="99"/>
      <c r="AI106" s="99"/>
      <c r="AJ106" s="99"/>
      <c r="AK106" s="99"/>
      <c r="AL106" s="99"/>
      <c r="AM106" s="99"/>
      <c r="AN106" s="99"/>
      <c r="AO106" s="99"/>
      <c r="AP106" s="99"/>
      <c r="AQ106" s="99"/>
      <c r="AR106" s="99"/>
      <c r="AS106" s="99"/>
      <c r="AT106" s="99"/>
      <c r="AU106" s="99"/>
      <c r="AV106" s="99"/>
      <c r="AW106" s="99"/>
      <c r="AX106" s="99"/>
      <c r="AY106" s="99"/>
      <c r="AZ106" s="99"/>
      <c r="BA106" s="99"/>
      <c r="BB106" s="99"/>
      <c r="BC106" s="99"/>
      <c r="BD106" s="99"/>
    </row>
    <row r="107" spans="1:56" x14ac:dyDescent="0.25">
      <c r="A107" s="37">
        <f>'16 SEMANA '!A14</f>
        <v>0</v>
      </c>
      <c r="B107" s="38">
        <f>'16 SEMANA '!B14</f>
        <v>0</v>
      </c>
      <c r="C107" s="38">
        <f>'16 SEMANA '!C14</f>
        <v>0</v>
      </c>
      <c r="D107" s="38">
        <f>+'16 SEMANA '!D13</f>
        <v>0</v>
      </c>
      <c r="E107" s="100"/>
      <c r="F107" s="100"/>
      <c r="G107" s="99"/>
      <c r="H107" s="101"/>
      <c r="I107" s="102"/>
      <c r="J107" s="103"/>
      <c r="K107" s="99"/>
      <c r="L107" s="99"/>
      <c r="M107" s="99"/>
      <c r="N107" s="99"/>
      <c r="O107" s="99"/>
      <c r="P107" s="99"/>
      <c r="Q107" s="99"/>
      <c r="R107" s="99"/>
      <c r="S107" s="99"/>
      <c r="T107" s="99"/>
      <c r="U107" s="100">
        <f>+'16 SEMANA '!F13</f>
        <v>0</v>
      </c>
      <c r="V107" s="100">
        <f>+'16 SEMANA '!G13</f>
        <v>0</v>
      </c>
      <c r="W107" s="100">
        <f>+'16 SEMANA '!H13</f>
        <v>0</v>
      </c>
      <c r="X107" s="100">
        <f>+'16 SEMANA '!I13</f>
        <v>0</v>
      </c>
      <c r="Y107" s="100">
        <f>+'16 SEMANA '!J13</f>
        <v>0</v>
      </c>
      <c r="Z107" s="100">
        <f>+'16 SEMANA '!K13</f>
        <v>0</v>
      </c>
      <c r="AA107" s="99"/>
      <c r="AB107" s="99"/>
      <c r="AC107" s="99"/>
      <c r="AD107" s="99"/>
      <c r="AE107" s="99"/>
      <c r="AF107" s="99"/>
      <c r="AG107" s="99"/>
      <c r="AH107" s="99"/>
      <c r="AI107" s="99"/>
      <c r="AJ107" s="99"/>
      <c r="AK107" s="99"/>
      <c r="AL107" s="99"/>
      <c r="AM107" s="99"/>
      <c r="AN107" s="99"/>
      <c r="AO107" s="99"/>
      <c r="AP107" s="99"/>
      <c r="AQ107" s="99"/>
      <c r="AR107" s="99"/>
      <c r="AS107" s="99"/>
      <c r="AT107" s="99"/>
      <c r="AU107" s="99"/>
      <c r="AV107" s="99"/>
      <c r="AW107" s="99"/>
      <c r="AX107" s="99"/>
      <c r="AY107" s="99"/>
      <c r="AZ107" s="99"/>
      <c r="BA107" s="99"/>
      <c r="BB107" s="99"/>
      <c r="BC107" s="99"/>
      <c r="BD107" s="99"/>
    </row>
    <row r="108" spans="1:56" x14ac:dyDescent="0.25">
      <c r="A108" s="37">
        <f>'17 SEMANA '!A9</f>
        <v>0</v>
      </c>
      <c r="B108" s="38">
        <f>'17 SEMANA '!B9</f>
        <v>0</v>
      </c>
      <c r="C108" s="38">
        <f>'17 SEMANA '!C9</f>
        <v>0</v>
      </c>
      <c r="D108" s="38">
        <f>+'16 SEMANA '!D14</f>
        <v>0</v>
      </c>
      <c r="E108" s="100"/>
      <c r="F108" s="100"/>
      <c r="G108" s="99"/>
      <c r="H108" s="101"/>
      <c r="I108" s="102"/>
      <c r="J108" s="103"/>
      <c r="K108" s="99"/>
      <c r="L108" s="99"/>
      <c r="M108" s="99"/>
      <c r="N108" s="99"/>
      <c r="O108" s="99"/>
      <c r="P108" s="99"/>
      <c r="Q108" s="99"/>
      <c r="R108" s="99"/>
      <c r="S108" s="99"/>
      <c r="T108" s="99"/>
      <c r="U108" s="100">
        <f>+'16 SEMANA '!F14</f>
        <v>0</v>
      </c>
      <c r="V108" s="100">
        <f>+'16 SEMANA '!G14</f>
        <v>0</v>
      </c>
      <c r="W108" s="100">
        <f>+'16 SEMANA '!H14</f>
        <v>0</v>
      </c>
      <c r="X108" s="100">
        <f>+'16 SEMANA '!I14</f>
        <v>0</v>
      </c>
      <c r="Y108" s="100">
        <f>+'16 SEMANA '!J14</f>
        <v>0</v>
      </c>
      <c r="Z108" s="100">
        <f>+'16 SEMANA '!K14</f>
        <v>0</v>
      </c>
      <c r="AA108" s="99"/>
      <c r="AB108" s="99"/>
      <c r="AC108" s="99"/>
      <c r="AD108" s="99"/>
      <c r="AE108" s="99"/>
      <c r="AF108" s="99"/>
      <c r="AG108" s="99"/>
      <c r="AH108" s="99"/>
      <c r="AI108" s="99"/>
      <c r="AJ108" s="99"/>
      <c r="AK108" s="99"/>
      <c r="AL108" s="99"/>
      <c r="AM108" s="99"/>
      <c r="AN108" s="99"/>
      <c r="AO108" s="99"/>
      <c r="AP108" s="99"/>
      <c r="AQ108" s="99"/>
      <c r="AR108" s="99"/>
      <c r="AS108" s="99"/>
      <c r="AT108" s="99"/>
      <c r="AU108" s="99"/>
      <c r="AV108" s="99"/>
      <c r="AW108" s="99"/>
      <c r="AX108" s="99"/>
      <c r="AY108" s="99"/>
      <c r="AZ108" s="99"/>
      <c r="BA108" s="99"/>
      <c r="BB108" s="99"/>
      <c r="BC108" s="99"/>
      <c r="BD108" s="99"/>
    </row>
    <row r="109" spans="1:56" x14ac:dyDescent="0.25">
      <c r="A109" s="37">
        <f>'17 SEMANA '!A10</f>
        <v>0</v>
      </c>
      <c r="B109" s="38">
        <f>'17 SEMANA '!B10</f>
        <v>0</v>
      </c>
      <c r="C109" s="38">
        <f>'17 SEMANA '!C10</f>
        <v>0</v>
      </c>
      <c r="D109" s="38">
        <f>+'17 SEMANA '!D9</f>
        <v>0</v>
      </c>
      <c r="E109" s="100"/>
      <c r="F109" s="100"/>
      <c r="G109" s="99"/>
      <c r="H109" s="101"/>
      <c r="I109" s="102"/>
      <c r="J109" s="103"/>
      <c r="K109" s="99"/>
      <c r="L109" s="99"/>
      <c r="M109" s="99"/>
      <c r="N109" s="99"/>
      <c r="O109" s="99"/>
      <c r="P109" s="99"/>
      <c r="Q109" s="99"/>
      <c r="R109" s="99"/>
      <c r="S109" s="99"/>
      <c r="T109" s="99"/>
      <c r="U109" s="99"/>
      <c r="V109" s="100">
        <f>+'17 SEMANA '!F9</f>
        <v>0</v>
      </c>
      <c r="W109" s="100">
        <f>+'17 SEMANA '!G9</f>
        <v>0</v>
      </c>
      <c r="X109" s="100">
        <f>+'17 SEMANA '!H9</f>
        <v>0</v>
      </c>
      <c r="Y109" s="100">
        <f>+'17 SEMANA '!I9</f>
        <v>0</v>
      </c>
      <c r="Z109" s="100">
        <f>+'17 SEMANA '!J9</f>
        <v>0</v>
      </c>
      <c r="AA109" s="100">
        <f>+'17 SEMANA '!K9</f>
        <v>0</v>
      </c>
      <c r="AB109" s="99"/>
      <c r="AC109" s="99"/>
      <c r="AD109" s="99"/>
      <c r="AE109" s="99"/>
      <c r="AF109" s="99"/>
      <c r="AG109" s="99"/>
      <c r="AH109" s="99"/>
      <c r="AI109" s="99"/>
      <c r="AJ109" s="99"/>
      <c r="AK109" s="99"/>
      <c r="AL109" s="99"/>
      <c r="AM109" s="99"/>
      <c r="AN109" s="99"/>
      <c r="AO109" s="99"/>
      <c r="AP109" s="99"/>
      <c r="AQ109" s="99"/>
      <c r="AR109" s="99"/>
      <c r="AS109" s="99"/>
      <c r="AT109" s="99"/>
      <c r="AU109" s="99"/>
      <c r="AV109" s="99"/>
      <c r="AW109" s="99"/>
      <c r="AX109" s="99"/>
      <c r="AY109" s="99"/>
      <c r="AZ109" s="99"/>
      <c r="BA109" s="99"/>
      <c r="BB109" s="99"/>
      <c r="BC109" s="99"/>
      <c r="BD109" s="99"/>
    </row>
    <row r="110" spans="1:56" x14ac:dyDescent="0.25">
      <c r="A110" s="37">
        <f>'17 SEMANA '!A11</f>
        <v>0</v>
      </c>
      <c r="B110" s="38">
        <f>'17 SEMANA '!B11</f>
        <v>0</v>
      </c>
      <c r="C110" s="38">
        <f>'17 SEMANA '!C11</f>
        <v>0</v>
      </c>
      <c r="D110" s="38">
        <f>+'17 SEMANA '!D10</f>
        <v>0</v>
      </c>
      <c r="E110" s="100"/>
      <c r="F110" s="100"/>
      <c r="G110" s="99"/>
      <c r="H110" s="101"/>
      <c r="I110" s="102"/>
      <c r="J110" s="103"/>
      <c r="K110" s="99"/>
      <c r="L110" s="99"/>
      <c r="M110" s="99"/>
      <c r="N110" s="99"/>
      <c r="O110" s="99"/>
      <c r="P110" s="99"/>
      <c r="Q110" s="99"/>
      <c r="R110" s="99"/>
      <c r="S110" s="99"/>
      <c r="T110" s="99"/>
      <c r="U110" s="99"/>
      <c r="V110" s="100">
        <f>+'17 SEMANA '!F10</f>
        <v>0</v>
      </c>
      <c r="W110" s="100">
        <f>+'17 SEMANA '!G10</f>
        <v>0</v>
      </c>
      <c r="X110" s="100">
        <f>+'17 SEMANA '!H10</f>
        <v>0</v>
      </c>
      <c r="Y110" s="100">
        <f>+'17 SEMANA '!I10</f>
        <v>0</v>
      </c>
      <c r="Z110" s="100">
        <f>+'17 SEMANA '!J10</f>
        <v>0</v>
      </c>
      <c r="AA110" s="100">
        <f>+'17 SEMANA '!K10</f>
        <v>0</v>
      </c>
      <c r="AB110" s="99"/>
      <c r="AC110" s="99"/>
      <c r="AD110" s="99"/>
      <c r="AE110" s="99"/>
      <c r="AF110" s="99"/>
      <c r="AG110" s="99"/>
      <c r="AH110" s="99"/>
      <c r="AI110" s="99"/>
      <c r="AJ110" s="99"/>
      <c r="AK110" s="99"/>
      <c r="AL110" s="99"/>
      <c r="AM110" s="99"/>
      <c r="AN110" s="99"/>
      <c r="AO110" s="99"/>
      <c r="AP110" s="99"/>
      <c r="AQ110" s="99"/>
      <c r="AR110" s="99"/>
      <c r="AS110" s="99"/>
      <c r="AT110" s="99"/>
      <c r="AU110" s="99"/>
      <c r="AV110" s="99"/>
      <c r="AW110" s="99"/>
      <c r="AX110" s="99"/>
      <c r="AY110" s="99"/>
      <c r="AZ110" s="99"/>
      <c r="BA110" s="99"/>
      <c r="BB110" s="99"/>
      <c r="BC110" s="99"/>
      <c r="BD110" s="99"/>
    </row>
    <row r="111" spans="1:56" x14ac:dyDescent="0.25">
      <c r="A111" s="37">
        <f>'17 SEMANA '!A12</f>
        <v>0</v>
      </c>
      <c r="B111" s="38">
        <f>'17 SEMANA '!B12</f>
        <v>0</v>
      </c>
      <c r="C111" s="38">
        <f>'17 SEMANA '!C12</f>
        <v>0</v>
      </c>
      <c r="D111" s="38">
        <f>+'17 SEMANA '!D11</f>
        <v>0</v>
      </c>
      <c r="E111" s="100"/>
      <c r="F111" s="100"/>
      <c r="G111" s="99"/>
      <c r="H111" s="101"/>
      <c r="I111" s="102"/>
      <c r="J111" s="103"/>
      <c r="K111" s="99"/>
      <c r="L111" s="99"/>
      <c r="M111" s="99"/>
      <c r="N111" s="99"/>
      <c r="O111" s="99"/>
      <c r="P111" s="99"/>
      <c r="Q111" s="99"/>
      <c r="R111" s="99"/>
      <c r="S111" s="99"/>
      <c r="T111" s="99"/>
      <c r="U111" s="99"/>
      <c r="V111" s="100">
        <f>+'17 SEMANA '!F11</f>
        <v>0</v>
      </c>
      <c r="W111" s="100">
        <f>+'17 SEMANA '!G11</f>
        <v>0</v>
      </c>
      <c r="X111" s="100">
        <f>+'17 SEMANA '!H11</f>
        <v>0</v>
      </c>
      <c r="Y111" s="100">
        <f>+'17 SEMANA '!I11</f>
        <v>0</v>
      </c>
      <c r="Z111" s="100">
        <f>+'17 SEMANA '!J11</f>
        <v>0</v>
      </c>
      <c r="AA111" s="100">
        <f>+'17 SEMANA '!K11</f>
        <v>0</v>
      </c>
      <c r="AB111" s="99"/>
      <c r="AC111" s="99"/>
      <c r="AD111" s="99"/>
      <c r="AE111" s="99"/>
      <c r="AF111" s="99"/>
      <c r="AG111" s="99"/>
      <c r="AH111" s="99"/>
      <c r="AI111" s="99"/>
      <c r="AJ111" s="99"/>
      <c r="AK111" s="99"/>
      <c r="AL111" s="99"/>
      <c r="AM111" s="99"/>
      <c r="AN111" s="99"/>
      <c r="AO111" s="99"/>
      <c r="AP111" s="99"/>
      <c r="AQ111" s="99"/>
      <c r="AR111" s="99"/>
      <c r="AS111" s="99"/>
      <c r="AT111" s="99"/>
      <c r="AU111" s="99"/>
      <c r="AV111" s="99"/>
      <c r="AW111" s="99"/>
      <c r="AX111" s="99"/>
      <c r="AY111" s="99"/>
      <c r="AZ111" s="99"/>
      <c r="BA111" s="99"/>
      <c r="BB111" s="99"/>
      <c r="BC111" s="99"/>
      <c r="BD111" s="99"/>
    </row>
    <row r="112" spans="1:56" x14ac:dyDescent="0.25">
      <c r="A112" s="37">
        <f>'17 SEMANA '!A13</f>
        <v>0</v>
      </c>
      <c r="B112" s="38">
        <f>'17 SEMANA '!B13</f>
        <v>0</v>
      </c>
      <c r="C112" s="38">
        <f>'17 SEMANA '!C13</f>
        <v>0</v>
      </c>
      <c r="D112" s="38">
        <f>+'17 SEMANA '!D12</f>
        <v>0</v>
      </c>
      <c r="E112" s="100"/>
      <c r="F112" s="100"/>
      <c r="G112" s="99"/>
      <c r="H112" s="101"/>
      <c r="I112" s="102"/>
      <c r="J112" s="103"/>
      <c r="K112" s="99"/>
      <c r="L112" s="99"/>
      <c r="M112" s="99"/>
      <c r="N112" s="99"/>
      <c r="O112" s="99"/>
      <c r="P112" s="99"/>
      <c r="Q112" s="99"/>
      <c r="R112" s="99"/>
      <c r="S112" s="99"/>
      <c r="T112" s="99"/>
      <c r="U112" s="99"/>
      <c r="V112" s="100">
        <f>+'17 SEMANA '!F12</f>
        <v>0</v>
      </c>
      <c r="W112" s="100">
        <f>+'17 SEMANA '!G12</f>
        <v>0</v>
      </c>
      <c r="X112" s="100">
        <f>+'17 SEMANA '!H12</f>
        <v>0</v>
      </c>
      <c r="Y112" s="100">
        <f>+'17 SEMANA '!I12</f>
        <v>0</v>
      </c>
      <c r="Z112" s="100">
        <f>+'17 SEMANA '!J12</f>
        <v>0</v>
      </c>
      <c r="AA112" s="100">
        <f>+'17 SEMANA '!K12</f>
        <v>0</v>
      </c>
      <c r="AB112" s="99"/>
      <c r="AC112" s="99"/>
      <c r="AD112" s="99"/>
      <c r="AE112" s="99"/>
      <c r="AF112" s="99"/>
      <c r="AG112" s="99"/>
      <c r="AH112" s="99"/>
      <c r="AI112" s="99"/>
      <c r="AJ112" s="99"/>
      <c r="AK112" s="99"/>
      <c r="AL112" s="99"/>
      <c r="AM112" s="99"/>
      <c r="AN112" s="99"/>
      <c r="AO112" s="99"/>
      <c r="AP112" s="99"/>
      <c r="AQ112" s="99"/>
      <c r="AR112" s="99"/>
      <c r="AS112" s="99"/>
      <c r="AT112" s="99"/>
      <c r="AU112" s="99"/>
      <c r="AV112" s="99"/>
      <c r="AW112" s="99"/>
      <c r="AX112" s="99"/>
      <c r="AY112" s="99"/>
      <c r="AZ112" s="99"/>
      <c r="BA112" s="99"/>
      <c r="BB112" s="99"/>
      <c r="BC112" s="99"/>
      <c r="BD112" s="99"/>
    </row>
    <row r="113" spans="1:56" x14ac:dyDescent="0.25">
      <c r="A113" s="37">
        <f>'17 SEMANA '!A14</f>
        <v>0</v>
      </c>
      <c r="B113" s="38">
        <f>'17 SEMANA '!B14</f>
        <v>0</v>
      </c>
      <c r="C113" s="38">
        <f>'17 SEMANA '!C14</f>
        <v>0</v>
      </c>
      <c r="D113" s="38">
        <f>+'17 SEMANA '!D13</f>
        <v>0</v>
      </c>
      <c r="E113" s="100"/>
      <c r="F113" s="100"/>
      <c r="G113" s="99"/>
      <c r="H113" s="101"/>
      <c r="I113" s="102"/>
      <c r="J113" s="103"/>
      <c r="K113" s="99"/>
      <c r="L113" s="99"/>
      <c r="M113" s="99"/>
      <c r="N113" s="99"/>
      <c r="O113" s="99"/>
      <c r="P113" s="99"/>
      <c r="Q113" s="99"/>
      <c r="R113" s="99"/>
      <c r="S113" s="99"/>
      <c r="T113" s="99"/>
      <c r="U113" s="99"/>
      <c r="V113" s="100">
        <f>+'17 SEMANA '!F13</f>
        <v>0</v>
      </c>
      <c r="W113" s="100">
        <f>+'17 SEMANA '!G13</f>
        <v>0</v>
      </c>
      <c r="X113" s="100">
        <f>+'17 SEMANA '!H13</f>
        <v>0</v>
      </c>
      <c r="Y113" s="100">
        <f>+'17 SEMANA '!I13</f>
        <v>0</v>
      </c>
      <c r="Z113" s="100">
        <f>+'17 SEMANA '!J13</f>
        <v>0</v>
      </c>
      <c r="AA113" s="100">
        <f>+'17 SEMANA '!K13</f>
        <v>0</v>
      </c>
      <c r="AB113" s="99"/>
      <c r="AC113" s="99"/>
      <c r="AD113" s="99"/>
      <c r="AE113" s="99"/>
      <c r="AF113" s="99"/>
      <c r="AG113" s="99"/>
      <c r="AH113" s="99"/>
      <c r="AI113" s="99"/>
      <c r="AJ113" s="99"/>
      <c r="AK113" s="99"/>
      <c r="AL113" s="99"/>
      <c r="AM113" s="99"/>
      <c r="AN113" s="99"/>
      <c r="AO113" s="99"/>
      <c r="AP113" s="99"/>
      <c r="AQ113" s="99"/>
      <c r="AR113" s="99"/>
      <c r="AS113" s="99"/>
      <c r="AT113" s="99"/>
      <c r="AU113" s="99"/>
      <c r="AV113" s="99"/>
      <c r="AW113" s="99"/>
      <c r="AX113" s="99"/>
      <c r="AY113" s="99"/>
      <c r="AZ113" s="99"/>
      <c r="BA113" s="99"/>
      <c r="BB113" s="99"/>
      <c r="BC113" s="99"/>
      <c r="BD113" s="99"/>
    </row>
    <row r="114" spans="1:56" x14ac:dyDescent="0.25">
      <c r="A114" s="37">
        <f>'18 SEMANA '!A9</f>
        <v>0</v>
      </c>
      <c r="B114" s="38">
        <f>'18 SEMANA '!B9</f>
        <v>0</v>
      </c>
      <c r="C114" s="38">
        <f>'18 SEMANA '!C9</f>
        <v>0</v>
      </c>
      <c r="D114" s="38">
        <f>+'18 SEMANA '!D9</f>
        <v>0</v>
      </c>
      <c r="E114" s="100"/>
      <c r="F114" s="100"/>
      <c r="G114" s="99"/>
      <c r="H114" s="101"/>
      <c r="I114" s="102"/>
      <c r="J114" s="103"/>
      <c r="K114" s="99"/>
      <c r="L114" s="99"/>
      <c r="M114" s="99"/>
      <c r="N114" s="99"/>
      <c r="O114" s="99"/>
      <c r="P114" s="99"/>
      <c r="Q114" s="99"/>
      <c r="R114" s="99"/>
      <c r="S114" s="99"/>
      <c r="T114" s="99"/>
      <c r="U114" s="99"/>
      <c r="V114" s="100"/>
      <c r="W114" s="100">
        <f>+'18 SEMANA '!F9</f>
        <v>0</v>
      </c>
      <c r="X114" s="100">
        <f>+'18 SEMANA '!G9</f>
        <v>0</v>
      </c>
      <c r="Y114" s="100">
        <f>+'18 SEMANA '!H9</f>
        <v>0</v>
      </c>
      <c r="Z114" s="100">
        <f>+'18 SEMANA '!I9</f>
        <v>0</v>
      </c>
      <c r="AA114" s="100">
        <f>+'18 SEMANA '!J9</f>
        <v>0</v>
      </c>
      <c r="AB114" s="100">
        <f>+'18 SEMANA '!K9</f>
        <v>0</v>
      </c>
      <c r="AC114" s="99"/>
      <c r="AD114" s="99"/>
      <c r="AE114" s="99"/>
      <c r="AF114" s="99"/>
      <c r="AG114" s="99"/>
      <c r="AH114" s="99"/>
      <c r="AI114" s="99"/>
      <c r="AJ114" s="99"/>
      <c r="AK114" s="99"/>
      <c r="AL114" s="99"/>
      <c r="AM114" s="99"/>
      <c r="AN114" s="99"/>
      <c r="AO114" s="99"/>
      <c r="AP114" s="99"/>
      <c r="AQ114" s="99"/>
      <c r="AR114" s="99"/>
      <c r="AS114" s="99"/>
      <c r="AT114" s="99"/>
      <c r="AU114" s="99"/>
      <c r="AV114" s="99"/>
      <c r="AW114" s="99"/>
      <c r="AX114" s="99"/>
      <c r="AY114" s="99"/>
      <c r="AZ114" s="99"/>
      <c r="BA114" s="99"/>
      <c r="BB114" s="99"/>
      <c r="BC114" s="99"/>
      <c r="BD114" s="99"/>
    </row>
    <row r="115" spans="1:56" x14ac:dyDescent="0.25">
      <c r="A115" s="37">
        <f>'18 SEMANA '!A10</f>
        <v>0</v>
      </c>
      <c r="B115" s="38">
        <f>'18 SEMANA '!B10</f>
        <v>0</v>
      </c>
      <c r="C115" s="38">
        <f>'18 SEMANA '!C10</f>
        <v>0</v>
      </c>
      <c r="D115" s="38">
        <f>+'18 SEMANA '!D10</f>
        <v>0</v>
      </c>
      <c r="E115" s="100"/>
      <c r="F115" s="100"/>
      <c r="G115" s="99"/>
      <c r="H115" s="101"/>
      <c r="I115" s="102"/>
      <c r="J115" s="103"/>
      <c r="K115" s="99"/>
      <c r="L115" s="99"/>
      <c r="M115" s="99"/>
      <c r="N115" s="99"/>
      <c r="O115" s="99"/>
      <c r="P115" s="99"/>
      <c r="Q115" s="99"/>
      <c r="R115" s="99"/>
      <c r="S115" s="99"/>
      <c r="T115" s="99"/>
      <c r="U115" s="99"/>
      <c r="V115" s="99"/>
      <c r="W115" s="100">
        <f>+'18 SEMANA '!F10</f>
        <v>0</v>
      </c>
      <c r="X115" s="100">
        <f>+'18 SEMANA '!G10</f>
        <v>0</v>
      </c>
      <c r="Y115" s="100">
        <f>+'18 SEMANA '!H10</f>
        <v>0</v>
      </c>
      <c r="Z115" s="100">
        <f>+'18 SEMANA '!I10</f>
        <v>0</v>
      </c>
      <c r="AA115" s="100">
        <f>+'18 SEMANA '!J10</f>
        <v>0</v>
      </c>
      <c r="AB115" s="100">
        <f>+'18 SEMANA '!K10</f>
        <v>0</v>
      </c>
      <c r="AC115" s="99"/>
      <c r="AD115" s="99"/>
      <c r="AE115" s="99"/>
      <c r="AF115" s="99"/>
      <c r="AG115" s="99"/>
      <c r="AH115" s="99"/>
      <c r="AI115" s="99"/>
      <c r="AJ115" s="99"/>
      <c r="AK115" s="99"/>
      <c r="AL115" s="99"/>
      <c r="AM115" s="99"/>
      <c r="AN115" s="99"/>
      <c r="AO115" s="99"/>
      <c r="AP115" s="99"/>
      <c r="AQ115" s="99"/>
      <c r="AR115" s="99"/>
      <c r="AS115" s="99"/>
      <c r="AT115" s="99"/>
      <c r="AU115" s="99"/>
      <c r="AV115" s="99"/>
      <c r="AW115" s="99"/>
      <c r="AX115" s="99"/>
      <c r="AY115" s="99"/>
      <c r="AZ115" s="99"/>
      <c r="BA115" s="99"/>
      <c r="BB115" s="99"/>
      <c r="BC115" s="99"/>
      <c r="BD115" s="99"/>
    </row>
    <row r="116" spans="1:56" x14ac:dyDescent="0.25">
      <c r="A116" s="37">
        <f>'18 SEMANA '!A11</f>
        <v>0</v>
      </c>
      <c r="B116" s="38">
        <f>'18 SEMANA '!B11</f>
        <v>0</v>
      </c>
      <c r="C116" s="38">
        <f>'18 SEMANA '!C11</f>
        <v>0</v>
      </c>
      <c r="D116" s="38">
        <f>+'18 SEMANA '!D11</f>
        <v>0</v>
      </c>
      <c r="E116" s="100"/>
      <c r="F116" s="100"/>
      <c r="G116" s="99"/>
      <c r="H116" s="101"/>
      <c r="I116" s="102"/>
      <c r="J116" s="103"/>
      <c r="K116" s="99"/>
      <c r="L116" s="99"/>
      <c r="M116" s="99"/>
      <c r="N116" s="99"/>
      <c r="O116" s="99"/>
      <c r="P116" s="99"/>
      <c r="Q116" s="99"/>
      <c r="R116" s="99"/>
      <c r="S116" s="99"/>
      <c r="T116" s="99"/>
      <c r="U116" s="99"/>
      <c r="V116" s="99"/>
      <c r="W116" s="100">
        <f>+'18 SEMANA '!F11</f>
        <v>0</v>
      </c>
      <c r="X116" s="100">
        <f>+'18 SEMANA '!G11</f>
        <v>0</v>
      </c>
      <c r="Y116" s="100">
        <f>+'18 SEMANA '!H11</f>
        <v>0</v>
      </c>
      <c r="Z116" s="100">
        <f>+'18 SEMANA '!I11</f>
        <v>0</v>
      </c>
      <c r="AA116" s="100">
        <f>+'18 SEMANA '!J11</f>
        <v>0</v>
      </c>
      <c r="AB116" s="100">
        <f>+'18 SEMANA '!K11</f>
        <v>0</v>
      </c>
      <c r="AC116" s="99"/>
      <c r="AD116" s="99"/>
      <c r="AE116" s="99"/>
      <c r="AF116" s="99"/>
      <c r="AG116" s="99"/>
      <c r="AH116" s="99"/>
      <c r="AI116" s="99"/>
      <c r="AJ116" s="99"/>
      <c r="AK116" s="99"/>
      <c r="AL116" s="99"/>
      <c r="AM116" s="99"/>
      <c r="AN116" s="99"/>
      <c r="AO116" s="99"/>
      <c r="AP116" s="99"/>
      <c r="AQ116" s="99"/>
      <c r="AR116" s="99"/>
      <c r="AS116" s="99"/>
      <c r="AT116" s="99"/>
      <c r="AU116" s="99"/>
      <c r="AV116" s="99"/>
      <c r="AW116" s="99"/>
      <c r="AX116" s="99"/>
      <c r="AY116" s="99"/>
      <c r="AZ116" s="99"/>
      <c r="BA116" s="99"/>
      <c r="BB116" s="99"/>
      <c r="BC116" s="99"/>
      <c r="BD116" s="99"/>
    </row>
    <row r="117" spans="1:56" x14ac:dyDescent="0.25">
      <c r="A117" s="37">
        <f>'18 SEMANA '!A12</f>
        <v>0</v>
      </c>
      <c r="B117" s="38">
        <f>'18 SEMANA '!B12</f>
        <v>0</v>
      </c>
      <c r="C117" s="38">
        <f>'18 SEMANA '!C12</f>
        <v>0</v>
      </c>
      <c r="D117" s="38">
        <f>+'18 SEMANA '!D12</f>
        <v>0</v>
      </c>
      <c r="E117" s="100"/>
      <c r="F117" s="100"/>
      <c r="G117" s="99"/>
      <c r="H117" s="101"/>
      <c r="I117" s="102"/>
      <c r="J117" s="103"/>
      <c r="K117" s="99"/>
      <c r="L117" s="99"/>
      <c r="M117" s="99"/>
      <c r="N117" s="99"/>
      <c r="O117" s="99"/>
      <c r="P117" s="99"/>
      <c r="Q117" s="99"/>
      <c r="R117" s="99"/>
      <c r="S117" s="99"/>
      <c r="T117" s="99"/>
      <c r="U117" s="99"/>
      <c r="V117" s="99"/>
      <c r="W117" s="100">
        <f>+'18 SEMANA '!F12</f>
        <v>0</v>
      </c>
      <c r="X117" s="100">
        <f>+'18 SEMANA '!G12</f>
        <v>0</v>
      </c>
      <c r="Y117" s="100">
        <f>+'18 SEMANA '!H12</f>
        <v>0</v>
      </c>
      <c r="Z117" s="100">
        <f>+'18 SEMANA '!I12</f>
        <v>0</v>
      </c>
      <c r="AA117" s="100">
        <f>+'18 SEMANA '!J12</f>
        <v>0</v>
      </c>
      <c r="AB117" s="100">
        <f>+'18 SEMANA '!K12</f>
        <v>0</v>
      </c>
      <c r="AC117" s="99"/>
      <c r="AD117" s="99"/>
      <c r="AE117" s="99"/>
      <c r="AF117" s="99"/>
      <c r="AG117" s="99"/>
      <c r="AH117" s="99"/>
      <c r="AI117" s="99"/>
      <c r="AJ117" s="99"/>
      <c r="AK117" s="99"/>
      <c r="AL117" s="99"/>
      <c r="AM117" s="99"/>
      <c r="AN117" s="99"/>
      <c r="AO117" s="99"/>
      <c r="AP117" s="99"/>
      <c r="AQ117" s="99"/>
      <c r="AR117" s="99"/>
      <c r="AS117" s="99"/>
      <c r="AT117" s="99"/>
      <c r="AU117" s="99"/>
      <c r="AV117" s="99"/>
      <c r="AW117" s="99"/>
      <c r="AX117" s="99"/>
      <c r="AY117" s="99"/>
      <c r="AZ117" s="99"/>
      <c r="BA117" s="99"/>
      <c r="BB117" s="99"/>
      <c r="BC117" s="99"/>
      <c r="BD117" s="99"/>
    </row>
    <row r="118" spans="1:56" x14ac:dyDescent="0.25">
      <c r="A118" s="37">
        <f>'18 SEMANA '!A13</f>
        <v>0</v>
      </c>
      <c r="B118" s="38">
        <f>'18 SEMANA '!B13</f>
        <v>0</v>
      </c>
      <c r="C118" s="38">
        <f>'18 SEMANA '!C13</f>
        <v>0</v>
      </c>
      <c r="D118" s="38">
        <f>+'18 SEMANA '!D13</f>
        <v>0</v>
      </c>
      <c r="E118" s="100"/>
      <c r="F118" s="100"/>
      <c r="G118" s="99"/>
      <c r="H118" s="101"/>
      <c r="I118" s="102"/>
      <c r="J118" s="103"/>
      <c r="K118" s="99"/>
      <c r="L118" s="99"/>
      <c r="M118" s="99"/>
      <c r="N118" s="99"/>
      <c r="O118" s="99"/>
      <c r="P118" s="99"/>
      <c r="Q118" s="99"/>
      <c r="R118" s="99"/>
      <c r="S118" s="99"/>
      <c r="T118" s="99"/>
      <c r="U118" s="99"/>
      <c r="V118" s="99"/>
      <c r="W118" s="100">
        <f>+'18 SEMANA '!F13</f>
        <v>0</v>
      </c>
      <c r="X118" s="100">
        <f>+'18 SEMANA '!G13</f>
        <v>0</v>
      </c>
      <c r="Y118" s="100">
        <f>+'18 SEMANA '!H13</f>
        <v>0</v>
      </c>
      <c r="Z118" s="100">
        <f>+'18 SEMANA '!I13</f>
        <v>0</v>
      </c>
      <c r="AA118" s="100">
        <f>+'18 SEMANA '!J13</f>
        <v>0</v>
      </c>
      <c r="AB118" s="100">
        <f>+'18 SEMANA '!K13</f>
        <v>0</v>
      </c>
      <c r="AC118" s="99"/>
      <c r="AD118" s="99"/>
      <c r="AE118" s="99"/>
      <c r="AF118" s="99"/>
      <c r="AG118" s="99"/>
      <c r="AH118" s="99"/>
      <c r="AI118" s="99"/>
      <c r="AJ118" s="99"/>
      <c r="AK118" s="99"/>
      <c r="AL118" s="99"/>
      <c r="AM118" s="99"/>
      <c r="AN118" s="99"/>
      <c r="AO118" s="99"/>
      <c r="AP118" s="99"/>
      <c r="AQ118" s="99"/>
      <c r="AR118" s="99"/>
      <c r="AS118" s="99"/>
      <c r="AT118" s="99"/>
      <c r="AU118" s="99"/>
      <c r="AV118" s="99"/>
      <c r="AW118" s="99"/>
      <c r="AX118" s="99"/>
      <c r="AY118" s="99"/>
      <c r="AZ118" s="99"/>
      <c r="BA118" s="99"/>
      <c r="BB118" s="99"/>
      <c r="BC118" s="99"/>
      <c r="BD118" s="99"/>
    </row>
    <row r="119" spans="1:56" x14ac:dyDescent="0.25">
      <c r="A119" s="37">
        <f>'18 SEMANA '!A14</f>
        <v>0</v>
      </c>
      <c r="B119" s="38">
        <f>'18 SEMANA '!B14</f>
        <v>0</v>
      </c>
      <c r="C119" s="38">
        <f>'18 SEMANA '!C14</f>
        <v>0</v>
      </c>
      <c r="D119" s="38">
        <f>+'18 SEMANA '!D14</f>
        <v>0</v>
      </c>
      <c r="E119" s="100"/>
      <c r="F119" s="100"/>
      <c r="G119" s="99"/>
      <c r="H119" s="101"/>
      <c r="I119" s="102"/>
      <c r="J119" s="103"/>
      <c r="K119" s="99"/>
      <c r="L119" s="99"/>
      <c r="M119" s="99"/>
      <c r="N119" s="99"/>
      <c r="O119" s="99"/>
      <c r="P119" s="99"/>
      <c r="Q119" s="99"/>
      <c r="R119" s="99"/>
      <c r="S119" s="99"/>
      <c r="T119" s="99"/>
      <c r="U119" s="99"/>
      <c r="V119" s="99"/>
      <c r="W119" s="100">
        <f>+'18 SEMANA '!F14</f>
        <v>0</v>
      </c>
      <c r="X119" s="100">
        <f>+'18 SEMANA '!G14</f>
        <v>0</v>
      </c>
      <c r="Y119" s="100">
        <f>+'18 SEMANA '!H14</f>
        <v>0</v>
      </c>
      <c r="Z119" s="100">
        <f>+'18 SEMANA '!I14</f>
        <v>0</v>
      </c>
      <c r="AA119" s="100">
        <f>+'18 SEMANA '!J14</f>
        <v>0</v>
      </c>
      <c r="AB119" s="100">
        <f>+'18 SEMANA '!K14</f>
        <v>0</v>
      </c>
      <c r="AC119" s="99"/>
      <c r="AD119" s="99"/>
      <c r="AE119" s="99"/>
      <c r="AF119" s="99"/>
      <c r="AG119" s="99"/>
      <c r="AH119" s="99"/>
      <c r="AI119" s="99"/>
      <c r="AJ119" s="99"/>
      <c r="AK119" s="99"/>
      <c r="AL119" s="99"/>
      <c r="AM119" s="99"/>
      <c r="AN119" s="99"/>
      <c r="AO119" s="99"/>
      <c r="AP119" s="99"/>
      <c r="AQ119" s="99"/>
      <c r="AR119" s="99"/>
      <c r="AS119" s="99"/>
      <c r="AT119" s="99"/>
      <c r="AU119" s="99"/>
      <c r="AV119" s="99"/>
      <c r="AW119" s="99"/>
      <c r="AX119" s="99"/>
      <c r="AY119" s="99"/>
      <c r="AZ119" s="99"/>
      <c r="BA119" s="99"/>
      <c r="BB119" s="99"/>
      <c r="BC119" s="99"/>
      <c r="BD119" s="99"/>
    </row>
    <row r="120" spans="1:56" x14ac:dyDescent="0.25">
      <c r="A120" s="37">
        <f>'19 SEMANA '!A9</f>
        <v>0</v>
      </c>
      <c r="B120" s="38">
        <f>'19 SEMANA '!B9</f>
        <v>0</v>
      </c>
      <c r="C120" s="38">
        <f>'19 SEMANA '!C9</f>
        <v>0</v>
      </c>
      <c r="D120" s="38">
        <f>+'19 SEMANA '!D9</f>
        <v>0</v>
      </c>
      <c r="E120" s="100"/>
      <c r="F120" s="100"/>
      <c r="G120" s="99"/>
      <c r="H120" s="101"/>
      <c r="I120" s="102"/>
      <c r="J120" s="103"/>
      <c r="K120" s="99"/>
      <c r="L120" s="99"/>
      <c r="M120" s="99"/>
      <c r="N120" s="99"/>
      <c r="O120" s="99"/>
      <c r="P120" s="99"/>
      <c r="Q120" s="99"/>
      <c r="R120" s="99"/>
      <c r="S120" s="99"/>
      <c r="T120" s="99"/>
      <c r="U120" s="99"/>
      <c r="V120" s="99"/>
      <c r="W120" s="100"/>
      <c r="X120" s="100">
        <f>+'19 SEMANA '!F9</f>
        <v>0</v>
      </c>
      <c r="Y120" s="100">
        <f>+'19 SEMANA '!G9</f>
        <v>0</v>
      </c>
      <c r="Z120" s="100">
        <f>+'19 SEMANA '!H9</f>
        <v>0</v>
      </c>
      <c r="AA120" s="100">
        <f>+'19 SEMANA '!I9</f>
        <v>0</v>
      </c>
      <c r="AB120" s="100">
        <f>+'19 SEMANA '!J9</f>
        <v>0</v>
      </c>
      <c r="AC120" s="100">
        <f>+'19 SEMANA '!K9</f>
        <v>0</v>
      </c>
      <c r="AD120" s="99"/>
      <c r="AE120" s="99"/>
      <c r="AF120" s="99"/>
      <c r="AG120" s="99"/>
      <c r="AH120" s="99"/>
      <c r="AI120" s="99"/>
      <c r="AJ120" s="99"/>
      <c r="AK120" s="99"/>
      <c r="AL120" s="99"/>
      <c r="AM120" s="99"/>
      <c r="AN120" s="99"/>
      <c r="AO120" s="99"/>
      <c r="AP120" s="99"/>
      <c r="AQ120" s="99"/>
      <c r="AR120" s="99"/>
      <c r="AS120" s="99"/>
      <c r="AT120" s="99"/>
      <c r="AU120" s="99"/>
      <c r="AV120" s="99"/>
      <c r="AW120" s="99"/>
      <c r="AX120" s="99"/>
      <c r="AY120" s="99"/>
      <c r="AZ120" s="99"/>
      <c r="BA120" s="99"/>
      <c r="BB120" s="99"/>
      <c r="BC120" s="99"/>
      <c r="BD120" s="99"/>
    </row>
    <row r="121" spans="1:56" x14ac:dyDescent="0.25">
      <c r="A121" s="37">
        <f>'19 SEMANA '!A10</f>
        <v>0</v>
      </c>
      <c r="B121" s="38">
        <f>'19 SEMANA '!B10</f>
        <v>0</v>
      </c>
      <c r="C121" s="38">
        <f>'19 SEMANA '!C10</f>
        <v>0</v>
      </c>
      <c r="D121" s="38">
        <f>+'19 SEMANA '!D10</f>
        <v>0</v>
      </c>
      <c r="E121" s="100"/>
      <c r="F121" s="100"/>
      <c r="G121" s="99"/>
      <c r="H121" s="101"/>
      <c r="I121" s="102"/>
      <c r="J121" s="103"/>
      <c r="K121" s="99"/>
      <c r="L121" s="99"/>
      <c r="M121" s="99"/>
      <c r="N121" s="99"/>
      <c r="O121" s="99"/>
      <c r="P121" s="99"/>
      <c r="Q121" s="99"/>
      <c r="R121" s="99"/>
      <c r="S121" s="99"/>
      <c r="T121" s="99"/>
      <c r="U121" s="99"/>
      <c r="V121" s="99"/>
      <c r="W121" s="99"/>
      <c r="X121" s="100">
        <f>+'19 SEMANA '!F10</f>
        <v>0</v>
      </c>
      <c r="Y121" s="100">
        <f>+'19 SEMANA '!G10</f>
        <v>0</v>
      </c>
      <c r="Z121" s="100">
        <f>+'19 SEMANA '!H10</f>
        <v>0</v>
      </c>
      <c r="AA121" s="100">
        <f>+'19 SEMANA '!I10</f>
        <v>0</v>
      </c>
      <c r="AB121" s="100">
        <f>+'19 SEMANA '!J10</f>
        <v>0</v>
      </c>
      <c r="AC121" s="100">
        <f>+'19 SEMANA '!K10</f>
        <v>0</v>
      </c>
      <c r="AD121" s="99"/>
      <c r="AE121" s="99"/>
      <c r="AF121" s="99"/>
      <c r="AG121" s="99"/>
      <c r="AH121" s="99"/>
      <c r="AI121" s="99"/>
      <c r="AJ121" s="99"/>
      <c r="AK121" s="99"/>
      <c r="AL121" s="99"/>
      <c r="AM121" s="99"/>
      <c r="AN121" s="99"/>
      <c r="AO121" s="99"/>
      <c r="AP121" s="99"/>
      <c r="AQ121" s="99"/>
      <c r="AR121" s="99"/>
      <c r="AS121" s="99"/>
      <c r="AT121" s="99"/>
      <c r="AU121" s="99"/>
      <c r="AV121" s="99"/>
      <c r="AW121" s="99"/>
      <c r="AX121" s="99"/>
      <c r="AY121" s="99"/>
      <c r="AZ121" s="99"/>
      <c r="BA121" s="99"/>
      <c r="BB121" s="99"/>
      <c r="BC121" s="99"/>
      <c r="BD121" s="99"/>
    </row>
    <row r="122" spans="1:56" x14ac:dyDescent="0.25">
      <c r="A122" s="37">
        <f>'19 SEMANA '!A11</f>
        <v>0</v>
      </c>
      <c r="B122" s="38">
        <f>'19 SEMANA '!B11</f>
        <v>0</v>
      </c>
      <c r="C122" s="38">
        <f>'19 SEMANA '!C11</f>
        <v>0</v>
      </c>
      <c r="D122" s="38">
        <f>+'19 SEMANA '!D11</f>
        <v>0</v>
      </c>
      <c r="E122" s="100"/>
      <c r="F122" s="100"/>
      <c r="G122" s="99"/>
      <c r="H122" s="101"/>
      <c r="I122" s="102"/>
      <c r="J122" s="103"/>
      <c r="K122" s="99"/>
      <c r="L122" s="99"/>
      <c r="M122" s="99"/>
      <c r="N122" s="99"/>
      <c r="O122" s="99"/>
      <c r="P122" s="99"/>
      <c r="Q122" s="99"/>
      <c r="R122" s="99"/>
      <c r="S122" s="99"/>
      <c r="T122" s="99"/>
      <c r="U122" s="99"/>
      <c r="V122" s="99"/>
      <c r="W122" s="99"/>
      <c r="X122" s="100">
        <f>+'19 SEMANA '!F11</f>
        <v>0</v>
      </c>
      <c r="Y122" s="100">
        <f>+'19 SEMANA '!G11</f>
        <v>0</v>
      </c>
      <c r="Z122" s="100">
        <f>+'19 SEMANA '!H11</f>
        <v>0</v>
      </c>
      <c r="AA122" s="100">
        <f>+'19 SEMANA '!I11</f>
        <v>0</v>
      </c>
      <c r="AB122" s="100">
        <f>+'19 SEMANA '!J11</f>
        <v>0</v>
      </c>
      <c r="AC122" s="100">
        <f>+'19 SEMANA '!K11</f>
        <v>0</v>
      </c>
      <c r="AD122" s="99"/>
      <c r="AE122" s="99"/>
      <c r="AF122" s="99"/>
      <c r="AG122" s="99"/>
      <c r="AH122" s="99"/>
      <c r="AI122" s="99"/>
      <c r="AJ122" s="99"/>
      <c r="AK122" s="99"/>
      <c r="AL122" s="99"/>
      <c r="AM122" s="99"/>
      <c r="AN122" s="99"/>
      <c r="AO122" s="99"/>
      <c r="AP122" s="99"/>
      <c r="AQ122" s="99"/>
      <c r="AR122" s="99"/>
      <c r="AS122" s="99"/>
      <c r="AT122" s="99"/>
      <c r="AU122" s="99"/>
      <c r="AV122" s="99"/>
      <c r="AW122" s="99"/>
      <c r="AX122" s="99"/>
      <c r="AY122" s="99"/>
      <c r="AZ122" s="99"/>
      <c r="BA122" s="99"/>
      <c r="BB122" s="99"/>
      <c r="BC122" s="99"/>
      <c r="BD122" s="99"/>
    </row>
    <row r="123" spans="1:56" x14ac:dyDescent="0.25">
      <c r="A123" s="37">
        <f>'19 SEMANA '!A12</f>
        <v>0</v>
      </c>
      <c r="B123" s="38">
        <f>'19 SEMANA '!B12</f>
        <v>0</v>
      </c>
      <c r="C123" s="38">
        <f>'19 SEMANA '!C12</f>
        <v>0</v>
      </c>
      <c r="D123" s="38">
        <f>+'19 SEMANA '!D12</f>
        <v>0</v>
      </c>
      <c r="E123" s="100"/>
      <c r="F123" s="100"/>
      <c r="G123" s="99"/>
      <c r="H123" s="101"/>
      <c r="I123" s="102"/>
      <c r="J123" s="103"/>
      <c r="K123" s="99"/>
      <c r="L123" s="99"/>
      <c r="M123" s="99"/>
      <c r="N123" s="99"/>
      <c r="O123" s="99"/>
      <c r="P123" s="99"/>
      <c r="Q123" s="99"/>
      <c r="R123" s="99"/>
      <c r="S123" s="99"/>
      <c r="T123" s="99"/>
      <c r="U123" s="99"/>
      <c r="V123" s="99"/>
      <c r="W123" s="99"/>
      <c r="X123" s="100">
        <f>+'19 SEMANA '!F12</f>
        <v>0</v>
      </c>
      <c r="Y123" s="100">
        <f>+'19 SEMANA '!G12</f>
        <v>0</v>
      </c>
      <c r="Z123" s="100">
        <f>+'19 SEMANA '!H12</f>
        <v>0</v>
      </c>
      <c r="AA123" s="100">
        <f>+'19 SEMANA '!I12</f>
        <v>0</v>
      </c>
      <c r="AB123" s="100">
        <f>+'19 SEMANA '!J12</f>
        <v>0</v>
      </c>
      <c r="AC123" s="100">
        <f>+'19 SEMANA '!K12</f>
        <v>0</v>
      </c>
      <c r="AD123" s="99"/>
      <c r="AE123" s="99"/>
      <c r="AF123" s="99"/>
      <c r="AG123" s="99"/>
      <c r="AH123" s="99"/>
      <c r="AI123" s="99"/>
      <c r="AJ123" s="99"/>
      <c r="AK123" s="99"/>
      <c r="AL123" s="99"/>
      <c r="AM123" s="99"/>
      <c r="AN123" s="99"/>
      <c r="AO123" s="99"/>
      <c r="AP123" s="99"/>
      <c r="AQ123" s="99"/>
      <c r="AR123" s="99"/>
      <c r="AS123" s="99"/>
      <c r="AT123" s="99"/>
      <c r="AU123" s="99"/>
      <c r="AV123" s="99"/>
      <c r="AW123" s="99"/>
      <c r="AX123" s="99"/>
      <c r="AY123" s="99"/>
      <c r="AZ123" s="99"/>
      <c r="BA123" s="99"/>
      <c r="BB123" s="99"/>
      <c r="BC123" s="99"/>
      <c r="BD123" s="99"/>
    </row>
    <row r="124" spans="1:56" x14ac:dyDescent="0.25">
      <c r="A124" s="37">
        <f>'19 SEMANA '!A13</f>
        <v>0</v>
      </c>
      <c r="B124" s="38">
        <f>'19 SEMANA '!B13</f>
        <v>0</v>
      </c>
      <c r="C124" s="38">
        <f>'19 SEMANA '!C13</f>
        <v>0</v>
      </c>
      <c r="D124" s="38">
        <f>+'19 SEMANA '!D13</f>
        <v>0</v>
      </c>
      <c r="E124" s="100"/>
      <c r="F124" s="100"/>
      <c r="G124" s="99"/>
      <c r="H124" s="101"/>
      <c r="I124" s="102"/>
      <c r="J124" s="103"/>
      <c r="K124" s="99"/>
      <c r="L124" s="99"/>
      <c r="M124" s="99"/>
      <c r="N124" s="99"/>
      <c r="O124" s="99"/>
      <c r="P124" s="99"/>
      <c r="Q124" s="99"/>
      <c r="R124" s="99"/>
      <c r="S124" s="99"/>
      <c r="T124" s="99"/>
      <c r="U124" s="99"/>
      <c r="V124" s="99"/>
      <c r="W124" s="99"/>
      <c r="X124" s="100">
        <f>+'19 SEMANA '!F13</f>
        <v>0</v>
      </c>
      <c r="Y124" s="100">
        <f>+'19 SEMANA '!G13</f>
        <v>0</v>
      </c>
      <c r="Z124" s="100">
        <f>+'19 SEMANA '!H13</f>
        <v>0</v>
      </c>
      <c r="AA124" s="100">
        <f>+'19 SEMANA '!I13</f>
        <v>0</v>
      </c>
      <c r="AB124" s="100">
        <f>+'19 SEMANA '!J13</f>
        <v>0</v>
      </c>
      <c r="AC124" s="100">
        <f>+'19 SEMANA '!K13</f>
        <v>0</v>
      </c>
      <c r="AD124" s="99"/>
      <c r="AE124" s="99"/>
      <c r="AF124" s="99"/>
      <c r="AG124" s="99"/>
      <c r="AH124" s="99"/>
      <c r="AI124" s="99"/>
      <c r="AJ124" s="99"/>
      <c r="AK124" s="99"/>
      <c r="AL124" s="99"/>
      <c r="AM124" s="99"/>
      <c r="AN124" s="99"/>
      <c r="AO124" s="99"/>
      <c r="AP124" s="99"/>
      <c r="AQ124" s="99"/>
      <c r="AR124" s="99"/>
      <c r="AS124" s="99"/>
      <c r="AT124" s="99"/>
      <c r="AU124" s="99"/>
      <c r="AV124" s="99"/>
      <c r="AW124" s="99"/>
      <c r="AX124" s="99"/>
      <c r="AY124" s="99"/>
      <c r="AZ124" s="99"/>
      <c r="BA124" s="99"/>
      <c r="BB124" s="99"/>
      <c r="BC124" s="99"/>
      <c r="BD124" s="99"/>
    </row>
    <row r="125" spans="1:56" x14ac:dyDescent="0.25">
      <c r="A125" s="37">
        <f>'19 SEMANA '!A14</f>
        <v>0</v>
      </c>
      <c r="B125" s="38">
        <f>'19 SEMANA '!B14</f>
        <v>0</v>
      </c>
      <c r="C125" s="38">
        <f>'19 SEMANA '!C14</f>
        <v>0</v>
      </c>
      <c r="D125" s="38">
        <f>+'19 SEMANA '!D14</f>
        <v>0</v>
      </c>
      <c r="E125" s="100"/>
      <c r="F125" s="100"/>
      <c r="G125" s="99"/>
      <c r="H125" s="101"/>
      <c r="I125" s="102"/>
      <c r="J125" s="103"/>
      <c r="K125" s="99"/>
      <c r="L125" s="99"/>
      <c r="M125" s="99"/>
      <c r="N125" s="99"/>
      <c r="O125" s="99"/>
      <c r="P125" s="99"/>
      <c r="Q125" s="99"/>
      <c r="R125" s="99"/>
      <c r="S125" s="99"/>
      <c r="T125" s="99"/>
      <c r="U125" s="99"/>
      <c r="V125" s="99"/>
      <c r="W125" s="99"/>
      <c r="X125" s="100">
        <f>+'19 SEMANA '!F14</f>
        <v>0</v>
      </c>
      <c r="Y125" s="100">
        <f>+'19 SEMANA '!G14</f>
        <v>0</v>
      </c>
      <c r="Z125" s="100">
        <f>+'19 SEMANA '!H14</f>
        <v>0</v>
      </c>
      <c r="AA125" s="100">
        <f>+'19 SEMANA '!I14</f>
        <v>0</v>
      </c>
      <c r="AB125" s="100">
        <f>+'19 SEMANA '!J14</f>
        <v>0</v>
      </c>
      <c r="AC125" s="100">
        <f>+'19 SEMANA '!K14</f>
        <v>0</v>
      </c>
      <c r="AD125" s="99"/>
      <c r="AE125" s="99"/>
      <c r="AF125" s="99"/>
      <c r="AG125" s="99"/>
      <c r="AH125" s="99"/>
      <c r="AI125" s="99"/>
      <c r="AJ125" s="99"/>
      <c r="AK125" s="99"/>
      <c r="AL125" s="99"/>
      <c r="AM125" s="99"/>
      <c r="AN125" s="99"/>
      <c r="AO125" s="99"/>
      <c r="AP125" s="99"/>
      <c r="AQ125" s="99"/>
      <c r="AR125" s="99"/>
      <c r="AS125" s="99"/>
      <c r="AT125" s="99"/>
      <c r="AU125" s="99"/>
      <c r="AV125" s="99"/>
      <c r="AW125" s="99"/>
      <c r="AX125" s="99"/>
      <c r="AY125" s="99"/>
      <c r="AZ125" s="99"/>
      <c r="BA125" s="99"/>
      <c r="BB125" s="99"/>
      <c r="BC125" s="99"/>
      <c r="BD125" s="99"/>
    </row>
    <row r="126" spans="1:56" x14ac:dyDescent="0.25">
      <c r="A126" s="37">
        <f>'20 SEMANA'!A9</f>
        <v>0</v>
      </c>
      <c r="B126" s="38">
        <f>'20 SEMANA'!B9</f>
        <v>0</v>
      </c>
      <c r="C126" s="38">
        <f>'20 SEMANA'!C9</f>
        <v>0</v>
      </c>
      <c r="D126" s="38">
        <f>+'20 SEMANA'!D9</f>
        <v>0</v>
      </c>
      <c r="E126" s="100"/>
      <c r="F126" s="100"/>
      <c r="G126" s="99"/>
      <c r="H126" s="101"/>
      <c r="I126" s="102"/>
      <c r="J126" s="103"/>
      <c r="K126" s="99"/>
      <c r="L126" s="99"/>
      <c r="M126" s="99"/>
      <c r="N126" s="99"/>
      <c r="O126" s="99"/>
      <c r="P126" s="99"/>
      <c r="Q126" s="99"/>
      <c r="R126" s="99"/>
      <c r="S126" s="99"/>
      <c r="T126" s="99"/>
      <c r="U126" s="99"/>
      <c r="V126" s="99"/>
      <c r="W126" s="99"/>
      <c r="X126" s="100"/>
      <c r="Y126" s="100">
        <f>'20 SEMANA'!F9</f>
        <v>0</v>
      </c>
      <c r="Z126" s="100">
        <f>'20 SEMANA'!G9</f>
        <v>0</v>
      </c>
      <c r="AA126" s="100">
        <f>'20 SEMANA'!H9</f>
        <v>0</v>
      </c>
      <c r="AB126" s="100">
        <f>'20 SEMANA'!I9</f>
        <v>0</v>
      </c>
      <c r="AC126" s="100">
        <f>'20 SEMANA'!J9</f>
        <v>0</v>
      </c>
      <c r="AD126" s="100">
        <f>'20 SEMANA'!K9</f>
        <v>0</v>
      </c>
      <c r="AE126" s="100"/>
      <c r="AF126" s="99"/>
      <c r="AG126" s="99"/>
      <c r="AH126" s="99"/>
      <c r="AI126" s="99"/>
      <c r="AJ126" s="99"/>
      <c r="AK126" s="99"/>
      <c r="AL126" s="99"/>
      <c r="AM126" s="99"/>
      <c r="AN126" s="99"/>
      <c r="AO126" s="99"/>
      <c r="AP126" s="99"/>
      <c r="AQ126" s="99"/>
      <c r="AR126" s="99"/>
      <c r="AS126" s="99"/>
      <c r="AT126" s="99"/>
      <c r="AU126" s="99"/>
      <c r="AV126" s="99"/>
      <c r="AW126" s="99"/>
      <c r="AX126" s="99"/>
      <c r="AY126" s="99"/>
      <c r="AZ126" s="99"/>
      <c r="BA126" s="99"/>
      <c r="BB126" s="99"/>
      <c r="BC126" s="99"/>
      <c r="BD126" s="99"/>
    </row>
    <row r="127" spans="1:56" x14ac:dyDescent="0.25">
      <c r="A127" s="37">
        <f>'20 SEMANA'!A10</f>
        <v>0</v>
      </c>
      <c r="B127" s="38">
        <f>'20 SEMANA'!B10</f>
        <v>0</v>
      </c>
      <c r="C127" s="38">
        <f>'20 SEMANA'!C10</f>
        <v>0</v>
      </c>
      <c r="D127" s="38">
        <f>+'20 SEMANA'!D10</f>
        <v>0</v>
      </c>
      <c r="E127" s="100"/>
      <c r="F127" s="100"/>
      <c r="G127" s="99"/>
      <c r="H127" s="101"/>
      <c r="I127" s="102"/>
      <c r="J127" s="103"/>
      <c r="K127" s="99"/>
      <c r="L127" s="99"/>
      <c r="M127" s="99"/>
      <c r="N127" s="99"/>
      <c r="O127" s="99"/>
      <c r="P127" s="99"/>
      <c r="Q127" s="99"/>
      <c r="R127" s="99"/>
      <c r="S127" s="99"/>
      <c r="T127" s="99"/>
      <c r="U127" s="99"/>
      <c r="V127" s="99"/>
      <c r="W127" s="99"/>
      <c r="X127" s="99"/>
      <c r="Y127" s="100">
        <f>'20 SEMANA'!F10</f>
        <v>0</v>
      </c>
      <c r="Z127" s="100">
        <f>'20 SEMANA'!G10</f>
        <v>0</v>
      </c>
      <c r="AA127" s="100">
        <f>'20 SEMANA'!H10</f>
        <v>0</v>
      </c>
      <c r="AB127" s="100">
        <f>'20 SEMANA'!I10</f>
        <v>0</v>
      </c>
      <c r="AC127" s="100">
        <f>'20 SEMANA'!J10</f>
        <v>0</v>
      </c>
      <c r="AD127" s="100">
        <f>'20 SEMANA'!K10</f>
        <v>0</v>
      </c>
      <c r="AE127" s="100"/>
      <c r="AF127" s="99"/>
      <c r="AG127" s="99"/>
      <c r="AH127" s="99"/>
      <c r="AI127" s="99"/>
      <c r="AJ127" s="99"/>
      <c r="AK127" s="99"/>
      <c r="AL127" s="99"/>
      <c r="AM127" s="99"/>
      <c r="AN127" s="99"/>
      <c r="AO127" s="99"/>
      <c r="AP127" s="99"/>
      <c r="AQ127" s="99"/>
      <c r="AR127" s="99"/>
      <c r="AS127" s="99"/>
      <c r="AT127" s="99"/>
      <c r="AU127" s="99"/>
      <c r="AV127" s="99"/>
      <c r="AW127" s="99"/>
      <c r="AX127" s="99"/>
      <c r="AY127" s="99"/>
      <c r="AZ127" s="99"/>
      <c r="BA127" s="99"/>
      <c r="BB127" s="99"/>
      <c r="BC127" s="99"/>
      <c r="BD127" s="99"/>
    </row>
    <row r="128" spans="1:56" x14ac:dyDescent="0.25">
      <c r="A128" s="37">
        <f>'20 SEMANA'!A11</f>
        <v>0</v>
      </c>
      <c r="B128" s="38">
        <f>'20 SEMANA'!B11</f>
        <v>0</v>
      </c>
      <c r="C128" s="38">
        <f>'20 SEMANA'!C11</f>
        <v>0</v>
      </c>
      <c r="D128" s="38">
        <f>+'20 SEMANA'!D11</f>
        <v>0</v>
      </c>
      <c r="E128" s="100"/>
      <c r="F128" s="100"/>
      <c r="G128" s="99"/>
      <c r="H128" s="101"/>
      <c r="I128" s="102"/>
      <c r="J128" s="103"/>
      <c r="K128" s="99"/>
      <c r="L128" s="99"/>
      <c r="M128" s="99"/>
      <c r="N128" s="99"/>
      <c r="O128" s="99"/>
      <c r="P128" s="99"/>
      <c r="Q128" s="99"/>
      <c r="R128" s="99"/>
      <c r="S128" s="99"/>
      <c r="T128" s="99"/>
      <c r="U128" s="99"/>
      <c r="V128" s="99"/>
      <c r="W128" s="99"/>
      <c r="X128" s="99"/>
      <c r="Y128" s="100">
        <f>'20 SEMANA'!F11</f>
        <v>0</v>
      </c>
      <c r="Z128" s="100">
        <f>'20 SEMANA'!G11</f>
        <v>0</v>
      </c>
      <c r="AA128" s="100">
        <f>'20 SEMANA'!H11</f>
        <v>0</v>
      </c>
      <c r="AB128" s="100">
        <f>'20 SEMANA'!I11</f>
        <v>0</v>
      </c>
      <c r="AC128" s="100">
        <f>'20 SEMANA'!J11</f>
        <v>0</v>
      </c>
      <c r="AD128" s="100">
        <f>'20 SEMANA'!K11</f>
        <v>0</v>
      </c>
      <c r="AE128" s="100"/>
      <c r="AF128" s="99"/>
      <c r="AG128" s="99"/>
      <c r="AH128" s="99"/>
      <c r="AI128" s="99"/>
      <c r="AJ128" s="99"/>
      <c r="AK128" s="99"/>
      <c r="AL128" s="99"/>
      <c r="AM128" s="99"/>
      <c r="AN128" s="99"/>
      <c r="AO128" s="99"/>
      <c r="AP128" s="99"/>
      <c r="AQ128" s="99"/>
      <c r="AR128" s="99"/>
      <c r="AS128" s="99"/>
      <c r="AT128" s="99"/>
      <c r="AU128" s="99"/>
      <c r="AV128" s="99"/>
      <c r="AW128" s="99"/>
      <c r="AX128" s="99"/>
      <c r="AY128" s="99"/>
      <c r="AZ128" s="99"/>
      <c r="BA128" s="99"/>
      <c r="BB128" s="99"/>
      <c r="BC128" s="99"/>
      <c r="BD128" s="99"/>
    </row>
    <row r="129" spans="1:56" x14ac:dyDescent="0.25">
      <c r="A129" s="37">
        <f>'20 SEMANA'!A12</f>
        <v>0</v>
      </c>
      <c r="B129" s="38">
        <f>'20 SEMANA'!B12</f>
        <v>0</v>
      </c>
      <c r="C129" s="38">
        <f>'20 SEMANA'!C12</f>
        <v>0</v>
      </c>
      <c r="D129" s="38">
        <f>+'20 SEMANA'!D12</f>
        <v>0</v>
      </c>
      <c r="E129" s="100"/>
      <c r="F129" s="100"/>
      <c r="G129" s="99"/>
      <c r="H129" s="101"/>
      <c r="I129" s="102"/>
      <c r="J129" s="103"/>
      <c r="K129" s="99"/>
      <c r="L129" s="99"/>
      <c r="M129" s="99"/>
      <c r="N129" s="99"/>
      <c r="O129" s="99"/>
      <c r="P129" s="99"/>
      <c r="Q129" s="99"/>
      <c r="R129" s="99"/>
      <c r="S129" s="99"/>
      <c r="T129" s="99"/>
      <c r="U129" s="99"/>
      <c r="V129" s="99"/>
      <c r="W129" s="99"/>
      <c r="X129" s="99"/>
      <c r="Y129" s="100">
        <f>'20 SEMANA'!F12</f>
        <v>0</v>
      </c>
      <c r="Z129" s="100">
        <f>'20 SEMANA'!G12</f>
        <v>0</v>
      </c>
      <c r="AA129" s="100">
        <f>'20 SEMANA'!H12</f>
        <v>0</v>
      </c>
      <c r="AB129" s="100">
        <f>'20 SEMANA'!I12</f>
        <v>0</v>
      </c>
      <c r="AC129" s="100">
        <f>'20 SEMANA'!J12</f>
        <v>0</v>
      </c>
      <c r="AD129" s="100">
        <f>'20 SEMANA'!K12</f>
        <v>0</v>
      </c>
      <c r="AE129" s="100"/>
      <c r="AF129" s="99"/>
      <c r="AG129" s="99"/>
      <c r="AH129" s="99"/>
      <c r="AI129" s="99"/>
      <c r="AJ129" s="99"/>
      <c r="AK129" s="99"/>
      <c r="AL129" s="99"/>
      <c r="AM129" s="99"/>
      <c r="AN129" s="99"/>
      <c r="AO129" s="99"/>
      <c r="AP129" s="99"/>
      <c r="AQ129" s="99"/>
      <c r="AR129" s="99"/>
      <c r="AS129" s="99"/>
      <c r="AT129" s="99"/>
      <c r="AU129" s="99"/>
      <c r="AV129" s="99"/>
      <c r="AW129" s="99"/>
      <c r="AX129" s="99"/>
      <c r="AY129" s="99"/>
      <c r="AZ129" s="99"/>
      <c r="BA129" s="99"/>
      <c r="BB129" s="99"/>
      <c r="BC129" s="99"/>
      <c r="BD129" s="99"/>
    </row>
    <row r="130" spans="1:56" x14ac:dyDescent="0.25">
      <c r="A130" s="37">
        <f>'20 SEMANA'!A13</f>
        <v>0</v>
      </c>
      <c r="B130" s="38">
        <f>'20 SEMANA'!B13</f>
        <v>0</v>
      </c>
      <c r="C130" s="38">
        <f>'20 SEMANA'!C13</f>
        <v>0</v>
      </c>
      <c r="D130" s="38">
        <f>+'20 SEMANA'!D13</f>
        <v>0</v>
      </c>
      <c r="E130" s="100"/>
      <c r="F130" s="100"/>
      <c r="G130" s="99"/>
      <c r="H130" s="101"/>
      <c r="I130" s="102"/>
      <c r="J130" s="103"/>
      <c r="K130" s="99"/>
      <c r="L130" s="99"/>
      <c r="M130" s="99"/>
      <c r="N130" s="99"/>
      <c r="O130" s="99"/>
      <c r="P130" s="99"/>
      <c r="Q130" s="99"/>
      <c r="R130" s="99"/>
      <c r="S130" s="99"/>
      <c r="T130" s="99"/>
      <c r="U130" s="99"/>
      <c r="V130" s="99"/>
      <c r="W130" s="99"/>
      <c r="X130" s="99"/>
      <c r="Y130" s="100">
        <f>'20 SEMANA'!F13</f>
        <v>0</v>
      </c>
      <c r="Z130" s="100">
        <f>'20 SEMANA'!G13</f>
        <v>0</v>
      </c>
      <c r="AA130" s="100">
        <f>'20 SEMANA'!H13</f>
        <v>0</v>
      </c>
      <c r="AB130" s="100">
        <f>'20 SEMANA'!I13</f>
        <v>0</v>
      </c>
      <c r="AC130" s="100">
        <f>'20 SEMANA'!J13</f>
        <v>0</v>
      </c>
      <c r="AD130" s="100">
        <f>'20 SEMANA'!K13</f>
        <v>0</v>
      </c>
      <c r="AE130" s="100"/>
      <c r="AF130" s="99"/>
      <c r="AG130" s="99"/>
      <c r="AH130" s="99"/>
      <c r="AI130" s="99"/>
      <c r="AJ130" s="99"/>
      <c r="AK130" s="99"/>
      <c r="AL130" s="99"/>
      <c r="AM130" s="99"/>
      <c r="AN130" s="99"/>
      <c r="AO130" s="99"/>
      <c r="AP130" s="99"/>
      <c r="AQ130" s="99"/>
      <c r="AR130" s="99"/>
      <c r="AS130" s="99"/>
      <c r="AT130" s="99"/>
      <c r="AU130" s="99"/>
      <c r="AV130" s="99"/>
      <c r="AW130" s="99"/>
      <c r="AX130" s="99"/>
      <c r="AY130" s="99"/>
      <c r="AZ130" s="99"/>
      <c r="BA130" s="99"/>
      <c r="BB130" s="99"/>
      <c r="BC130" s="99"/>
      <c r="BD130" s="99"/>
    </row>
    <row r="131" spans="1:56" x14ac:dyDescent="0.25">
      <c r="A131" s="37">
        <f>'20 SEMANA'!A14</f>
        <v>0</v>
      </c>
      <c r="B131" s="38">
        <f>'20 SEMANA'!B14</f>
        <v>0</v>
      </c>
      <c r="C131" s="38">
        <f>'20 SEMANA'!C14</f>
        <v>0</v>
      </c>
      <c r="D131" s="38">
        <f>+'20 SEMANA'!D14</f>
        <v>0</v>
      </c>
      <c r="E131" s="100"/>
      <c r="F131" s="100"/>
      <c r="G131" s="99"/>
      <c r="H131" s="101"/>
      <c r="I131" s="102"/>
      <c r="J131" s="103"/>
      <c r="K131" s="99"/>
      <c r="L131" s="99"/>
      <c r="M131" s="99"/>
      <c r="N131" s="99"/>
      <c r="O131" s="99"/>
      <c r="P131" s="99"/>
      <c r="Q131" s="99"/>
      <c r="R131" s="99"/>
      <c r="S131" s="99"/>
      <c r="T131" s="99"/>
      <c r="U131" s="99"/>
      <c r="V131" s="99"/>
      <c r="W131" s="99"/>
      <c r="X131" s="99"/>
      <c r="Y131" s="100">
        <f>'20 SEMANA'!F14</f>
        <v>0</v>
      </c>
      <c r="Z131" s="100">
        <f>'20 SEMANA'!G14</f>
        <v>0</v>
      </c>
      <c r="AA131" s="100">
        <f>'20 SEMANA'!H14</f>
        <v>0</v>
      </c>
      <c r="AB131" s="100">
        <f>'20 SEMANA'!I14</f>
        <v>0</v>
      </c>
      <c r="AC131" s="100">
        <f>'20 SEMANA'!J14</f>
        <v>0</v>
      </c>
      <c r="AD131" s="100">
        <f>'20 SEMANA'!K14</f>
        <v>0</v>
      </c>
      <c r="AE131" s="100"/>
      <c r="AF131" s="99"/>
      <c r="AG131" s="99"/>
      <c r="AH131" s="99"/>
      <c r="AI131" s="99"/>
      <c r="AJ131" s="99"/>
      <c r="AK131" s="99"/>
      <c r="AL131" s="99"/>
      <c r="AM131" s="99"/>
      <c r="AN131" s="99"/>
      <c r="AO131" s="99"/>
      <c r="AP131" s="99"/>
      <c r="AQ131" s="99"/>
      <c r="AR131" s="99"/>
      <c r="AS131" s="99"/>
      <c r="AT131" s="99"/>
      <c r="AU131" s="99"/>
      <c r="AV131" s="99"/>
      <c r="AW131" s="99"/>
      <c r="AX131" s="99"/>
      <c r="AY131" s="99"/>
      <c r="AZ131" s="99"/>
      <c r="BA131" s="99"/>
      <c r="BB131" s="99"/>
      <c r="BC131" s="99"/>
      <c r="BD131" s="99"/>
    </row>
    <row r="132" spans="1:56" x14ac:dyDescent="0.25">
      <c r="A132" s="37">
        <f>'21 SEMANA'!A9</f>
        <v>0</v>
      </c>
      <c r="B132" s="38">
        <f>'21 SEMANA'!B9</f>
        <v>0</v>
      </c>
      <c r="C132" s="38">
        <f>'21 SEMANA'!C9</f>
        <v>0</v>
      </c>
      <c r="D132" s="38">
        <f>+'21 SEMANA'!D9</f>
        <v>0</v>
      </c>
      <c r="E132" s="100"/>
      <c r="F132" s="100"/>
      <c r="G132" s="99"/>
      <c r="H132" s="101"/>
      <c r="I132" s="102"/>
      <c r="J132" s="103"/>
      <c r="K132" s="99"/>
      <c r="L132" s="99"/>
      <c r="M132" s="99"/>
      <c r="N132" s="99"/>
      <c r="O132" s="99"/>
      <c r="P132" s="99"/>
      <c r="Q132" s="99"/>
      <c r="R132" s="99"/>
      <c r="S132" s="99"/>
      <c r="T132" s="99"/>
      <c r="U132" s="99"/>
      <c r="V132" s="99"/>
      <c r="W132" s="99"/>
      <c r="X132" s="99"/>
      <c r="Y132" s="99"/>
      <c r="Z132" s="100">
        <f>+'21 SEMANA'!F9</f>
        <v>0</v>
      </c>
      <c r="AA132" s="100">
        <f>+'21 SEMANA'!G9</f>
        <v>0</v>
      </c>
      <c r="AB132" s="100">
        <f>+'21 SEMANA'!H9</f>
        <v>0</v>
      </c>
      <c r="AC132" s="100">
        <f>+'21 SEMANA'!I9</f>
        <v>0</v>
      </c>
      <c r="AD132" s="100">
        <f>+'21 SEMANA'!J9</f>
        <v>0</v>
      </c>
      <c r="AE132" s="100">
        <f>+'21 SEMANA'!K9</f>
        <v>0</v>
      </c>
      <c r="AF132" s="99"/>
      <c r="AG132" s="99"/>
      <c r="AH132" s="99"/>
      <c r="AI132" s="99"/>
      <c r="AJ132" s="99"/>
      <c r="AK132" s="99"/>
      <c r="AL132" s="99"/>
      <c r="AM132" s="99"/>
      <c r="AN132" s="99"/>
      <c r="AO132" s="99"/>
      <c r="AP132" s="99"/>
      <c r="AQ132" s="99"/>
      <c r="AR132" s="99"/>
      <c r="AS132" s="99"/>
      <c r="AT132" s="99"/>
      <c r="AU132" s="99"/>
      <c r="AV132" s="99"/>
      <c r="AW132" s="99"/>
      <c r="AX132" s="99"/>
      <c r="AY132" s="99"/>
      <c r="AZ132" s="99"/>
      <c r="BA132" s="99"/>
      <c r="BB132" s="99"/>
      <c r="BC132" s="99"/>
      <c r="BD132" s="99"/>
    </row>
    <row r="133" spans="1:56" x14ac:dyDescent="0.25">
      <c r="A133" s="37">
        <f>'21 SEMANA'!A10</f>
        <v>0</v>
      </c>
      <c r="B133" s="38">
        <f>'21 SEMANA'!B10</f>
        <v>0</v>
      </c>
      <c r="C133" s="38">
        <f>'21 SEMANA'!C10</f>
        <v>0</v>
      </c>
      <c r="D133" s="38">
        <f>+'21 SEMANA'!D10</f>
        <v>0</v>
      </c>
      <c r="E133" s="100"/>
      <c r="F133" s="100"/>
      <c r="G133" s="99"/>
      <c r="H133" s="101"/>
      <c r="I133" s="102"/>
      <c r="J133" s="103"/>
      <c r="K133" s="99"/>
      <c r="L133" s="99"/>
      <c r="M133" s="99"/>
      <c r="N133" s="99"/>
      <c r="O133" s="99"/>
      <c r="P133" s="99"/>
      <c r="Q133" s="99"/>
      <c r="R133" s="99"/>
      <c r="S133" s="99"/>
      <c r="T133" s="99"/>
      <c r="U133" s="99"/>
      <c r="V133" s="99"/>
      <c r="W133" s="99"/>
      <c r="X133" s="99"/>
      <c r="Y133" s="99"/>
      <c r="Z133" s="100">
        <f>+'21 SEMANA'!F10</f>
        <v>0</v>
      </c>
      <c r="AA133" s="100">
        <f>+'21 SEMANA'!G10</f>
        <v>0</v>
      </c>
      <c r="AB133" s="100">
        <f>+'21 SEMANA'!H10</f>
        <v>0</v>
      </c>
      <c r="AC133" s="100">
        <f>+'21 SEMANA'!I10</f>
        <v>0</v>
      </c>
      <c r="AD133" s="100">
        <f>+'21 SEMANA'!J10</f>
        <v>0</v>
      </c>
      <c r="AE133" s="100">
        <f>+'21 SEMANA'!K10</f>
        <v>0</v>
      </c>
      <c r="AF133" s="99"/>
      <c r="AG133" s="99"/>
      <c r="AH133" s="99"/>
      <c r="AI133" s="99"/>
      <c r="AJ133" s="99"/>
      <c r="AK133" s="99"/>
      <c r="AL133" s="99"/>
      <c r="AM133" s="99"/>
      <c r="AN133" s="99"/>
      <c r="AO133" s="99"/>
      <c r="AP133" s="99"/>
      <c r="AQ133" s="99"/>
      <c r="AR133" s="99"/>
      <c r="AS133" s="99"/>
      <c r="AT133" s="99"/>
      <c r="AU133" s="99"/>
      <c r="AV133" s="99"/>
      <c r="AW133" s="99"/>
      <c r="AX133" s="99"/>
      <c r="AY133" s="99"/>
      <c r="AZ133" s="99"/>
      <c r="BA133" s="99"/>
      <c r="BB133" s="99"/>
      <c r="BC133" s="99"/>
      <c r="BD133" s="99"/>
    </row>
    <row r="134" spans="1:56" x14ac:dyDescent="0.25">
      <c r="A134" s="37">
        <f>'21 SEMANA'!A11</f>
        <v>0</v>
      </c>
      <c r="B134" s="38">
        <f>'21 SEMANA'!B11</f>
        <v>0</v>
      </c>
      <c r="C134" s="38">
        <f>'21 SEMANA'!C11</f>
        <v>0</v>
      </c>
      <c r="D134" s="38">
        <f>+'21 SEMANA'!D11</f>
        <v>0</v>
      </c>
      <c r="E134" s="100"/>
      <c r="F134" s="100"/>
      <c r="G134" s="99"/>
      <c r="H134" s="101"/>
      <c r="I134" s="102"/>
      <c r="J134" s="103"/>
      <c r="K134" s="99"/>
      <c r="L134" s="99"/>
      <c r="M134" s="99"/>
      <c r="N134" s="99"/>
      <c r="O134" s="99"/>
      <c r="P134" s="99"/>
      <c r="Q134" s="99"/>
      <c r="R134" s="99"/>
      <c r="S134" s="99"/>
      <c r="T134" s="99"/>
      <c r="U134" s="99"/>
      <c r="V134" s="99"/>
      <c r="W134" s="99"/>
      <c r="X134" s="99"/>
      <c r="Y134" s="99"/>
      <c r="Z134" s="100">
        <f>+'21 SEMANA'!F11</f>
        <v>0</v>
      </c>
      <c r="AA134" s="100">
        <f>+'21 SEMANA'!G11</f>
        <v>0</v>
      </c>
      <c r="AB134" s="100">
        <f>+'21 SEMANA'!H11</f>
        <v>0</v>
      </c>
      <c r="AC134" s="100">
        <f>+'21 SEMANA'!I11</f>
        <v>0</v>
      </c>
      <c r="AD134" s="100">
        <f>+'21 SEMANA'!J11</f>
        <v>0</v>
      </c>
      <c r="AE134" s="100">
        <f>+'21 SEMANA'!K11</f>
        <v>0</v>
      </c>
      <c r="AF134" s="99"/>
      <c r="AG134" s="99"/>
      <c r="AH134" s="99"/>
      <c r="AI134" s="99"/>
      <c r="AJ134" s="99"/>
      <c r="AK134" s="99"/>
      <c r="AL134" s="99"/>
      <c r="AM134" s="99"/>
      <c r="AN134" s="99"/>
      <c r="AO134" s="99"/>
      <c r="AP134" s="99"/>
      <c r="AQ134" s="99"/>
      <c r="AR134" s="99"/>
      <c r="AS134" s="99"/>
      <c r="AT134" s="99"/>
      <c r="AU134" s="99"/>
      <c r="AV134" s="99"/>
      <c r="AW134" s="99"/>
      <c r="AX134" s="99"/>
      <c r="AY134" s="99"/>
      <c r="AZ134" s="99"/>
      <c r="BA134" s="99"/>
      <c r="BB134" s="99"/>
      <c r="BC134" s="99"/>
      <c r="BD134" s="99"/>
    </row>
    <row r="135" spans="1:56" x14ac:dyDescent="0.25">
      <c r="A135" s="37">
        <f>'21 SEMANA'!A12</f>
        <v>0</v>
      </c>
      <c r="B135" s="38">
        <f>'21 SEMANA'!B12</f>
        <v>0</v>
      </c>
      <c r="C135" s="38">
        <f>'21 SEMANA'!C12</f>
        <v>0</v>
      </c>
      <c r="D135" s="38">
        <f>+'21 SEMANA'!D12</f>
        <v>0</v>
      </c>
      <c r="E135" s="100"/>
      <c r="F135" s="100"/>
      <c r="G135" s="99"/>
      <c r="H135" s="101"/>
      <c r="I135" s="102"/>
      <c r="J135" s="103"/>
      <c r="K135" s="99"/>
      <c r="L135" s="99"/>
      <c r="M135" s="99"/>
      <c r="N135" s="99"/>
      <c r="O135" s="99"/>
      <c r="P135" s="99"/>
      <c r="Q135" s="99"/>
      <c r="R135" s="99"/>
      <c r="S135" s="99"/>
      <c r="T135" s="99"/>
      <c r="U135" s="99"/>
      <c r="V135" s="99"/>
      <c r="W135" s="99"/>
      <c r="X135" s="99"/>
      <c r="Y135" s="99"/>
      <c r="Z135" s="100">
        <f>+'21 SEMANA'!F12</f>
        <v>0</v>
      </c>
      <c r="AA135" s="100">
        <f>+'21 SEMANA'!G12</f>
        <v>0</v>
      </c>
      <c r="AB135" s="100">
        <f>+'21 SEMANA'!H12</f>
        <v>0</v>
      </c>
      <c r="AC135" s="100">
        <f>+'21 SEMANA'!I12</f>
        <v>0</v>
      </c>
      <c r="AD135" s="100">
        <f>+'21 SEMANA'!J12</f>
        <v>0</v>
      </c>
      <c r="AE135" s="100">
        <f>+'21 SEMANA'!K12</f>
        <v>0</v>
      </c>
      <c r="AF135" s="99"/>
      <c r="AG135" s="99"/>
      <c r="AH135" s="99"/>
      <c r="AI135" s="99"/>
      <c r="AJ135" s="99"/>
      <c r="AK135" s="99"/>
      <c r="AL135" s="99"/>
      <c r="AM135" s="99"/>
      <c r="AN135" s="99"/>
      <c r="AO135" s="99"/>
      <c r="AP135" s="99"/>
      <c r="AQ135" s="99"/>
      <c r="AR135" s="99"/>
      <c r="AS135" s="99"/>
      <c r="AT135" s="99"/>
      <c r="AU135" s="99"/>
      <c r="AV135" s="99"/>
      <c r="AW135" s="99"/>
      <c r="AX135" s="99"/>
      <c r="AY135" s="99"/>
      <c r="AZ135" s="99"/>
      <c r="BA135" s="99"/>
      <c r="BB135" s="99"/>
      <c r="BC135" s="99"/>
      <c r="BD135" s="99"/>
    </row>
    <row r="136" spans="1:56" x14ac:dyDescent="0.25">
      <c r="A136" s="37">
        <f>'21 SEMANA'!A13</f>
        <v>0</v>
      </c>
      <c r="B136" s="38">
        <f>'21 SEMANA'!B13</f>
        <v>0</v>
      </c>
      <c r="C136" s="38">
        <f>'21 SEMANA'!C13</f>
        <v>0</v>
      </c>
      <c r="D136" s="38">
        <f>+'21 SEMANA'!D13</f>
        <v>0</v>
      </c>
      <c r="E136" s="100"/>
      <c r="F136" s="100"/>
      <c r="G136" s="99"/>
      <c r="H136" s="101"/>
      <c r="I136" s="102"/>
      <c r="J136" s="103"/>
      <c r="K136" s="99"/>
      <c r="L136" s="99"/>
      <c r="M136" s="99"/>
      <c r="N136" s="99"/>
      <c r="O136" s="99"/>
      <c r="P136" s="99"/>
      <c r="Q136" s="99"/>
      <c r="R136" s="99"/>
      <c r="S136" s="99"/>
      <c r="T136" s="99"/>
      <c r="U136" s="99"/>
      <c r="V136" s="99"/>
      <c r="W136" s="99"/>
      <c r="X136" s="99"/>
      <c r="Y136" s="99"/>
      <c r="Z136" s="100">
        <f>+'21 SEMANA'!F13</f>
        <v>0</v>
      </c>
      <c r="AA136" s="100">
        <f>+'21 SEMANA'!G13</f>
        <v>0</v>
      </c>
      <c r="AB136" s="100">
        <f>+'21 SEMANA'!H13</f>
        <v>0</v>
      </c>
      <c r="AC136" s="100">
        <f>+'21 SEMANA'!I13</f>
        <v>0</v>
      </c>
      <c r="AD136" s="100">
        <f>+'21 SEMANA'!J13</f>
        <v>0</v>
      </c>
      <c r="AE136" s="100">
        <f>+'21 SEMANA'!K13</f>
        <v>0</v>
      </c>
      <c r="AF136" s="99"/>
      <c r="AG136" s="99"/>
      <c r="AH136" s="99"/>
      <c r="AI136" s="99"/>
      <c r="AJ136" s="99"/>
      <c r="AK136" s="99"/>
      <c r="AL136" s="99"/>
      <c r="AM136" s="99"/>
      <c r="AN136" s="99"/>
      <c r="AO136" s="99"/>
      <c r="AP136" s="99"/>
      <c r="AQ136" s="99"/>
      <c r="AR136" s="99"/>
      <c r="AS136" s="99"/>
      <c r="AT136" s="99"/>
      <c r="AU136" s="99"/>
      <c r="AV136" s="99"/>
      <c r="AW136" s="99"/>
      <c r="AX136" s="99"/>
      <c r="AY136" s="99"/>
      <c r="AZ136" s="99"/>
      <c r="BA136" s="99"/>
      <c r="BB136" s="99"/>
      <c r="BC136" s="99"/>
      <c r="BD136" s="99"/>
    </row>
    <row r="137" spans="1:56" x14ac:dyDescent="0.25">
      <c r="A137" s="37">
        <f>'21 SEMANA'!A14</f>
        <v>0</v>
      </c>
      <c r="B137" s="38">
        <f>'21 SEMANA'!B14</f>
        <v>0</v>
      </c>
      <c r="C137" s="38">
        <f>'21 SEMANA'!C14</f>
        <v>0</v>
      </c>
      <c r="D137" s="38">
        <f>+'21 SEMANA'!D14</f>
        <v>0</v>
      </c>
      <c r="E137" s="100"/>
      <c r="F137" s="100"/>
      <c r="G137" s="99"/>
      <c r="H137" s="101"/>
      <c r="I137" s="102"/>
      <c r="J137" s="103"/>
      <c r="K137" s="99"/>
      <c r="L137" s="99"/>
      <c r="M137" s="99"/>
      <c r="N137" s="99"/>
      <c r="O137" s="99"/>
      <c r="P137" s="99"/>
      <c r="Q137" s="99"/>
      <c r="R137" s="99"/>
      <c r="S137" s="99"/>
      <c r="T137" s="99"/>
      <c r="U137" s="99"/>
      <c r="V137" s="99"/>
      <c r="W137" s="99"/>
      <c r="X137" s="99"/>
      <c r="Y137" s="99"/>
      <c r="Z137" s="100">
        <f>+'21 SEMANA'!F14</f>
        <v>0</v>
      </c>
      <c r="AA137" s="100">
        <f>+'21 SEMANA'!G14</f>
        <v>0</v>
      </c>
      <c r="AB137" s="100">
        <f>+'21 SEMANA'!H14</f>
        <v>0</v>
      </c>
      <c r="AC137" s="100">
        <f>+'21 SEMANA'!I14</f>
        <v>0</v>
      </c>
      <c r="AD137" s="100">
        <f>+'21 SEMANA'!J14</f>
        <v>0</v>
      </c>
      <c r="AE137" s="100">
        <f>+'21 SEMANA'!K14</f>
        <v>0</v>
      </c>
      <c r="AF137" s="99"/>
      <c r="AG137" s="99"/>
      <c r="AH137" s="99"/>
      <c r="AI137" s="99"/>
      <c r="AJ137" s="99"/>
      <c r="AK137" s="99"/>
      <c r="AL137" s="99"/>
      <c r="AM137" s="99"/>
      <c r="AN137" s="99"/>
      <c r="AO137" s="99"/>
      <c r="AP137" s="99"/>
      <c r="AQ137" s="99"/>
      <c r="AR137" s="99"/>
      <c r="AS137" s="99"/>
      <c r="AT137" s="99"/>
      <c r="AU137" s="99"/>
      <c r="AV137" s="99"/>
      <c r="AW137" s="99"/>
      <c r="AX137" s="99"/>
      <c r="AY137" s="99"/>
      <c r="AZ137" s="99"/>
      <c r="BA137" s="99"/>
      <c r="BB137" s="99"/>
      <c r="BC137" s="99"/>
      <c r="BD137" s="99"/>
    </row>
    <row r="138" spans="1:56" x14ac:dyDescent="0.25">
      <c r="A138" s="37">
        <f>'21 SEMANA'!A15</f>
        <v>0</v>
      </c>
      <c r="B138" s="38">
        <f>'21 SEMANA'!B15</f>
        <v>0</v>
      </c>
      <c r="C138" s="38">
        <f>'21 SEMANA'!C15</f>
        <v>0</v>
      </c>
      <c r="D138" s="38">
        <f>+'21 SEMANA'!D15</f>
        <v>0</v>
      </c>
      <c r="E138" s="100"/>
      <c r="F138" s="100"/>
      <c r="G138" s="99"/>
      <c r="H138" s="101"/>
      <c r="I138" s="102"/>
      <c r="J138" s="103"/>
      <c r="K138" s="99"/>
      <c r="L138" s="99"/>
      <c r="M138" s="99"/>
      <c r="N138" s="99"/>
      <c r="O138" s="99"/>
      <c r="P138" s="99"/>
      <c r="Q138" s="99"/>
      <c r="R138" s="99"/>
      <c r="S138" s="99"/>
      <c r="T138" s="99"/>
      <c r="U138" s="99"/>
      <c r="V138" s="99"/>
      <c r="W138" s="99"/>
      <c r="X138" s="99"/>
      <c r="Y138" s="99"/>
      <c r="Z138" s="100">
        <f>+'21 SEMANA'!F15</f>
        <v>0</v>
      </c>
      <c r="AA138" s="100">
        <f>+'21 SEMANA'!G15</f>
        <v>0</v>
      </c>
      <c r="AB138" s="100">
        <f>+'21 SEMANA'!H15</f>
        <v>0</v>
      </c>
      <c r="AC138" s="100">
        <f>+'21 SEMANA'!I15</f>
        <v>0</v>
      </c>
      <c r="AD138" s="100">
        <f>+'21 SEMANA'!J15</f>
        <v>0</v>
      </c>
      <c r="AE138" s="100">
        <f>+'21 SEMANA'!K15</f>
        <v>0</v>
      </c>
      <c r="AF138" s="99"/>
      <c r="AG138" s="99"/>
      <c r="AH138" s="99"/>
      <c r="AI138" s="99"/>
      <c r="AJ138" s="99"/>
      <c r="AK138" s="99"/>
      <c r="AL138" s="99"/>
      <c r="AM138" s="99"/>
      <c r="AN138" s="99"/>
      <c r="AO138" s="99"/>
      <c r="AP138" s="99"/>
      <c r="AQ138" s="99"/>
      <c r="AR138" s="99"/>
      <c r="AS138" s="99"/>
      <c r="AT138" s="99"/>
      <c r="AU138" s="99"/>
      <c r="AV138" s="99"/>
      <c r="AW138" s="99"/>
      <c r="AX138" s="99"/>
      <c r="AY138" s="99"/>
      <c r="AZ138" s="99"/>
      <c r="BA138" s="99"/>
      <c r="BB138" s="99"/>
      <c r="BC138" s="99"/>
      <c r="BD138" s="99"/>
    </row>
    <row r="139" spans="1:56" x14ac:dyDescent="0.25">
      <c r="A139" s="37">
        <f>'22 SEMANA'!A9</f>
        <v>0</v>
      </c>
      <c r="B139" s="38">
        <f>'22 SEMANA'!B9</f>
        <v>0</v>
      </c>
      <c r="C139" s="38">
        <f>'22 SEMANA'!C9</f>
        <v>0</v>
      </c>
      <c r="D139" s="38">
        <f>+'22 SEMANA'!D9</f>
        <v>0</v>
      </c>
      <c r="E139" s="100"/>
      <c r="F139" s="100"/>
      <c r="G139" s="99"/>
      <c r="H139" s="101"/>
      <c r="I139" s="102"/>
      <c r="J139" s="103"/>
      <c r="K139" s="99"/>
      <c r="L139" s="99"/>
      <c r="M139" s="99"/>
      <c r="N139" s="99"/>
      <c r="O139" s="99"/>
      <c r="P139" s="99"/>
      <c r="Q139" s="99"/>
      <c r="R139" s="99"/>
      <c r="S139" s="99"/>
      <c r="T139" s="99"/>
      <c r="U139" s="99"/>
      <c r="V139" s="99"/>
      <c r="W139" s="99"/>
      <c r="X139" s="99"/>
      <c r="Y139" s="99"/>
      <c r="Z139" s="99"/>
      <c r="AA139" s="100">
        <f>+'22 SEMANA'!F9</f>
        <v>0</v>
      </c>
      <c r="AB139" s="100">
        <f>+'22 SEMANA'!G9</f>
        <v>0</v>
      </c>
      <c r="AC139" s="100">
        <f>+'22 SEMANA'!H9</f>
        <v>0</v>
      </c>
      <c r="AD139" s="100">
        <f>+'22 SEMANA'!I9</f>
        <v>0</v>
      </c>
      <c r="AE139" s="100">
        <f>+'22 SEMANA'!J9</f>
        <v>0</v>
      </c>
      <c r="AF139" s="100">
        <f>+'22 SEMANA'!K9</f>
        <v>0</v>
      </c>
      <c r="AG139" s="99"/>
      <c r="AH139" s="99"/>
      <c r="AI139" s="99"/>
      <c r="AJ139" s="99"/>
      <c r="AK139" s="99"/>
      <c r="AL139" s="99"/>
      <c r="AM139" s="99"/>
      <c r="AN139" s="99"/>
      <c r="AO139" s="99"/>
      <c r="AP139" s="99"/>
      <c r="AQ139" s="99"/>
      <c r="AR139" s="99"/>
      <c r="AS139" s="99"/>
      <c r="AT139" s="99"/>
      <c r="AU139" s="99"/>
      <c r="AV139" s="99"/>
      <c r="AW139" s="99"/>
      <c r="AX139" s="99"/>
      <c r="AY139" s="99"/>
      <c r="AZ139" s="99"/>
      <c r="BA139" s="99"/>
      <c r="BB139" s="99"/>
      <c r="BC139" s="99"/>
      <c r="BD139" s="99"/>
    </row>
    <row r="140" spans="1:56" x14ac:dyDescent="0.25">
      <c r="A140" s="37">
        <f>'22 SEMANA'!A10</f>
        <v>0</v>
      </c>
      <c r="B140" s="38">
        <f>'22 SEMANA'!B10</f>
        <v>0</v>
      </c>
      <c r="C140" s="38">
        <f>'22 SEMANA'!C10</f>
        <v>0</v>
      </c>
      <c r="D140" s="38">
        <f>+'22 SEMANA'!D10</f>
        <v>0</v>
      </c>
      <c r="E140" s="100"/>
      <c r="F140" s="100"/>
      <c r="G140" s="99"/>
      <c r="H140" s="101"/>
      <c r="I140" s="102"/>
      <c r="J140" s="103"/>
      <c r="K140" s="99"/>
      <c r="L140" s="99"/>
      <c r="M140" s="99"/>
      <c r="N140" s="99"/>
      <c r="O140" s="99"/>
      <c r="P140" s="99"/>
      <c r="Q140" s="99"/>
      <c r="R140" s="99"/>
      <c r="S140" s="99"/>
      <c r="T140" s="99"/>
      <c r="U140" s="99"/>
      <c r="V140" s="99"/>
      <c r="W140" s="99"/>
      <c r="X140" s="99"/>
      <c r="Y140" s="99"/>
      <c r="Z140" s="99"/>
      <c r="AA140" s="100">
        <f>+'22 SEMANA'!F10</f>
        <v>0</v>
      </c>
      <c r="AB140" s="100">
        <f>+'22 SEMANA'!G10</f>
        <v>0</v>
      </c>
      <c r="AC140" s="100">
        <f>+'22 SEMANA'!H10</f>
        <v>0</v>
      </c>
      <c r="AD140" s="100">
        <f>+'22 SEMANA'!I10</f>
        <v>0</v>
      </c>
      <c r="AE140" s="100">
        <f>+'22 SEMANA'!J10</f>
        <v>0</v>
      </c>
      <c r="AF140" s="100">
        <f>+'22 SEMANA'!K10</f>
        <v>0</v>
      </c>
      <c r="AG140" s="99"/>
      <c r="AH140" s="99"/>
      <c r="AI140" s="99"/>
      <c r="AJ140" s="99"/>
      <c r="AK140" s="99"/>
      <c r="AL140" s="99"/>
      <c r="AM140" s="99"/>
      <c r="AN140" s="99"/>
      <c r="AO140" s="99"/>
      <c r="AP140" s="99"/>
      <c r="AQ140" s="99"/>
      <c r="AR140" s="99"/>
      <c r="AS140" s="99"/>
      <c r="AT140" s="99"/>
      <c r="AU140" s="99"/>
      <c r="AV140" s="99"/>
      <c r="AW140" s="99"/>
      <c r="AX140" s="99"/>
      <c r="AY140" s="99"/>
      <c r="AZ140" s="99"/>
      <c r="BA140" s="99"/>
      <c r="BB140" s="99"/>
      <c r="BC140" s="99"/>
      <c r="BD140" s="99"/>
    </row>
    <row r="141" spans="1:56" x14ac:dyDescent="0.25">
      <c r="A141" s="37">
        <f>'22 SEMANA'!A11</f>
        <v>0</v>
      </c>
      <c r="B141" s="38">
        <f>'22 SEMANA'!B11</f>
        <v>0</v>
      </c>
      <c r="C141" s="38">
        <f>'22 SEMANA'!C11</f>
        <v>0</v>
      </c>
      <c r="D141" s="38">
        <f>+'22 SEMANA'!D11</f>
        <v>0</v>
      </c>
      <c r="E141" s="100"/>
      <c r="F141" s="100"/>
      <c r="G141" s="99"/>
      <c r="H141" s="101"/>
      <c r="I141" s="102"/>
      <c r="J141" s="103"/>
      <c r="K141" s="99"/>
      <c r="L141" s="99"/>
      <c r="M141" s="99"/>
      <c r="N141" s="99"/>
      <c r="O141" s="99"/>
      <c r="P141" s="99"/>
      <c r="Q141" s="99"/>
      <c r="R141" s="99"/>
      <c r="S141" s="99"/>
      <c r="T141" s="99"/>
      <c r="U141" s="99"/>
      <c r="V141" s="99"/>
      <c r="W141" s="99"/>
      <c r="X141" s="99"/>
      <c r="Y141" s="99"/>
      <c r="Z141" s="99"/>
      <c r="AA141" s="100">
        <f>+'22 SEMANA'!F11</f>
        <v>0</v>
      </c>
      <c r="AB141" s="100">
        <f>+'22 SEMANA'!G11</f>
        <v>0</v>
      </c>
      <c r="AC141" s="100">
        <f>+'22 SEMANA'!H11</f>
        <v>0</v>
      </c>
      <c r="AD141" s="100">
        <f>+'22 SEMANA'!I11</f>
        <v>0</v>
      </c>
      <c r="AE141" s="100">
        <f>+'22 SEMANA'!J11</f>
        <v>0</v>
      </c>
      <c r="AF141" s="100">
        <f>+'22 SEMANA'!K11</f>
        <v>0</v>
      </c>
      <c r="AG141" s="99"/>
      <c r="AH141" s="99"/>
      <c r="AI141" s="99"/>
      <c r="AJ141" s="99"/>
      <c r="AK141" s="99"/>
      <c r="AL141" s="99"/>
      <c r="AM141" s="99"/>
      <c r="AN141" s="99"/>
      <c r="AO141" s="99"/>
      <c r="AP141" s="99"/>
      <c r="AQ141" s="99"/>
      <c r="AR141" s="99"/>
      <c r="AS141" s="99"/>
      <c r="AT141" s="99"/>
      <c r="AU141" s="99"/>
      <c r="AV141" s="99"/>
      <c r="AW141" s="99"/>
      <c r="AX141" s="99"/>
      <c r="AY141" s="99"/>
      <c r="AZ141" s="99"/>
      <c r="BA141" s="99"/>
      <c r="BB141" s="99"/>
      <c r="BC141" s="99"/>
      <c r="BD141" s="99"/>
    </row>
    <row r="142" spans="1:56" x14ac:dyDescent="0.25">
      <c r="A142" s="37">
        <f>'22 SEMANA'!A12</f>
        <v>0</v>
      </c>
      <c r="B142" s="38">
        <f>'22 SEMANA'!B12</f>
        <v>0</v>
      </c>
      <c r="C142" s="38">
        <f>'22 SEMANA'!C12</f>
        <v>0</v>
      </c>
      <c r="D142" s="38">
        <f>+'22 SEMANA'!D12</f>
        <v>0</v>
      </c>
      <c r="E142" s="100"/>
      <c r="F142" s="100"/>
      <c r="G142" s="99"/>
      <c r="H142" s="101"/>
      <c r="I142" s="102"/>
      <c r="J142" s="103"/>
      <c r="K142" s="99"/>
      <c r="L142" s="99"/>
      <c r="M142" s="99"/>
      <c r="N142" s="99"/>
      <c r="O142" s="99"/>
      <c r="P142" s="99"/>
      <c r="Q142" s="99"/>
      <c r="R142" s="99"/>
      <c r="S142" s="99"/>
      <c r="T142" s="99"/>
      <c r="U142" s="99"/>
      <c r="V142" s="99"/>
      <c r="W142" s="99"/>
      <c r="X142" s="99"/>
      <c r="Y142" s="99"/>
      <c r="Z142" s="99"/>
      <c r="AA142" s="100">
        <f>+'22 SEMANA'!F12</f>
        <v>0</v>
      </c>
      <c r="AB142" s="100">
        <f>+'22 SEMANA'!G12</f>
        <v>0</v>
      </c>
      <c r="AC142" s="100">
        <f>+'22 SEMANA'!H12</f>
        <v>0</v>
      </c>
      <c r="AD142" s="100">
        <f>+'22 SEMANA'!I12</f>
        <v>0</v>
      </c>
      <c r="AE142" s="100">
        <f>+'22 SEMANA'!J12</f>
        <v>0</v>
      </c>
      <c r="AF142" s="100">
        <f>+'22 SEMANA'!K12</f>
        <v>0</v>
      </c>
      <c r="AG142" s="99"/>
      <c r="AH142" s="99"/>
      <c r="AI142" s="99"/>
      <c r="AJ142" s="99"/>
      <c r="AK142" s="99"/>
      <c r="AL142" s="99"/>
      <c r="AM142" s="99"/>
      <c r="AN142" s="99"/>
      <c r="AO142" s="99"/>
      <c r="AP142" s="99"/>
      <c r="AQ142" s="99"/>
      <c r="AR142" s="99"/>
      <c r="AS142" s="99"/>
      <c r="AT142" s="99"/>
      <c r="AU142" s="99"/>
      <c r="AV142" s="99"/>
      <c r="AW142" s="99"/>
      <c r="AX142" s="99"/>
      <c r="AY142" s="99"/>
      <c r="AZ142" s="99"/>
      <c r="BA142" s="99"/>
      <c r="BB142" s="99"/>
      <c r="BC142" s="99"/>
      <c r="BD142" s="99"/>
    </row>
    <row r="143" spans="1:56" x14ac:dyDescent="0.25">
      <c r="A143" s="37">
        <f>'22 SEMANA'!A13</f>
        <v>0</v>
      </c>
      <c r="B143" s="38">
        <f>'22 SEMANA'!B13</f>
        <v>0</v>
      </c>
      <c r="C143" s="38">
        <f>'22 SEMANA'!C13</f>
        <v>0</v>
      </c>
      <c r="D143" s="38">
        <f>+'22 SEMANA'!D13</f>
        <v>0</v>
      </c>
      <c r="E143" s="100"/>
      <c r="F143" s="100"/>
      <c r="G143" s="99"/>
      <c r="H143" s="101"/>
      <c r="I143" s="102"/>
      <c r="J143" s="103"/>
      <c r="K143" s="99"/>
      <c r="L143" s="99"/>
      <c r="M143" s="99"/>
      <c r="N143" s="99"/>
      <c r="O143" s="99"/>
      <c r="P143" s="99"/>
      <c r="Q143" s="99"/>
      <c r="R143" s="99"/>
      <c r="S143" s="99"/>
      <c r="T143" s="99"/>
      <c r="U143" s="99"/>
      <c r="V143" s="99"/>
      <c r="W143" s="99"/>
      <c r="X143" s="99"/>
      <c r="Y143" s="99"/>
      <c r="Z143" s="99"/>
      <c r="AA143" s="100">
        <f>+'22 SEMANA'!F13</f>
        <v>0</v>
      </c>
      <c r="AB143" s="100">
        <f>+'22 SEMANA'!G13</f>
        <v>0</v>
      </c>
      <c r="AC143" s="100">
        <f>+'22 SEMANA'!H13</f>
        <v>0</v>
      </c>
      <c r="AD143" s="100">
        <f>+'22 SEMANA'!I13</f>
        <v>0</v>
      </c>
      <c r="AE143" s="100">
        <f>+'22 SEMANA'!J13</f>
        <v>0</v>
      </c>
      <c r="AF143" s="100">
        <f>+'22 SEMANA'!K13</f>
        <v>0</v>
      </c>
      <c r="AG143" s="99"/>
      <c r="AH143" s="99"/>
      <c r="AI143" s="99"/>
      <c r="AJ143" s="99"/>
      <c r="AK143" s="99"/>
      <c r="AL143" s="99"/>
      <c r="AM143" s="99"/>
      <c r="AN143" s="99"/>
      <c r="AO143" s="99"/>
      <c r="AP143" s="99"/>
      <c r="AQ143" s="99"/>
      <c r="AR143" s="99"/>
      <c r="AS143" s="99"/>
      <c r="AT143" s="99"/>
      <c r="AU143" s="99"/>
      <c r="AV143" s="99"/>
      <c r="AW143" s="99"/>
      <c r="AX143" s="99"/>
      <c r="AY143" s="99"/>
      <c r="AZ143" s="99"/>
      <c r="BA143" s="99"/>
      <c r="BB143" s="99"/>
      <c r="BC143" s="99"/>
      <c r="BD143" s="99"/>
    </row>
    <row r="144" spans="1:56" x14ac:dyDescent="0.25">
      <c r="A144" s="37">
        <f>'22 SEMANA'!A14</f>
        <v>0</v>
      </c>
      <c r="B144" s="38">
        <f>'22 SEMANA'!B14</f>
        <v>0</v>
      </c>
      <c r="C144" s="38">
        <f>'22 SEMANA'!C14</f>
        <v>0</v>
      </c>
      <c r="D144" s="38">
        <f>+'22 SEMANA'!D14</f>
        <v>0</v>
      </c>
      <c r="E144" s="100"/>
      <c r="F144" s="100"/>
      <c r="G144" s="99"/>
      <c r="H144" s="101"/>
      <c r="I144" s="102"/>
      <c r="J144" s="103"/>
      <c r="K144" s="99"/>
      <c r="L144" s="99"/>
      <c r="M144" s="99"/>
      <c r="N144" s="99"/>
      <c r="O144" s="99"/>
      <c r="P144" s="99"/>
      <c r="Q144" s="99"/>
      <c r="R144" s="99"/>
      <c r="S144" s="99"/>
      <c r="T144" s="99"/>
      <c r="U144" s="99"/>
      <c r="V144" s="99"/>
      <c r="W144" s="99"/>
      <c r="X144" s="99"/>
      <c r="Y144" s="99"/>
      <c r="Z144" s="99"/>
      <c r="AA144" s="100">
        <f>+'22 SEMANA'!F14</f>
        <v>0</v>
      </c>
      <c r="AB144" s="100">
        <f>+'22 SEMANA'!G14</f>
        <v>0</v>
      </c>
      <c r="AC144" s="100">
        <f>+'22 SEMANA'!H14</f>
        <v>0</v>
      </c>
      <c r="AD144" s="100">
        <f>+'22 SEMANA'!I14</f>
        <v>0</v>
      </c>
      <c r="AE144" s="100">
        <f>+'22 SEMANA'!J14</f>
        <v>0</v>
      </c>
      <c r="AF144" s="100">
        <f>+'22 SEMANA'!K14</f>
        <v>0</v>
      </c>
      <c r="AG144" s="99"/>
      <c r="AH144" s="99"/>
      <c r="AI144" s="99"/>
      <c r="AJ144" s="99"/>
      <c r="AK144" s="99"/>
      <c r="AL144" s="99"/>
      <c r="AM144" s="99"/>
      <c r="AN144" s="99"/>
      <c r="AO144" s="99"/>
      <c r="AP144" s="99"/>
      <c r="AQ144" s="99"/>
      <c r="AR144" s="99"/>
      <c r="AS144" s="99"/>
      <c r="AT144" s="99"/>
      <c r="AU144" s="99"/>
      <c r="AV144" s="99"/>
      <c r="AW144" s="99"/>
      <c r="AX144" s="99"/>
      <c r="AY144" s="99"/>
      <c r="AZ144" s="99"/>
      <c r="BA144" s="99"/>
      <c r="BB144" s="99"/>
      <c r="BC144" s="99"/>
      <c r="BD144" s="99"/>
    </row>
    <row r="145" spans="1:56" x14ac:dyDescent="0.25">
      <c r="A145" s="37">
        <f>'23 SEMANA '!A9</f>
        <v>0</v>
      </c>
      <c r="B145" s="38">
        <f>'23 SEMANA '!B9</f>
        <v>0</v>
      </c>
      <c r="C145" s="38">
        <f>'23 SEMANA '!C9</f>
        <v>0</v>
      </c>
      <c r="D145" s="38">
        <f>+'23 SEMANA '!D9</f>
        <v>0</v>
      </c>
      <c r="E145" s="100"/>
      <c r="F145" s="100"/>
      <c r="G145" s="99"/>
      <c r="H145" s="101"/>
      <c r="I145" s="102"/>
      <c r="J145" s="103"/>
      <c r="K145" s="99"/>
      <c r="L145" s="99"/>
      <c r="M145" s="99"/>
      <c r="N145" s="99"/>
      <c r="O145" s="99"/>
      <c r="P145" s="99"/>
      <c r="Q145" s="99"/>
      <c r="R145" s="99"/>
      <c r="S145" s="99"/>
      <c r="T145" s="99"/>
      <c r="U145" s="99"/>
      <c r="V145" s="99"/>
      <c r="W145" s="99"/>
      <c r="X145" s="99"/>
      <c r="Y145" s="99"/>
      <c r="Z145" s="99"/>
      <c r="AA145" s="99"/>
      <c r="AB145" s="100">
        <f>+'23 SEMANA '!F9</f>
        <v>0</v>
      </c>
      <c r="AC145" s="100">
        <f>+'23 SEMANA '!G9</f>
        <v>0</v>
      </c>
      <c r="AD145" s="100">
        <f>+'23 SEMANA '!H9</f>
        <v>0</v>
      </c>
      <c r="AE145" s="100">
        <f>+'23 SEMANA '!I9</f>
        <v>0</v>
      </c>
      <c r="AF145" s="100">
        <f>+'23 SEMANA '!J9</f>
        <v>0</v>
      </c>
      <c r="AG145" s="100">
        <f>+'23 SEMANA '!K9</f>
        <v>0</v>
      </c>
      <c r="AH145" s="99"/>
      <c r="AI145" s="99"/>
      <c r="AJ145" s="99"/>
      <c r="AK145" s="99"/>
      <c r="AL145" s="99"/>
      <c r="AM145" s="99"/>
      <c r="AN145" s="99"/>
      <c r="AO145" s="99"/>
      <c r="AP145" s="99"/>
      <c r="AQ145" s="99"/>
      <c r="AR145" s="99"/>
      <c r="AS145" s="99"/>
      <c r="AT145" s="99"/>
      <c r="AU145" s="99"/>
      <c r="AV145" s="99"/>
      <c r="AW145" s="99"/>
      <c r="AX145" s="99"/>
      <c r="AY145" s="99"/>
      <c r="AZ145" s="99"/>
      <c r="BA145" s="99"/>
      <c r="BB145" s="99"/>
      <c r="BC145" s="99"/>
      <c r="BD145" s="99"/>
    </row>
    <row r="146" spans="1:56" x14ac:dyDescent="0.25">
      <c r="A146" s="37">
        <f>'23 SEMANA '!A10</f>
        <v>0</v>
      </c>
      <c r="B146" s="38">
        <f>'23 SEMANA '!B10</f>
        <v>0</v>
      </c>
      <c r="C146" s="38">
        <f>'23 SEMANA '!C10</f>
        <v>0</v>
      </c>
      <c r="D146" s="38">
        <f>+'23 SEMANA '!D10</f>
        <v>0</v>
      </c>
      <c r="E146" s="100"/>
      <c r="F146" s="100"/>
      <c r="G146" s="99"/>
      <c r="H146" s="101"/>
      <c r="I146" s="102"/>
      <c r="J146" s="103"/>
      <c r="K146" s="99"/>
      <c r="L146" s="99"/>
      <c r="M146" s="99"/>
      <c r="N146" s="99"/>
      <c r="O146" s="99"/>
      <c r="P146" s="99"/>
      <c r="Q146" s="99"/>
      <c r="R146" s="99"/>
      <c r="S146" s="99"/>
      <c r="T146" s="99"/>
      <c r="U146" s="99"/>
      <c r="V146" s="99"/>
      <c r="W146" s="99"/>
      <c r="X146" s="99"/>
      <c r="Y146" s="99"/>
      <c r="Z146" s="99"/>
      <c r="AA146" s="99"/>
      <c r="AB146" s="100">
        <f>+'23 SEMANA '!F10</f>
        <v>0</v>
      </c>
      <c r="AC146" s="100">
        <f>+'23 SEMANA '!G10</f>
        <v>0</v>
      </c>
      <c r="AD146" s="100">
        <f>+'23 SEMANA '!H10</f>
        <v>0</v>
      </c>
      <c r="AE146" s="100">
        <f>+'23 SEMANA '!I10</f>
        <v>0</v>
      </c>
      <c r="AF146" s="100">
        <f>+'23 SEMANA '!J10</f>
        <v>0</v>
      </c>
      <c r="AG146" s="100">
        <f>+'23 SEMANA '!K10</f>
        <v>0</v>
      </c>
      <c r="AH146" s="99"/>
      <c r="AI146" s="99"/>
      <c r="AJ146" s="99"/>
      <c r="AK146" s="99"/>
      <c r="AL146" s="99"/>
      <c r="AM146" s="99"/>
      <c r="AN146" s="99"/>
      <c r="AO146" s="99"/>
      <c r="AP146" s="99"/>
      <c r="AQ146" s="99"/>
      <c r="AR146" s="99"/>
      <c r="AS146" s="99"/>
      <c r="AT146" s="99"/>
      <c r="AU146" s="99"/>
      <c r="AV146" s="99"/>
      <c r="AW146" s="99"/>
      <c r="AX146" s="99"/>
      <c r="AY146" s="99"/>
      <c r="AZ146" s="99"/>
      <c r="BA146" s="99"/>
      <c r="BB146" s="99"/>
      <c r="BC146" s="99"/>
      <c r="BD146" s="99"/>
    </row>
    <row r="147" spans="1:56" x14ac:dyDescent="0.25">
      <c r="A147" s="37">
        <f>'23 SEMANA '!A11</f>
        <v>0</v>
      </c>
      <c r="B147" s="38">
        <f>'23 SEMANA '!B11</f>
        <v>0</v>
      </c>
      <c r="C147" s="38">
        <f>'23 SEMANA '!C11</f>
        <v>0</v>
      </c>
      <c r="D147" s="38">
        <f>+'23 SEMANA '!D11</f>
        <v>0</v>
      </c>
      <c r="E147" s="100"/>
      <c r="F147" s="100"/>
      <c r="G147" s="99"/>
      <c r="H147" s="101"/>
      <c r="I147" s="102"/>
      <c r="J147" s="103"/>
      <c r="K147" s="99"/>
      <c r="L147" s="99"/>
      <c r="M147" s="99"/>
      <c r="N147" s="99"/>
      <c r="O147" s="99"/>
      <c r="P147" s="99"/>
      <c r="Q147" s="99"/>
      <c r="R147" s="99"/>
      <c r="S147" s="99"/>
      <c r="T147" s="99"/>
      <c r="U147" s="99"/>
      <c r="V147" s="99"/>
      <c r="W147" s="99"/>
      <c r="X147" s="99"/>
      <c r="Y147" s="99"/>
      <c r="Z147" s="99"/>
      <c r="AA147" s="99"/>
      <c r="AB147" s="100">
        <f>+'23 SEMANA '!F11</f>
        <v>0</v>
      </c>
      <c r="AC147" s="100">
        <f>+'23 SEMANA '!G11</f>
        <v>0</v>
      </c>
      <c r="AD147" s="100">
        <f>+'23 SEMANA '!H11</f>
        <v>0</v>
      </c>
      <c r="AE147" s="100">
        <f>+'23 SEMANA '!I11</f>
        <v>0</v>
      </c>
      <c r="AF147" s="100">
        <f>+'23 SEMANA '!J11</f>
        <v>0</v>
      </c>
      <c r="AG147" s="100">
        <f>+'23 SEMANA '!K11</f>
        <v>0</v>
      </c>
      <c r="AH147" s="99"/>
      <c r="AI147" s="99"/>
      <c r="AJ147" s="99"/>
      <c r="AK147" s="99"/>
      <c r="AL147" s="99"/>
      <c r="AM147" s="99"/>
      <c r="AN147" s="99"/>
      <c r="AO147" s="99"/>
      <c r="AP147" s="99"/>
      <c r="AQ147" s="99"/>
      <c r="AR147" s="99"/>
      <c r="AS147" s="99"/>
      <c r="AT147" s="99"/>
      <c r="AU147" s="99"/>
      <c r="AV147" s="99"/>
      <c r="AW147" s="99"/>
      <c r="AX147" s="99"/>
      <c r="AY147" s="99"/>
      <c r="AZ147" s="99"/>
      <c r="BA147" s="99"/>
      <c r="BB147" s="99"/>
      <c r="BC147" s="99"/>
      <c r="BD147" s="99"/>
    </row>
    <row r="148" spans="1:56" x14ac:dyDescent="0.25">
      <c r="A148" s="37">
        <f>'23 SEMANA '!A12</f>
        <v>0</v>
      </c>
      <c r="B148" s="38">
        <f>'23 SEMANA '!B12</f>
        <v>0</v>
      </c>
      <c r="C148" s="38">
        <f>'23 SEMANA '!C12</f>
        <v>0</v>
      </c>
      <c r="D148" s="38">
        <f>+'23 SEMANA '!D12</f>
        <v>0</v>
      </c>
      <c r="E148" s="100"/>
      <c r="F148" s="100"/>
      <c r="G148" s="99"/>
      <c r="H148" s="101"/>
      <c r="I148" s="102"/>
      <c r="J148" s="103"/>
      <c r="K148" s="99"/>
      <c r="L148" s="99"/>
      <c r="M148" s="99"/>
      <c r="N148" s="99"/>
      <c r="O148" s="99"/>
      <c r="P148" s="99"/>
      <c r="Q148" s="99"/>
      <c r="R148" s="99"/>
      <c r="S148" s="99"/>
      <c r="T148" s="99"/>
      <c r="U148" s="99"/>
      <c r="V148" s="99"/>
      <c r="W148" s="99"/>
      <c r="X148" s="99"/>
      <c r="Y148" s="99"/>
      <c r="Z148" s="99"/>
      <c r="AA148" s="99"/>
      <c r="AB148" s="100">
        <f>+'23 SEMANA '!F12</f>
        <v>0</v>
      </c>
      <c r="AC148" s="100">
        <f>+'23 SEMANA '!G12</f>
        <v>0</v>
      </c>
      <c r="AD148" s="100">
        <f>+'23 SEMANA '!H12</f>
        <v>0</v>
      </c>
      <c r="AE148" s="100">
        <f>+'23 SEMANA '!I12</f>
        <v>0</v>
      </c>
      <c r="AF148" s="100">
        <f>+'23 SEMANA '!J12</f>
        <v>0</v>
      </c>
      <c r="AG148" s="100">
        <f>+'23 SEMANA '!K12</f>
        <v>0</v>
      </c>
      <c r="AH148" s="99"/>
      <c r="AI148" s="99"/>
      <c r="AJ148" s="99"/>
      <c r="AK148" s="99"/>
      <c r="AL148" s="99"/>
      <c r="AM148" s="99"/>
      <c r="AN148" s="99"/>
      <c r="AO148" s="99"/>
      <c r="AP148" s="99"/>
      <c r="AQ148" s="99"/>
      <c r="AR148" s="99"/>
      <c r="AS148" s="99"/>
      <c r="AT148" s="99"/>
      <c r="AU148" s="99"/>
      <c r="AV148" s="99"/>
      <c r="AW148" s="99"/>
      <c r="AX148" s="99"/>
      <c r="AY148" s="99"/>
      <c r="AZ148" s="99"/>
      <c r="BA148" s="99"/>
      <c r="BB148" s="99"/>
      <c r="BC148" s="99"/>
      <c r="BD148" s="99"/>
    </row>
    <row r="149" spans="1:56" x14ac:dyDescent="0.25">
      <c r="A149" s="37">
        <f>'23 SEMANA '!A13</f>
        <v>0</v>
      </c>
      <c r="B149" s="38">
        <f>'23 SEMANA '!B13</f>
        <v>0</v>
      </c>
      <c r="C149" s="38">
        <f>'23 SEMANA '!C13</f>
        <v>0</v>
      </c>
      <c r="D149" s="38">
        <f>+'23 SEMANA '!D13</f>
        <v>0</v>
      </c>
      <c r="E149" s="100"/>
      <c r="F149" s="100"/>
      <c r="G149" s="99"/>
      <c r="H149" s="101"/>
      <c r="I149" s="102"/>
      <c r="J149" s="103"/>
      <c r="K149" s="99"/>
      <c r="L149" s="99"/>
      <c r="M149" s="99"/>
      <c r="N149" s="99"/>
      <c r="O149" s="99"/>
      <c r="P149" s="99"/>
      <c r="Q149" s="99"/>
      <c r="R149" s="99"/>
      <c r="S149" s="99"/>
      <c r="T149" s="99"/>
      <c r="U149" s="99"/>
      <c r="V149" s="99"/>
      <c r="W149" s="99"/>
      <c r="X149" s="99"/>
      <c r="Y149" s="99"/>
      <c r="Z149" s="99"/>
      <c r="AA149" s="99"/>
      <c r="AB149" s="100">
        <f>+'23 SEMANA '!F13</f>
        <v>0</v>
      </c>
      <c r="AC149" s="100">
        <f>+'23 SEMANA '!G13</f>
        <v>0</v>
      </c>
      <c r="AD149" s="100">
        <f>+'23 SEMANA '!H13</f>
        <v>0</v>
      </c>
      <c r="AE149" s="100">
        <f>+'23 SEMANA '!I13</f>
        <v>0</v>
      </c>
      <c r="AF149" s="100">
        <f>+'23 SEMANA '!J13</f>
        <v>0</v>
      </c>
      <c r="AG149" s="100">
        <f>+'23 SEMANA '!K13</f>
        <v>0</v>
      </c>
      <c r="AH149" s="99"/>
      <c r="AI149" s="99"/>
      <c r="AJ149" s="99"/>
      <c r="AK149" s="99"/>
      <c r="AL149" s="99"/>
      <c r="AM149" s="99"/>
      <c r="AN149" s="99"/>
      <c r="AO149" s="99"/>
      <c r="AP149" s="99"/>
      <c r="AQ149" s="99"/>
      <c r="AR149" s="99"/>
      <c r="AS149" s="99"/>
      <c r="AT149" s="99"/>
      <c r="AU149" s="99"/>
      <c r="AV149" s="99"/>
      <c r="AW149" s="99"/>
      <c r="AX149" s="99"/>
      <c r="AY149" s="99"/>
      <c r="AZ149" s="99"/>
      <c r="BA149" s="99"/>
      <c r="BB149" s="99"/>
      <c r="BC149" s="99"/>
      <c r="BD149" s="99"/>
    </row>
    <row r="150" spans="1:56" x14ac:dyDescent="0.25">
      <c r="A150" s="37">
        <f>'23 SEMANA '!A14</f>
        <v>0</v>
      </c>
      <c r="B150" s="38">
        <f>'23 SEMANA '!B14</f>
        <v>0</v>
      </c>
      <c r="C150" s="38">
        <f>'23 SEMANA '!C14</f>
        <v>0</v>
      </c>
      <c r="D150" s="38">
        <f>+'23 SEMANA '!D14</f>
        <v>0</v>
      </c>
      <c r="E150" s="100"/>
      <c r="F150" s="100"/>
      <c r="G150" s="99"/>
      <c r="H150" s="101"/>
      <c r="I150" s="102"/>
      <c r="J150" s="103"/>
      <c r="K150" s="99"/>
      <c r="L150" s="99"/>
      <c r="M150" s="99"/>
      <c r="N150" s="99"/>
      <c r="O150" s="99"/>
      <c r="P150" s="99"/>
      <c r="Q150" s="99"/>
      <c r="R150" s="99"/>
      <c r="S150" s="99"/>
      <c r="T150" s="99"/>
      <c r="U150" s="99"/>
      <c r="V150" s="99"/>
      <c r="W150" s="99"/>
      <c r="X150" s="99"/>
      <c r="Y150" s="99"/>
      <c r="Z150" s="99"/>
      <c r="AA150" s="99"/>
      <c r="AB150" s="100">
        <f>+'23 SEMANA '!F14</f>
        <v>0</v>
      </c>
      <c r="AC150" s="100">
        <f>+'23 SEMANA '!G14</f>
        <v>0</v>
      </c>
      <c r="AD150" s="100">
        <f>+'23 SEMANA '!H14</f>
        <v>0</v>
      </c>
      <c r="AE150" s="100">
        <f>+'23 SEMANA '!I14</f>
        <v>0</v>
      </c>
      <c r="AF150" s="100">
        <f>+'23 SEMANA '!J14</f>
        <v>0</v>
      </c>
      <c r="AG150" s="100">
        <f>+'23 SEMANA '!K14</f>
        <v>0</v>
      </c>
      <c r="AH150" s="99"/>
      <c r="AI150" s="99"/>
      <c r="AJ150" s="99"/>
      <c r="AK150" s="99"/>
      <c r="AL150" s="99"/>
      <c r="AM150" s="99"/>
      <c r="AN150" s="99"/>
      <c r="AO150" s="99"/>
      <c r="AP150" s="99"/>
      <c r="AQ150" s="99"/>
      <c r="AR150" s="99"/>
      <c r="AS150" s="99"/>
      <c r="AT150" s="99"/>
      <c r="AU150" s="99"/>
      <c r="AV150" s="99"/>
      <c r="AW150" s="99"/>
      <c r="AX150" s="99"/>
      <c r="AY150" s="99"/>
      <c r="AZ150" s="99"/>
      <c r="BA150" s="99"/>
      <c r="BB150" s="99"/>
      <c r="BC150" s="99"/>
      <c r="BD150" s="99"/>
    </row>
    <row r="151" spans="1:56" x14ac:dyDescent="0.25">
      <c r="A151" s="37">
        <f>'24 SEMANA '!A9</f>
        <v>0</v>
      </c>
      <c r="B151" s="38">
        <f>'24 SEMANA '!B9</f>
        <v>0</v>
      </c>
      <c r="C151" s="38">
        <f>'24 SEMANA '!C9</f>
        <v>0</v>
      </c>
      <c r="D151" s="38">
        <f>+'24 SEMANA '!D9</f>
        <v>0</v>
      </c>
      <c r="E151" s="100"/>
      <c r="F151" s="100"/>
      <c r="G151" s="99"/>
      <c r="H151" s="101"/>
      <c r="I151" s="102"/>
      <c r="J151" s="103"/>
      <c r="K151" s="99"/>
      <c r="L151" s="99"/>
      <c r="M151" s="99"/>
      <c r="N151" s="99"/>
      <c r="O151" s="99"/>
      <c r="P151" s="99"/>
      <c r="Q151" s="99"/>
      <c r="R151" s="99"/>
      <c r="S151" s="99"/>
      <c r="T151" s="99"/>
      <c r="U151" s="99"/>
      <c r="V151" s="99"/>
      <c r="W151" s="99"/>
      <c r="X151" s="99"/>
      <c r="Y151" s="99"/>
      <c r="Z151" s="99"/>
      <c r="AA151" s="99"/>
      <c r="AB151" s="99"/>
      <c r="AC151" s="100">
        <f>+'24 SEMANA '!F9</f>
        <v>0</v>
      </c>
      <c r="AD151" s="100">
        <f>+'24 SEMANA '!G9</f>
        <v>0</v>
      </c>
      <c r="AE151" s="100">
        <f>+'24 SEMANA '!H9</f>
        <v>0</v>
      </c>
      <c r="AF151" s="100">
        <f>+'24 SEMANA '!I9</f>
        <v>0</v>
      </c>
      <c r="AG151" s="100">
        <f>+'24 SEMANA '!J9</f>
        <v>0</v>
      </c>
      <c r="AH151" s="100">
        <f>+'24 SEMANA '!K9</f>
        <v>0</v>
      </c>
      <c r="AI151" s="99"/>
      <c r="AJ151" s="99"/>
      <c r="AK151" s="99"/>
      <c r="AL151" s="99"/>
      <c r="AM151" s="99"/>
      <c r="AN151" s="99"/>
      <c r="AO151" s="99"/>
      <c r="AP151" s="99"/>
      <c r="AQ151" s="99"/>
      <c r="AR151" s="99"/>
      <c r="AS151" s="99"/>
      <c r="AT151" s="99"/>
      <c r="AU151" s="99"/>
      <c r="AV151" s="99"/>
      <c r="AW151" s="99"/>
      <c r="AX151" s="99"/>
      <c r="AY151" s="99"/>
      <c r="AZ151" s="99"/>
      <c r="BA151" s="99"/>
      <c r="BB151" s="99"/>
      <c r="BC151" s="99"/>
      <c r="BD151" s="99"/>
    </row>
    <row r="152" spans="1:56" x14ac:dyDescent="0.25">
      <c r="A152" s="37">
        <f>'24 SEMANA '!A10</f>
        <v>0</v>
      </c>
      <c r="B152" s="38">
        <f>'24 SEMANA '!B10</f>
        <v>0</v>
      </c>
      <c r="C152" s="38">
        <f>'24 SEMANA '!C10</f>
        <v>0</v>
      </c>
      <c r="D152" s="38">
        <f>+'24 SEMANA '!D10</f>
        <v>0</v>
      </c>
      <c r="E152" s="100"/>
      <c r="F152" s="100"/>
      <c r="G152" s="99"/>
      <c r="H152" s="101"/>
      <c r="I152" s="102"/>
      <c r="J152" s="103"/>
      <c r="K152" s="99"/>
      <c r="L152" s="99"/>
      <c r="M152" s="99"/>
      <c r="N152" s="99"/>
      <c r="O152" s="99"/>
      <c r="P152" s="99"/>
      <c r="Q152" s="99"/>
      <c r="R152" s="99"/>
      <c r="S152" s="99"/>
      <c r="T152" s="99"/>
      <c r="U152" s="99"/>
      <c r="V152" s="99"/>
      <c r="W152" s="99"/>
      <c r="X152" s="99"/>
      <c r="Y152" s="99"/>
      <c r="Z152" s="99"/>
      <c r="AA152" s="99"/>
      <c r="AB152" s="99"/>
      <c r="AC152" s="100">
        <f>+'24 SEMANA '!F10</f>
        <v>0</v>
      </c>
      <c r="AD152" s="100">
        <f>+'24 SEMANA '!G10</f>
        <v>0</v>
      </c>
      <c r="AE152" s="100">
        <f>+'24 SEMANA '!H10</f>
        <v>0</v>
      </c>
      <c r="AF152" s="100">
        <f>+'24 SEMANA '!I10</f>
        <v>0</v>
      </c>
      <c r="AG152" s="100">
        <f>+'24 SEMANA '!J10</f>
        <v>0</v>
      </c>
      <c r="AH152" s="100">
        <f>+'24 SEMANA '!K10</f>
        <v>0</v>
      </c>
      <c r="AI152" s="99"/>
      <c r="AJ152" s="99"/>
      <c r="AK152" s="99"/>
      <c r="AL152" s="99"/>
      <c r="AM152" s="99"/>
      <c r="AN152" s="99"/>
      <c r="AO152" s="99"/>
      <c r="AP152" s="99"/>
      <c r="AQ152" s="99"/>
      <c r="AR152" s="99"/>
      <c r="AS152" s="99"/>
      <c r="AT152" s="99"/>
      <c r="AU152" s="99"/>
      <c r="AV152" s="99"/>
      <c r="AW152" s="99"/>
      <c r="AX152" s="99"/>
      <c r="AY152" s="99"/>
      <c r="AZ152" s="99"/>
      <c r="BA152" s="99"/>
      <c r="BB152" s="99"/>
      <c r="BC152" s="99"/>
      <c r="BD152" s="99"/>
    </row>
    <row r="153" spans="1:56" x14ac:dyDescent="0.25">
      <c r="A153" s="37">
        <f>'24 SEMANA '!A11</f>
        <v>0</v>
      </c>
      <c r="B153" s="38">
        <f>'24 SEMANA '!B11</f>
        <v>0</v>
      </c>
      <c r="C153" s="38">
        <f>'24 SEMANA '!C11</f>
        <v>0</v>
      </c>
      <c r="D153" s="38">
        <f>+'24 SEMANA '!D11</f>
        <v>0</v>
      </c>
      <c r="E153" s="100"/>
      <c r="F153" s="100"/>
      <c r="G153" s="99"/>
      <c r="H153" s="101"/>
      <c r="I153" s="102"/>
      <c r="J153" s="103"/>
      <c r="K153" s="99"/>
      <c r="L153" s="99"/>
      <c r="M153" s="99"/>
      <c r="N153" s="99"/>
      <c r="O153" s="99"/>
      <c r="P153" s="99"/>
      <c r="Q153" s="99"/>
      <c r="R153" s="99"/>
      <c r="S153" s="99"/>
      <c r="T153" s="99"/>
      <c r="U153" s="99"/>
      <c r="V153" s="99"/>
      <c r="W153" s="99"/>
      <c r="X153" s="99"/>
      <c r="Y153" s="99"/>
      <c r="Z153" s="99"/>
      <c r="AA153" s="99"/>
      <c r="AB153" s="99"/>
      <c r="AC153" s="100">
        <f>+'24 SEMANA '!F11</f>
        <v>0</v>
      </c>
      <c r="AD153" s="100">
        <f>+'24 SEMANA '!G11</f>
        <v>0</v>
      </c>
      <c r="AE153" s="100">
        <f>+'24 SEMANA '!H11</f>
        <v>0</v>
      </c>
      <c r="AF153" s="100">
        <f>+'24 SEMANA '!I11</f>
        <v>0</v>
      </c>
      <c r="AG153" s="100">
        <f>+'24 SEMANA '!J11</f>
        <v>0</v>
      </c>
      <c r="AH153" s="100">
        <f>+'24 SEMANA '!K11</f>
        <v>0</v>
      </c>
      <c r="AI153" s="99"/>
      <c r="AJ153" s="99"/>
      <c r="AK153" s="99"/>
      <c r="AL153" s="99"/>
      <c r="AM153" s="99"/>
      <c r="AN153" s="99"/>
      <c r="AO153" s="99"/>
      <c r="AP153" s="99"/>
      <c r="AQ153" s="99"/>
      <c r="AR153" s="99"/>
      <c r="AS153" s="99"/>
      <c r="AT153" s="99"/>
      <c r="AU153" s="99"/>
      <c r="AV153" s="99"/>
      <c r="AW153" s="99"/>
      <c r="AX153" s="99"/>
      <c r="AY153" s="99"/>
      <c r="AZ153" s="99"/>
      <c r="BA153" s="99"/>
      <c r="BB153" s="99"/>
      <c r="BC153" s="99"/>
      <c r="BD153" s="99"/>
    </row>
    <row r="154" spans="1:56" x14ac:dyDescent="0.25">
      <c r="A154" s="37">
        <f>'24 SEMANA '!A12</f>
        <v>0</v>
      </c>
      <c r="B154" s="38">
        <f>'24 SEMANA '!B12</f>
        <v>0</v>
      </c>
      <c r="C154" s="38">
        <f>'24 SEMANA '!C12</f>
        <v>0</v>
      </c>
      <c r="D154" s="38">
        <f>+'24 SEMANA '!D12</f>
        <v>0</v>
      </c>
      <c r="E154" s="100"/>
      <c r="F154" s="100"/>
      <c r="G154" s="99"/>
      <c r="H154" s="101"/>
      <c r="I154" s="102"/>
      <c r="J154" s="103"/>
      <c r="K154" s="99"/>
      <c r="L154" s="99"/>
      <c r="M154" s="99"/>
      <c r="N154" s="99"/>
      <c r="O154" s="99"/>
      <c r="P154" s="99"/>
      <c r="Q154" s="99"/>
      <c r="R154" s="99"/>
      <c r="S154" s="99"/>
      <c r="T154" s="99"/>
      <c r="U154" s="99"/>
      <c r="V154" s="99"/>
      <c r="W154" s="99"/>
      <c r="X154" s="99"/>
      <c r="Y154" s="99"/>
      <c r="Z154" s="99"/>
      <c r="AA154" s="99"/>
      <c r="AB154" s="99"/>
      <c r="AC154" s="100">
        <f>+'24 SEMANA '!F12</f>
        <v>0</v>
      </c>
      <c r="AD154" s="100">
        <f>+'24 SEMANA '!G12</f>
        <v>0</v>
      </c>
      <c r="AE154" s="100">
        <f>+'24 SEMANA '!H12</f>
        <v>0</v>
      </c>
      <c r="AF154" s="100">
        <f>+'24 SEMANA '!I12</f>
        <v>0</v>
      </c>
      <c r="AG154" s="100">
        <f>+'24 SEMANA '!J12</f>
        <v>0</v>
      </c>
      <c r="AH154" s="100">
        <f>+'24 SEMANA '!K12</f>
        <v>0</v>
      </c>
      <c r="AI154" s="99"/>
      <c r="AJ154" s="99"/>
      <c r="AK154" s="99"/>
      <c r="AL154" s="99"/>
      <c r="AM154" s="99"/>
      <c r="AN154" s="99"/>
      <c r="AO154" s="99"/>
      <c r="AP154" s="99"/>
      <c r="AQ154" s="99"/>
      <c r="AR154" s="99"/>
      <c r="AS154" s="99"/>
      <c r="AT154" s="99"/>
      <c r="AU154" s="99"/>
      <c r="AV154" s="99"/>
      <c r="AW154" s="99"/>
      <c r="AX154" s="99"/>
      <c r="AY154" s="99"/>
      <c r="AZ154" s="99"/>
      <c r="BA154" s="99"/>
      <c r="BB154" s="99"/>
      <c r="BC154" s="99"/>
      <c r="BD154" s="99"/>
    </row>
    <row r="155" spans="1:56" x14ac:dyDescent="0.25">
      <c r="A155" s="37">
        <f>'24 SEMANA '!A13</f>
        <v>0</v>
      </c>
      <c r="B155" s="38">
        <f>'24 SEMANA '!B13</f>
        <v>0</v>
      </c>
      <c r="C155" s="38">
        <f>'24 SEMANA '!C13</f>
        <v>0</v>
      </c>
      <c r="D155" s="38">
        <f>+'24 SEMANA '!D13</f>
        <v>0</v>
      </c>
      <c r="E155" s="100"/>
      <c r="F155" s="100"/>
      <c r="G155" s="99"/>
      <c r="H155" s="101"/>
      <c r="I155" s="102"/>
      <c r="J155" s="103"/>
      <c r="K155" s="99"/>
      <c r="L155" s="99"/>
      <c r="M155" s="99"/>
      <c r="N155" s="99"/>
      <c r="O155" s="99"/>
      <c r="P155" s="99"/>
      <c r="Q155" s="99"/>
      <c r="R155" s="99"/>
      <c r="S155" s="99"/>
      <c r="T155" s="99"/>
      <c r="U155" s="99"/>
      <c r="V155" s="99"/>
      <c r="W155" s="99"/>
      <c r="X155" s="99"/>
      <c r="Y155" s="99"/>
      <c r="Z155" s="99"/>
      <c r="AA155" s="99"/>
      <c r="AB155" s="99"/>
      <c r="AC155" s="100">
        <f>+'24 SEMANA '!F13</f>
        <v>0</v>
      </c>
      <c r="AD155" s="100">
        <f>+'24 SEMANA '!G13</f>
        <v>0</v>
      </c>
      <c r="AE155" s="100">
        <f>+'24 SEMANA '!H13</f>
        <v>0</v>
      </c>
      <c r="AF155" s="100">
        <f>+'24 SEMANA '!I13</f>
        <v>0</v>
      </c>
      <c r="AG155" s="100">
        <f>+'24 SEMANA '!J13</f>
        <v>0</v>
      </c>
      <c r="AH155" s="100">
        <f>+'24 SEMANA '!K13</f>
        <v>0</v>
      </c>
      <c r="AI155" s="99"/>
      <c r="AJ155" s="99"/>
      <c r="AK155" s="99"/>
      <c r="AL155" s="99"/>
      <c r="AM155" s="99"/>
      <c r="AN155" s="99"/>
      <c r="AO155" s="99"/>
      <c r="AP155" s="99"/>
      <c r="AQ155" s="99"/>
      <c r="AR155" s="99"/>
      <c r="AS155" s="99"/>
      <c r="AT155" s="99"/>
      <c r="AU155" s="99"/>
      <c r="AV155" s="99"/>
      <c r="AW155" s="99"/>
      <c r="AX155" s="99"/>
      <c r="AY155" s="99"/>
      <c r="AZ155" s="99"/>
      <c r="BA155" s="99"/>
      <c r="BB155" s="99"/>
      <c r="BC155" s="99"/>
      <c r="BD155" s="99"/>
    </row>
    <row r="156" spans="1:56" x14ac:dyDescent="0.25">
      <c r="A156" s="37">
        <f>'24 SEMANA '!A14</f>
        <v>0</v>
      </c>
      <c r="B156" s="38">
        <f>'24 SEMANA '!B14</f>
        <v>0</v>
      </c>
      <c r="C156" s="38">
        <f>'24 SEMANA '!C14</f>
        <v>0</v>
      </c>
      <c r="D156" s="38">
        <f>+'24 SEMANA '!D14</f>
        <v>0</v>
      </c>
      <c r="E156" s="100"/>
      <c r="F156" s="100"/>
      <c r="G156" s="99"/>
      <c r="H156" s="101"/>
      <c r="I156" s="102"/>
      <c r="J156" s="103"/>
      <c r="K156" s="99"/>
      <c r="L156" s="99"/>
      <c r="M156" s="99"/>
      <c r="N156" s="99"/>
      <c r="O156" s="99"/>
      <c r="P156" s="99"/>
      <c r="Q156" s="99"/>
      <c r="R156" s="99"/>
      <c r="S156" s="99"/>
      <c r="T156" s="99"/>
      <c r="U156" s="99"/>
      <c r="V156" s="99"/>
      <c r="W156" s="99"/>
      <c r="X156" s="99"/>
      <c r="Y156" s="99"/>
      <c r="Z156" s="99"/>
      <c r="AA156" s="99"/>
      <c r="AB156" s="99"/>
      <c r="AC156" s="100">
        <f>+'24 SEMANA '!F14</f>
        <v>0</v>
      </c>
      <c r="AD156" s="100">
        <f>+'24 SEMANA '!G14</f>
        <v>0</v>
      </c>
      <c r="AE156" s="100">
        <f>+'24 SEMANA '!H14</f>
        <v>0</v>
      </c>
      <c r="AF156" s="100">
        <f>+'24 SEMANA '!I14</f>
        <v>0</v>
      </c>
      <c r="AG156" s="100">
        <f>+'24 SEMANA '!J14</f>
        <v>0</v>
      </c>
      <c r="AH156" s="100">
        <f>+'24 SEMANA '!K14</f>
        <v>0</v>
      </c>
      <c r="AI156" s="99"/>
      <c r="AJ156" s="99"/>
      <c r="AK156" s="99"/>
      <c r="AL156" s="99"/>
      <c r="AM156" s="99"/>
      <c r="AN156" s="99"/>
      <c r="AO156" s="99"/>
      <c r="AP156" s="99"/>
      <c r="AQ156" s="99"/>
      <c r="AR156" s="99"/>
      <c r="AS156" s="99"/>
      <c r="AT156" s="99"/>
      <c r="AU156" s="99"/>
      <c r="AV156" s="99"/>
      <c r="AW156" s="99"/>
      <c r="AX156" s="99"/>
      <c r="AY156" s="99"/>
      <c r="AZ156" s="99"/>
      <c r="BA156" s="99"/>
      <c r="BB156" s="99"/>
      <c r="BC156" s="99"/>
      <c r="BD156" s="99"/>
    </row>
    <row r="157" spans="1:56" x14ac:dyDescent="0.25">
      <c r="A157" s="37">
        <f>'25 SEMANA '!A9</f>
        <v>0</v>
      </c>
      <c r="B157" s="38">
        <f>'25 SEMANA '!B9</f>
        <v>0</v>
      </c>
      <c r="C157" s="38">
        <f>'25 SEMANA '!C9</f>
        <v>0</v>
      </c>
      <c r="D157" s="38">
        <f>'25 SEMANA '!D9</f>
        <v>0</v>
      </c>
      <c r="E157" s="100"/>
      <c r="F157" s="100"/>
      <c r="G157" s="99"/>
      <c r="H157" s="101"/>
      <c r="I157" s="102"/>
      <c r="J157" s="103"/>
      <c r="K157" s="99"/>
      <c r="L157" s="99"/>
      <c r="M157" s="99"/>
      <c r="N157" s="99"/>
      <c r="O157" s="99"/>
      <c r="P157" s="99"/>
      <c r="Q157" s="99"/>
      <c r="R157" s="99"/>
      <c r="S157" s="99"/>
      <c r="T157" s="99"/>
      <c r="U157" s="99"/>
      <c r="V157" s="99"/>
      <c r="W157" s="99"/>
      <c r="X157" s="99"/>
      <c r="Y157" s="99"/>
      <c r="Z157" s="99"/>
      <c r="AA157" s="99"/>
      <c r="AB157" s="99"/>
      <c r="AC157" s="99"/>
      <c r="AD157" s="100">
        <f>+'25 SEMANA '!F9</f>
        <v>0</v>
      </c>
      <c r="AE157" s="100">
        <f>+'25 SEMANA '!G9</f>
        <v>0</v>
      </c>
      <c r="AF157" s="100">
        <f>+'25 SEMANA '!H9</f>
        <v>0</v>
      </c>
      <c r="AG157" s="100">
        <f>+'25 SEMANA '!I9</f>
        <v>0</v>
      </c>
      <c r="AH157" s="100">
        <f>+'25 SEMANA '!J9</f>
        <v>0</v>
      </c>
      <c r="AI157" s="100">
        <f>+'25 SEMANA '!K9</f>
        <v>0</v>
      </c>
      <c r="AJ157" s="99"/>
      <c r="AK157" s="99"/>
      <c r="AL157" s="99"/>
      <c r="AM157" s="99"/>
      <c r="AN157" s="99"/>
      <c r="AO157" s="99"/>
      <c r="AP157" s="99"/>
      <c r="AQ157" s="99"/>
      <c r="AR157" s="99"/>
      <c r="AS157" s="99"/>
      <c r="AT157" s="99"/>
      <c r="AU157" s="99"/>
      <c r="AV157" s="99"/>
      <c r="AW157" s="99"/>
      <c r="AX157" s="99"/>
      <c r="AY157" s="99"/>
      <c r="AZ157" s="99"/>
      <c r="BA157" s="99"/>
      <c r="BB157" s="99"/>
      <c r="BC157" s="99"/>
      <c r="BD157" s="99"/>
    </row>
    <row r="158" spans="1:56" x14ac:dyDescent="0.25">
      <c r="A158" s="37">
        <f>'25 SEMANA '!A10</f>
        <v>0</v>
      </c>
      <c r="B158" s="38">
        <f>'25 SEMANA '!B10</f>
        <v>0</v>
      </c>
      <c r="C158" s="38">
        <f>'25 SEMANA '!C10</f>
        <v>0</v>
      </c>
      <c r="D158" s="38">
        <f>'25 SEMANA '!D10</f>
        <v>0</v>
      </c>
      <c r="E158" s="100"/>
      <c r="F158" s="100"/>
      <c r="G158" s="99"/>
      <c r="H158" s="101"/>
      <c r="I158" s="102"/>
      <c r="J158" s="103"/>
      <c r="K158" s="99"/>
      <c r="L158" s="99"/>
      <c r="M158" s="99"/>
      <c r="N158" s="99"/>
      <c r="O158" s="99"/>
      <c r="P158" s="99"/>
      <c r="Q158" s="99"/>
      <c r="R158" s="99"/>
      <c r="S158" s="99"/>
      <c r="T158" s="99"/>
      <c r="U158" s="99"/>
      <c r="V158" s="99"/>
      <c r="W158" s="99"/>
      <c r="X158" s="99"/>
      <c r="Y158" s="99"/>
      <c r="Z158" s="99"/>
      <c r="AA158" s="99"/>
      <c r="AB158" s="99"/>
      <c r="AC158" s="99"/>
      <c r="AD158" s="100">
        <f>+'25 SEMANA '!F10</f>
        <v>0</v>
      </c>
      <c r="AE158" s="100">
        <f>+'25 SEMANA '!G10</f>
        <v>0</v>
      </c>
      <c r="AF158" s="100">
        <f>+'25 SEMANA '!H10</f>
        <v>0</v>
      </c>
      <c r="AG158" s="100">
        <f>+'25 SEMANA '!I10</f>
        <v>0</v>
      </c>
      <c r="AH158" s="100">
        <f>+'25 SEMANA '!J10</f>
        <v>0</v>
      </c>
      <c r="AI158" s="100">
        <f>+'25 SEMANA '!K10</f>
        <v>0</v>
      </c>
      <c r="AJ158" s="99"/>
      <c r="AK158" s="99"/>
      <c r="AL158" s="99"/>
      <c r="AM158" s="99"/>
      <c r="AN158" s="99"/>
      <c r="AO158" s="99"/>
      <c r="AP158" s="99"/>
      <c r="AQ158" s="99"/>
      <c r="AR158" s="99"/>
      <c r="AS158" s="99"/>
      <c r="AT158" s="99"/>
      <c r="AU158" s="99"/>
      <c r="AV158" s="99"/>
      <c r="AW158" s="99"/>
      <c r="AX158" s="99"/>
      <c r="AY158" s="99"/>
      <c r="AZ158" s="99"/>
      <c r="BA158" s="99"/>
      <c r="BB158" s="99"/>
      <c r="BC158" s="99"/>
      <c r="BD158" s="99"/>
    </row>
    <row r="159" spans="1:56" x14ac:dyDescent="0.25">
      <c r="A159" s="37">
        <f>'25 SEMANA '!A11</f>
        <v>0</v>
      </c>
      <c r="B159" s="38">
        <f>'25 SEMANA '!B11</f>
        <v>0</v>
      </c>
      <c r="C159" s="38">
        <f>'25 SEMANA '!C11</f>
        <v>0</v>
      </c>
      <c r="D159" s="38">
        <f>'25 SEMANA '!D11</f>
        <v>0</v>
      </c>
      <c r="E159" s="100"/>
      <c r="F159" s="100"/>
      <c r="G159" s="99"/>
      <c r="H159" s="101"/>
      <c r="I159" s="102"/>
      <c r="J159" s="103"/>
      <c r="K159" s="99"/>
      <c r="L159" s="99"/>
      <c r="M159" s="99"/>
      <c r="N159" s="99"/>
      <c r="O159" s="99"/>
      <c r="P159" s="99"/>
      <c r="Q159" s="99"/>
      <c r="R159" s="99"/>
      <c r="S159" s="99"/>
      <c r="T159" s="99"/>
      <c r="U159" s="99"/>
      <c r="V159" s="99"/>
      <c r="W159" s="99"/>
      <c r="X159" s="99"/>
      <c r="Y159" s="99"/>
      <c r="Z159" s="99"/>
      <c r="AA159" s="99"/>
      <c r="AB159" s="99"/>
      <c r="AC159" s="99"/>
      <c r="AD159" s="100">
        <f>+'25 SEMANA '!F11</f>
        <v>0</v>
      </c>
      <c r="AE159" s="100">
        <f>+'25 SEMANA '!G11</f>
        <v>0</v>
      </c>
      <c r="AF159" s="100">
        <f>+'25 SEMANA '!H11</f>
        <v>0</v>
      </c>
      <c r="AG159" s="100">
        <f>+'25 SEMANA '!I11</f>
        <v>0</v>
      </c>
      <c r="AH159" s="100">
        <f>+'25 SEMANA '!J11</f>
        <v>0</v>
      </c>
      <c r="AI159" s="100">
        <f>+'25 SEMANA '!K11</f>
        <v>0</v>
      </c>
      <c r="AJ159" s="99"/>
      <c r="AK159" s="99"/>
      <c r="AL159" s="99"/>
      <c r="AM159" s="99"/>
      <c r="AN159" s="99"/>
      <c r="AO159" s="99"/>
      <c r="AP159" s="99"/>
      <c r="AQ159" s="99"/>
      <c r="AR159" s="99"/>
      <c r="AS159" s="99"/>
      <c r="AT159" s="99"/>
      <c r="AU159" s="99"/>
      <c r="AV159" s="99"/>
      <c r="AW159" s="99"/>
      <c r="AX159" s="99"/>
      <c r="AY159" s="99"/>
      <c r="AZ159" s="99"/>
      <c r="BA159" s="99"/>
      <c r="BB159" s="99"/>
      <c r="BC159" s="99"/>
      <c r="BD159" s="99"/>
    </row>
    <row r="160" spans="1:56" x14ac:dyDescent="0.25">
      <c r="A160" s="37">
        <f>'25 SEMANA '!A12</f>
        <v>0</v>
      </c>
      <c r="B160" s="38">
        <f>'25 SEMANA '!B12</f>
        <v>0</v>
      </c>
      <c r="C160" s="38">
        <f>'25 SEMANA '!C12</f>
        <v>0</v>
      </c>
      <c r="D160" s="38">
        <f>'25 SEMANA '!D12</f>
        <v>0</v>
      </c>
      <c r="E160" s="100"/>
      <c r="F160" s="100"/>
      <c r="G160" s="99"/>
      <c r="H160" s="101"/>
      <c r="I160" s="102"/>
      <c r="J160" s="103"/>
      <c r="K160" s="99"/>
      <c r="L160" s="99"/>
      <c r="M160" s="99"/>
      <c r="N160" s="99"/>
      <c r="O160" s="99"/>
      <c r="P160" s="99"/>
      <c r="Q160" s="99"/>
      <c r="R160" s="99"/>
      <c r="S160" s="99"/>
      <c r="T160" s="99"/>
      <c r="U160" s="99"/>
      <c r="V160" s="99"/>
      <c r="W160" s="99"/>
      <c r="X160" s="99"/>
      <c r="Y160" s="99"/>
      <c r="Z160" s="99"/>
      <c r="AA160" s="99"/>
      <c r="AB160" s="99"/>
      <c r="AC160" s="99"/>
      <c r="AD160" s="100">
        <f>+'25 SEMANA '!F12</f>
        <v>0</v>
      </c>
      <c r="AE160" s="100">
        <f>+'25 SEMANA '!G12</f>
        <v>0</v>
      </c>
      <c r="AF160" s="100">
        <f>+'25 SEMANA '!H12</f>
        <v>0</v>
      </c>
      <c r="AG160" s="100">
        <f>+'25 SEMANA '!I12</f>
        <v>0</v>
      </c>
      <c r="AH160" s="100">
        <f>+'25 SEMANA '!J12</f>
        <v>0</v>
      </c>
      <c r="AI160" s="100">
        <f>+'25 SEMANA '!K12</f>
        <v>0</v>
      </c>
      <c r="AJ160" s="99"/>
      <c r="AK160" s="99"/>
      <c r="AL160" s="99"/>
      <c r="AM160" s="99"/>
      <c r="AN160" s="99"/>
      <c r="AO160" s="99"/>
      <c r="AP160" s="99"/>
      <c r="AQ160" s="99"/>
      <c r="AR160" s="99"/>
      <c r="AS160" s="99"/>
      <c r="AT160" s="99"/>
      <c r="AU160" s="99"/>
      <c r="AV160" s="99"/>
      <c r="AW160" s="99"/>
      <c r="AX160" s="99"/>
      <c r="AY160" s="99"/>
      <c r="AZ160" s="99"/>
      <c r="BA160" s="99"/>
      <c r="BB160" s="99"/>
      <c r="BC160" s="99"/>
      <c r="BD160" s="99"/>
    </row>
    <row r="161" spans="1:56" x14ac:dyDescent="0.25">
      <c r="A161" s="37">
        <f>'25 SEMANA '!A13</f>
        <v>0</v>
      </c>
      <c r="B161" s="38">
        <f>'25 SEMANA '!B13</f>
        <v>0</v>
      </c>
      <c r="C161" s="38">
        <f>'25 SEMANA '!C13</f>
        <v>0</v>
      </c>
      <c r="D161" s="38">
        <f>'25 SEMANA '!D13</f>
        <v>0</v>
      </c>
      <c r="E161" s="100"/>
      <c r="F161" s="100"/>
      <c r="G161" s="99"/>
      <c r="H161" s="101"/>
      <c r="I161" s="102"/>
      <c r="J161" s="103"/>
      <c r="K161" s="99"/>
      <c r="L161" s="99"/>
      <c r="M161" s="99"/>
      <c r="N161" s="99"/>
      <c r="O161" s="99"/>
      <c r="P161" s="99"/>
      <c r="Q161" s="99"/>
      <c r="R161" s="99"/>
      <c r="S161" s="99"/>
      <c r="T161" s="99"/>
      <c r="U161" s="99"/>
      <c r="V161" s="99"/>
      <c r="W161" s="99"/>
      <c r="X161" s="99"/>
      <c r="Y161" s="99"/>
      <c r="Z161" s="99"/>
      <c r="AA161" s="99"/>
      <c r="AB161" s="99"/>
      <c r="AC161" s="99"/>
      <c r="AD161" s="100">
        <f>+'25 SEMANA '!F13</f>
        <v>0</v>
      </c>
      <c r="AE161" s="100">
        <f>+'25 SEMANA '!G13</f>
        <v>0</v>
      </c>
      <c r="AF161" s="100">
        <f>+'25 SEMANA '!H13</f>
        <v>0</v>
      </c>
      <c r="AG161" s="100">
        <f>+'25 SEMANA '!I13</f>
        <v>0</v>
      </c>
      <c r="AH161" s="100">
        <f>+'25 SEMANA '!J13</f>
        <v>0</v>
      </c>
      <c r="AI161" s="100">
        <f>+'25 SEMANA '!K13</f>
        <v>0</v>
      </c>
      <c r="AJ161" s="99"/>
      <c r="AK161" s="99"/>
      <c r="AL161" s="99"/>
      <c r="AM161" s="99"/>
      <c r="AN161" s="99"/>
      <c r="AO161" s="99"/>
      <c r="AP161" s="99"/>
      <c r="AQ161" s="99"/>
      <c r="AR161" s="99"/>
      <c r="AS161" s="99"/>
      <c r="AT161" s="99"/>
      <c r="AU161" s="99"/>
      <c r="AV161" s="99"/>
      <c r="AW161" s="99"/>
      <c r="AX161" s="99"/>
      <c r="AY161" s="99"/>
      <c r="AZ161" s="99"/>
      <c r="BA161" s="99"/>
      <c r="BB161" s="99"/>
      <c r="BC161" s="99"/>
      <c r="BD161" s="99"/>
    </row>
    <row r="162" spans="1:56" x14ac:dyDescent="0.25">
      <c r="A162" s="37">
        <f>'25 SEMANA '!A14</f>
        <v>0</v>
      </c>
      <c r="B162" s="38">
        <f>'25 SEMANA '!B14</f>
        <v>0</v>
      </c>
      <c r="C162" s="38">
        <f>'25 SEMANA '!C14</f>
        <v>0</v>
      </c>
      <c r="D162" s="38">
        <f>'25 SEMANA '!D14</f>
        <v>0</v>
      </c>
      <c r="E162" s="100"/>
      <c r="F162" s="100"/>
      <c r="G162" s="99"/>
      <c r="H162" s="101"/>
      <c r="I162" s="102"/>
      <c r="J162" s="103"/>
      <c r="K162" s="99"/>
      <c r="L162" s="99"/>
      <c r="M162" s="99"/>
      <c r="N162" s="99"/>
      <c r="O162" s="99"/>
      <c r="P162" s="99"/>
      <c r="Q162" s="99"/>
      <c r="R162" s="99"/>
      <c r="S162" s="99"/>
      <c r="T162" s="99"/>
      <c r="U162" s="99"/>
      <c r="V162" s="99"/>
      <c r="W162" s="99"/>
      <c r="X162" s="99"/>
      <c r="Y162" s="99"/>
      <c r="Z162" s="99"/>
      <c r="AA162" s="99"/>
      <c r="AB162" s="99"/>
      <c r="AC162" s="99"/>
      <c r="AD162" s="100">
        <f>+'25 SEMANA '!F14</f>
        <v>0</v>
      </c>
      <c r="AE162" s="100">
        <f>+'25 SEMANA '!G14</f>
        <v>0</v>
      </c>
      <c r="AF162" s="100">
        <f>+'25 SEMANA '!H14</f>
        <v>0</v>
      </c>
      <c r="AG162" s="100">
        <f>+'25 SEMANA '!I14</f>
        <v>0</v>
      </c>
      <c r="AH162" s="100">
        <f>+'25 SEMANA '!J14</f>
        <v>0</v>
      </c>
      <c r="AI162" s="100">
        <f>+'25 SEMANA '!K14</f>
        <v>0</v>
      </c>
      <c r="AJ162" s="99"/>
      <c r="AK162" s="99"/>
      <c r="AL162" s="99"/>
      <c r="AM162" s="99"/>
      <c r="AN162" s="99"/>
      <c r="AO162" s="99"/>
      <c r="AP162" s="99"/>
      <c r="AQ162" s="99"/>
      <c r="AR162" s="99"/>
      <c r="AS162" s="99"/>
      <c r="AT162" s="99"/>
      <c r="AU162" s="99"/>
      <c r="AV162" s="99"/>
      <c r="AW162" s="99"/>
      <c r="AX162" s="99"/>
      <c r="AY162" s="99"/>
      <c r="AZ162" s="99"/>
      <c r="BA162" s="99"/>
      <c r="BB162" s="99"/>
      <c r="BC162" s="99"/>
      <c r="BD162" s="99"/>
    </row>
    <row r="163" spans="1:56" x14ac:dyDescent="0.25">
      <c r="A163" s="37">
        <f>'26 SEMANA'!A9</f>
        <v>0</v>
      </c>
      <c r="B163" s="38">
        <f>'26 SEMANA'!B9</f>
        <v>0</v>
      </c>
      <c r="C163" s="38">
        <f>'26 SEMANA'!C9</f>
        <v>0</v>
      </c>
      <c r="D163" s="38">
        <f>'26 SEMANA'!D9</f>
        <v>0</v>
      </c>
      <c r="E163" s="100"/>
      <c r="F163" s="100"/>
      <c r="G163" s="99"/>
      <c r="H163" s="101"/>
      <c r="I163" s="102"/>
      <c r="J163" s="103"/>
      <c r="K163" s="99"/>
      <c r="L163" s="99"/>
      <c r="M163" s="99"/>
      <c r="N163" s="99"/>
      <c r="O163" s="99"/>
      <c r="P163" s="99"/>
      <c r="Q163" s="99"/>
      <c r="R163" s="99"/>
      <c r="S163" s="99"/>
      <c r="T163" s="99"/>
      <c r="U163" s="99"/>
      <c r="V163" s="99"/>
      <c r="W163" s="99"/>
      <c r="X163" s="99"/>
      <c r="Y163" s="99"/>
      <c r="Z163" s="99"/>
      <c r="AA163" s="99"/>
      <c r="AB163" s="99"/>
      <c r="AC163" s="99"/>
      <c r="AD163" s="99"/>
      <c r="AE163" s="100">
        <f>+'26 SEMANA'!F9</f>
        <v>0</v>
      </c>
      <c r="AF163" s="100">
        <f>+'26 SEMANA'!G9</f>
        <v>0</v>
      </c>
      <c r="AG163" s="100">
        <f>+'26 SEMANA'!H9</f>
        <v>0</v>
      </c>
      <c r="AH163" s="100">
        <f>+'26 SEMANA'!I9</f>
        <v>0</v>
      </c>
      <c r="AI163" s="100">
        <f>+'26 SEMANA'!J9</f>
        <v>0</v>
      </c>
      <c r="AJ163" s="100">
        <f>+'26 SEMANA'!K9</f>
        <v>0</v>
      </c>
      <c r="AK163" s="99"/>
      <c r="AL163" s="99"/>
      <c r="AM163" s="99"/>
      <c r="AN163" s="99"/>
      <c r="AO163" s="99"/>
      <c r="AP163" s="99"/>
      <c r="AQ163" s="99"/>
      <c r="AR163" s="99"/>
      <c r="AS163" s="99"/>
      <c r="AT163" s="99"/>
      <c r="AU163" s="99"/>
      <c r="AV163" s="99"/>
      <c r="AW163" s="99"/>
      <c r="AX163" s="99"/>
      <c r="AY163" s="99"/>
      <c r="AZ163" s="99"/>
      <c r="BA163" s="99"/>
      <c r="BB163" s="99"/>
      <c r="BC163" s="99"/>
      <c r="BD163" s="99"/>
    </row>
    <row r="164" spans="1:56" x14ac:dyDescent="0.25">
      <c r="A164" s="37">
        <f>'26 SEMANA'!A10</f>
        <v>0</v>
      </c>
      <c r="B164" s="38">
        <f>'26 SEMANA'!B10</f>
        <v>0</v>
      </c>
      <c r="C164" s="38">
        <f>'26 SEMANA'!C10</f>
        <v>0</v>
      </c>
      <c r="D164" s="38">
        <f>'26 SEMANA'!D10</f>
        <v>0</v>
      </c>
      <c r="E164" s="100"/>
      <c r="F164" s="100"/>
      <c r="G164" s="99"/>
      <c r="H164" s="101"/>
      <c r="I164" s="102"/>
      <c r="J164" s="103"/>
      <c r="K164" s="99"/>
      <c r="L164" s="99"/>
      <c r="M164" s="99"/>
      <c r="N164" s="99"/>
      <c r="O164" s="99"/>
      <c r="P164" s="99"/>
      <c r="Q164" s="99"/>
      <c r="R164" s="99"/>
      <c r="S164" s="99"/>
      <c r="T164" s="99"/>
      <c r="U164" s="99"/>
      <c r="V164" s="99"/>
      <c r="W164" s="99"/>
      <c r="X164" s="99"/>
      <c r="Y164" s="99"/>
      <c r="Z164" s="99"/>
      <c r="AA164" s="99"/>
      <c r="AB164" s="99"/>
      <c r="AC164" s="99"/>
      <c r="AD164" s="99"/>
      <c r="AE164" s="100">
        <f>+'26 SEMANA'!F10</f>
        <v>0</v>
      </c>
      <c r="AF164" s="100">
        <f>+'26 SEMANA'!G10</f>
        <v>0</v>
      </c>
      <c r="AG164" s="100">
        <f>+'26 SEMANA'!H10</f>
        <v>0</v>
      </c>
      <c r="AH164" s="100">
        <f>+'26 SEMANA'!I10</f>
        <v>0</v>
      </c>
      <c r="AI164" s="100">
        <f>+'26 SEMANA'!J10</f>
        <v>0</v>
      </c>
      <c r="AJ164" s="100">
        <f>+'26 SEMANA'!K10</f>
        <v>0</v>
      </c>
      <c r="AK164" s="99"/>
      <c r="AL164" s="99"/>
      <c r="AM164" s="99"/>
      <c r="AN164" s="99"/>
      <c r="AO164" s="99"/>
      <c r="AP164" s="99"/>
      <c r="AQ164" s="99"/>
      <c r="AR164" s="99"/>
      <c r="AS164" s="99"/>
      <c r="AT164" s="99"/>
      <c r="AU164" s="99"/>
      <c r="AV164" s="99"/>
      <c r="AW164" s="99"/>
      <c r="AX164" s="99"/>
      <c r="AY164" s="99"/>
      <c r="AZ164" s="99"/>
      <c r="BA164" s="99"/>
      <c r="BB164" s="99"/>
      <c r="BC164" s="99"/>
      <c r="BD164" s="99"/>
    </row>
    <row r="165" spans="1:56" x14ac:dyDescent="0.25">
      <c r="A165" s="37">
        <f>'26 SEMANA'!A11</f>
        <v>0</v>
      </c>
      <c r="B165" s="38">
        <f>'26 SEMANA'!B11</f>
        <v>0</v>
      </c>
      <c r="C165" s="38">
        <f>'26 SEMANA'!C11</f>
        <v>0</v>
      </c>
      <c r="D165" s="38">
        <f>'26 SEMANA'!D11</f>
        <v>0</v>
      </c>
      <c r="E165" s="100"/>
      <c r="F165" s="100"/>
      <c r="G165" s="99"/>
      <c r="H165" s="101"/>
      <c r="I165" s="102"/>
      <c r="J165" s="103"/>
      <c r="K165" s="99"/>
      <c r="L165" s="99"/>
      <c r="M165" s="99"/>
      <c r="N165" s="99"/>
      <c r="O165" s="99"/>
      <c r="P165" s="99"/>
      <c r="Q165" s="99"/>
      <c r="R165" s="99"/>
      <c r="S165" s="99"/>
      <c r="T165" s="99"/>
      <c r="U165" s="99"/>
      <c r="V165" s="99"/>
      <c r="W165" s="99"/>
      <c r="X165" s="99"/>
      <c r="Y165" s="99"/>
      <c r="Z165" s="99"/>
      <c r="AA165" s="99"/>
      <c r="AB165" s="99"/>
      <c r="AC165" s="99"/>
      <c r="AD165" s="99"/>
      <c r="AE165" s="100">
        <f>+'26 SEMANA'!F11</f>
        <v>0</v>
      </c>
      <c r="AF165" s="100">
        <f>+'26 SEMANA'!G11</f>
        <v>0</v>
      </c>
      <c r="AG165" s="100">
        <f>+'26 SEMANA'!H11</f>
        <v>0</v>
      </c>
      <c r="AH165" s="100">
        <f>+'26 SEMANA'!I11</f>
        <v>0</v>
      </c>
      <c r="AI165" s="100">
        <f>+'26 SEMANA'!J11</f>
        <v>0</v>
      </c>
      <c r="AJ165" s="100">
        <f>+'26 SEMANA'!K11</f>
        <v>0</v>
      </c>
      <c r="AK165" s="99"/>
      <c r="AL165" s="99"/>
      <c r="AM165" s="99"/>
      <c r="AN165" s="99"/>
      <c r="AO165" s="99"/>
      <c r="AP165" s="99"/>
      <c r="AQ165" s="99"/>
      <c r="AR165" s="99"/>
      <c r="AS165" s="99"/>
      <c r="AT165" s="99"/>
      <c r="AU165" s="99"/>
      <c r="AV165" s="99"/>
      <c r="AW165" s="99"/>
      <c r="AX165" s="99"/>
      <c r="AY165" s="99"/>
      <c r="AZ165" s="99"/>
      <c r="BA165" s="99"/>
      <c r="BB165" s="99"/>
      <c r="BC165" s="99"/>
      <c r="BD165" s="99"/>
    </row>
    <row r="166" spans="1:56" x14ac:dyDescent="0.25">
      <c r="A166" s="37">
        <f>'26 SEMANA'!A12</f>
        <v>0</v>
      </c>
      <c r="B166" s="38">
        <f>'26 SEMANA'!B12</f>
        <v>0</v>
      </c>
      <c r="C166" s="38">
        <f>'26 SEMANA'!C12</f>
        <v>0</v>
      </c>
      <c r="D166" s="38">
        <f>'26 SEMANA'!D12</f>
        <v>0</v>
      </c>
      <c r="E166" s="100"/>
      <c r="F166" s="100"/>
      <c r="G166" s="99"/>
      <c r="H166" s="101"/>
      <c r="I166" s="102"/>
      <c r="J166" s="103"/>
      <c r="K166" s="99"/>
      <c r="L166" s="99"/>
      <c r="M166" s="99"/>
      <c r="N166" s="99"/>
      <c r="O166" s="99"/>
      <c r="P166" s="99"/>
      <c r="Q166" s="99"/>
      <c r="R166" s="99"/>
      <c r="S166" s="99"/>
      <c r="T166" s="99"/>
      <c r="U166" s="99"/>
      <c r="V166" s="99"/>
      <c r="W166" s="99"/>
      <c r="X166" s="99"/>
      <c r="Y166" s="99"/>
      <c r="Z166" s="99"/>
      <c r="AA166" s="99"/>
      <c r="AB166" s="99"/>
      <c r="AC166" s="99"/>
      <c r="AD166" s="99"/>
      <c r="AE166" s="100">
        <f>+'26 SEMANA'!F12</f>
        <v>0</v>
      </c>
      <c r="AF166" s="100">
        <f>+'26 SEMANA'!G12</f>
        <v>0</v>
      </c>
      <c r="AG166" s="100">
        <f>+'26 SEMANA'!H12</f>
        <v>0</v>
      </c>
      <c r="AH166" s="100">
        <f>+'26 SEMANA'!I12</f>
        <v>0</v>
      </c>
      <c r="AI166" s="100">
        <f>+'26 SEMANA'!J12</f>
        <v>0</v>
      </c>
      <c r="AJ166" s="100">
        <f>+'26 SEMANA'!K12</f>
        <v>0</v>
      </c>
      <c r="AK166" s="99"/>
      <c r="AL166" s="99"/>
      <c r="AM166" s="99"/>
      <c r="AN166" s="99"/>
      <c r="AO166" s="99"/>
      <c r="AP166" s="99"/>
      <c r="AQ166" s="99"/>
      <c r="AR166" s="99"/>
      <c r="AS166" s="99"/>
      <c r="AT166" s="99"/>
      <c r="AU166" s="99"/>
      <c r="AV166" s="99"/>
      <c r="AW166" s="99"/>
      <c r="AX166" s="99"/>
      <c r="AY166" s="99"/>
      <c r="AZ166" s="99"/>
      <c r="BA166" s="99"/>
      <c r="BB166" s="99"/>
      <c r="BC166" s="99"/>
      <c r="BD166" s="99"/>
    </row>
    <row r="167" spans="1:56" x14ac:dyDescent="0.25">
      <c r="A167" s="37">
        <f>'26 SEMANA'!A13</f>
        <v>0</v>
      </c>
      <c r="B167" s="38">
        <f>'26 SEMANA'!B13</f>
        <v>0</v>
      </c>
      <c r="C167" s="38">
        <f>'26 SEMANA'!C13</f>
        <v>0</v>
      </c>
      <c r="D167" s="38">
        <f>'26 SEMANA'!D13</f>
        <v>0</v>
      </c>
      <c r="E167" s="100"/>
      <c r="F167" s="100"/>
      <c r="G167" s="99"/>
      <c r="H167" s="101"/>
      <c r="I167" s="102"/>
      <c r="J167" s="103"/>
      <c r="K167" s="99"/>
      <c r="L167" s="99"/>
      <c r="M167" s="99"/>
      <c r="N167" s="99"/>
      <c r="O167" s="99"/>
      <c r="P167" s="99"/>
      <c r="Q167" s="99"/>
      <c r="R167" s="99"/>
      <c r="S167" s="99"/>
      <c r="T167" s="99"/>
      <c r="U167" s="99"/>
      <c r="V167" s="99"/>
      <c r="W167" s="99"/>
      <c r="X167" s="99"/>
      <c r="Y167" s="99"/>
      <c r="Z167" s="99"/>
      <c r="AA167" s="99"/>
      <c r="AB167" s="99"/>
      <c r="AC167" s="99"/>
      <c r="AD167" s="99"/>
      <c r="AE167" s="100">
        <f>+'26 SEMANA'!F13</f>
        <v>0</v>
      </c>
      <c r="AF167" s="100">
        <f>+'26 SEMANA'!G13</f>
        <v>0</v>
      </c>
      <c r="AG167" s="100">
        <f>+'26 SEMANA'!H13</f>
        <v>0</v>
      </c>
      <c r="AH167" s="100">
        <f>+'26 SEMANA'!I13</f>
        <v>0</v>
      </c>
      <c r="AI167" s="100">
        <f>+'26 SEMANA'!J13</f>
        <v>0</v>
      </c>
      <c r="AJ167" s="100">
        <f>+'26 SEMANA'!K13</f>
        <v>0</v>
      </c>
      <c r="AK167" s="99"/>
      <c r="AL167" s="99"/>
      <c r="AM167" s="99"/>
      <c r="AN167" s="99"/>
      <c r="AO167" s="99"/>
      <c r="AP167" s="99"/>
      <c r="AQ167" s="99"/>
      <c r="AR167" s="99"/>
      <c r="AS167" s="99"/>
      <c r="AT167" s="99"/>
      <c r="AU167" s="99"/>
      <c r="AV167" s="99"/>
      <c r="AW167" s="99"/>
      <c r="AX167" s="99"/>
      <c r="AY167" s="99"/>
      <c r="AZ167" s="99"/>
      <c r="BA167" s="99"/>
      <c r="BB167" s="99"/>
      <c r="BC167" s="99"/>
      <c r="BD167" s="99"/>
    </row>
    <row r="168" spans="1:56" x14ac:dyDescent="0.25">
      <c r="A168" s="37">
        <f>'26 SEMANA'!A14</f>
        <v>0</v>
      </c>
      <c r="B168" s="38">
        <f>'26 SEMANA'!B14</f>
        <v>0</v>
      </c>
      <c r="C168" s="38">
        <f>'26 SEMANA'!C14</f>
        <v>0</v>
      </c>
      <c r="D168" s="38">
        <f>'26 SEMANA'!D14</f>
        <v>0</v>
      </c>
      <c r="E168" s="100"/>
      <c r="F168" s="100"/>
      <c r="G168" s="99"/>
      <c r="H168" s="101"/>
      <c r="I168" s="102"/>
      <c r="J168" s="103"/>
      <c r="K168" s="99"/>
      <c r="L168" s="99"/>
      <c r="M168" s="99"/>
      <c r="N168" s="99"/>
      <c r="O168" s="99"/>
      <c r="P168" s="99"/>
      <c r="Q168" s="99"/>
      <c r="R168" s="99"/>
      <c r="S168" s="99"/>
      <c r="T168" s="99"/>
      <c r="U168" s="99"/>
      <c r="V168" s="99"/>
      <c r="W168" s="99"/>
      <c r="X168" s="99"/>
      <c r="Y168" s="99"/>
      <c r="Z168" s="99"/>
      <c r="AA168" s="99"/>
      <c r="AB168" s="99"/>
      <c r="AC168" s="99"/>
      <c r="AD168" s="99"/>
      <c r="AE168" s="100">
        <f>+'26 SEMANA'!F14</f>
        <v>0</v>
      </c>
      <c r="AF168" s="100">
        <f>+'26 SEMANA'!G14</f>
        <v>0</v>
      </c>
      <c r="AG168" s="100">
        <f>+'26 SEMANA'!H14</f>
        <v>0</v>
      </c>
      <c r="AH168" s="100">
        <f>+'26 SEMANA'!I14</f>
        <v>0</v>
      </c>
      <c r="AI168" s="100">
        <f>+'26 SEMANA'!J14</f>
        <v>0</v>
      </c>
      <c r="AJ168" s="100">
        <f>+'26 SEMANA'!K14</f>
        <v>0</v>
      </c>
      <c r="AK168" s="99"/>
      <c r="AL168" s="99"/>
      <c r="AM168" s="99"/>
      <c r="AN168" s="99"/>
      <c r="AO168" s="99"/>
      <c r="AP168" s="99"/>
      <c r="AQ168" s="99"/>
      <c r="AR168" s="99"/>
      <c r="AS168" s="99"/>
      <c r="AT168" s="99"/>
      <c r="AU168" s="99"/>
      <c r="AV168" s="99"/>
      <c r="AW168" s="99"/>
      <c r="AX168" s="99"/>
      <c r="AY168" s="99"/>
      <c r="AZ168" s="99"/>
      <c r="BA168" s="99"/>
      <c r="BB168" s="99"/>
      <c r="BC168" s="99"/>
      <c r="BD168" s="99"/>
    </row>
    <row r="169" spans="1:56" x14ac:dyDescent="0.25">
      <c r="A169" s="37">
        <f>'27 SEMANA'!A9</f>
        <v>0</v>
      </c>
      <c r="B169" s="38">
        <f>'27 SEMANA'!B9</f>
        <v>0</v>
      </c>
      <c r="C169" s="38">
        <f>'27 SEMANA'!C9</f>
        <v>0</v>
      </c>
      <c r="D169" s="38">
        <f>'27 SEMANA'!D9</f>
        <v>0</v>
      </c>
      <c r="E169" s="100"/>
      <c r="F169" s="100"/>
      <c r="G169" s="99"/>
      <c r="H169" s="101"/>
      <c r="I169" s="102"/>
      <c r="J169" s="103"/>
      <c r="K169" s="99"/>
      <c r="L169" s="99"/>
      <c r="M169" s="99"/>
      <c r="N169" s="99"/>
      <c r="O169" s="99"/>
      <c r="P169" s="99"/>
      <c r="Q169" s="99"/>
      <c r="R169" s="99"/>
      <c r="S169" s="99"/>
      <c r="T169" s="99"/>
      <c r="U169" s="99"/>
      <c r="V169" s="99"/>
      <c r="W169" s="99"/>
      <c r="X169" s="99"/>
      <c r="Y169" s="99"/>
      <c r="Z169" s="99"/>
      <c r="AA169" s="99"/>
      <c r="AB169" s="99"/>
      <c r="AC169" s="99"/>
      <c r="AD169" s="99"/>
      <c r="AE169" s="99"/>
      <c r="AF169" s="100">
        <f>+'27 SEMANA'!F9</f>
        <v>0</v>
      </c>
      <c r="AG169" s="100">
        <f>+'27 SEMANA'!G9</f>
        <v>0</v>
      </c>
      <c r="AH169" s="100">
        <f>+'27 SEMANA'!H9</f>
        <v>0</v>
      </c>
      <c r="AI169" s="100">
        <f>+'27 SEMANA'!I9</f>
        <v>0</v>
      </c>
      <c r="AJ169" s="100">
        <f>+'27 SEMANA'!J9</f>
        <v>0</v>
      </c>
      <c r="AK169" s="100">
        <f>+'27 SEMANA'!K9</f>
        <v>0</v>
      </c>
      <c r="AL169" s="99"/>
      <c r="AM169" s="99"/>
      <c r="AN169" s="99"/>
      <c r="AO169" s="99"/>
      <c r="AP169" s="99"/>
      <c r="AQ169" s="99"/>
      <c r="AR169" s="99"/>
      <c r="AS169" s="99"/>
      <c r="AT169" s="99"/>
      <c r="AU169" s="99"/>
      <c r="AV169" s="99"/>
      <c r="AW169" s="99"/>
      <c r="AX169" s="99"/>
      <c r="AY169" s="99"/>
      <c r="AZ169" s="99"/>
      <c r="BA169" s="99"/>
      <c r="BB169" s="99"/>
      <c r="BC169" s="99"/>
      <c r="BD169" s="99"/>
    </row>
    <row r="170" spans="1:56" x14ac:dyDescent="0.25">
      <c r="A170" s="37">
        <f>'27 SEMANA'!A10</f>
        <v>0</v>
      </c>
      <c r="B170" s="38">
        <f>'27 SEMANA'!B10</f>
        <v>0</v>
      </c>
      <c r="C170" s="38">
        <f>'27 SEMANA'!C10</f>
        <v>0</v>
      </c>
      <c r="D170" s="38">
        <f>'27 SEMANA'!D10</f>
        <v>0</v>
      </c>
      <c r="E170" s="100"/>
      <c r="F170" s="100"/>
      <c r="G170" s="99"/>
      <c r="H170" s="101"/>
      <c r="I170" s="102"/>
      <c r="J170" s="103"/>
      <c r="K170" s="99"/>
      <c r="L170" s="99"/>
      <c r="M170" s="99"/>
      <c r="N170" s="99"/>
      <c r="O170" s="99"/>
      <c r="P170" s="99"/>
      <c r="Q170" s="99"/>
      <c r="R170" s="99"/>
      <c r="S170" s="99"/>
      <c r="T170" s="99"/>
      <c r="U170" s="99"/>
      <c r="V170" s="99"/>
      <c r="W170" s="99"/>
      <c r="X170" s="99"/>
      <c r="Y170" s="99"/>
      <c r="Z170" s="99"/>
      <c r="AA170" s="99"/>
      <c r="AB170" s="99"/>
      <c r="AC170" s="99"/>
      <c r="AD170" s="99"/>
      <c r="AE170" s="99"/>
      <c r="AF170" s="100">
        <f>+'27 SEMANA'!F10</f>
        <v>0</v>
      </c>
      <c r="AG170" s="100">
        <f>+'27 SEMANA'!G10</f>
        <v>0</v>
      </c>
      <c r="AH170" s="100">
        <f>+'27 SEMANA'!H10</f>
        <v>0</v>
      </c>
      <c r="AI170" s="100">
        <f>+'27 SEMANA'!I10</f>
        <v>0</v>
      </c>
      <c r="AJ170" s="100">
        <f>+'27 SEMANA'!J10</f>
        <v>0</v>
      </c>
      <c r="AK170" s="100">
        <f>+'27 SEMANA'!K10</f>
        <v>0</v>
      </c>
      <c r="AL170" s="99"/>
      <c r="AM170" s="99"/>
      <c r="AN170" s="99"/>
      <c r="AO170" s="99"/>
      <c r="AP170" s="99"/>
      <c r="AQ170" s="99"/>
      <c r="AR170" s="99"/>
      <c r="AS170" s="99"/>
      <c r="AT170" s="99"/>
      <c r="AU170" s="99"/>
      <c r="AV170" s="99"/>
      <c r="AW170" s="99"/>
      <c r="AX170" s="99"/>
      <c r="AY170" s="99"/>
      <c r="AZ170" s="99"/>
      <c r="BA170" s="99"/>
      <c r="BB170" s="99"/>
      <c r="BC170" s="99"/>
      <c r="BD170" s="99"/>
    </row>
    <row r="171" spans="1:56" x14ac:dyDescent="0.25">
      <c r="A171" s="37">
        <f>'27 SEMANA'!A11</f>
        <v>0</v>
      </c>
      <c r="B171" s="38">
        <f>'27 SEMANA'!B11</f>
        <v>0</v>
      </c>
      <c r="C171" s="38">
        <f>'27 SEMANA'!C11</f>
        <v>0</v>
      </c>
      <c r="D171" s="38">
        <f>'27 SEMANA'!D11</f>
        <v>0</v>
      </c>
      <c r="E171" s="100"/>
      <c r="F171" s="100"/>
      <c r="G171" s="99"/>
      <c r="H171" s="101"/>
      <c r="I171" s="102"/>
      <c r="J171" s="103"/>
      <c r="K171" s="99"/>
      <c r="L171" s="99"/>
      <c r="M171" s="99"/>
      <c r="N171" s="99"/>
      <c r="O171" s="99"/>
      <c r="P171" s="99"/>
      <c r="Q171" s="99"/>
      <c r="R171" s="99"/>
      <c r="S171" s="99"/>
      <c r="T171" s="99"/>
      <c r="U171" s="99"/>
      <c r="V171" s="99"/>
      <c r="W171" s="99"/>
      <c r="X171" s="99"/>
      <c r="Y171" s="99"/>
      <c r="Z171" s="99"/>
      <c r="AA171" s="99"/>
      <c r="AB171" s="99"/>
      <c r="AC171" s="99"/>
      <c r="AD171" s="99"/>
      <c r="AE171" s="99"/>
      <c r="AF171" s="100">
        <f>+'27 SEMANA'!F11</f>
        <v>0</v>
      </c>
      <c r="AG171" s="100">
        <f>+'27 SEMANA'!G11</f>
        <v>0</v>
      </c>
      <c r="AH171" s="100">
        <f>+'27 SEMANA'!H11</f>
        <v>0</v>
      </c>
      <c r="AI171" s="100">
        <f>+'27 SEMANA'!I11</f>
        <v>0</v>
      </c>
      <c r="AJ171" s="100">
        <f>+'27 SEMANA'!J11</f>
        <v>0</v>
      </c>
      <c r="AK171" s="100">
        <f>+'27 SEMANA'!K11</f>
        <v>0</v>
      </c>
      <c r="AL171" s="99"/>
      <c r="AM171" s="99"/>
      <c r="AN171" s="99"/>
      <c r="AO171" s="99"/>
      <c r="AP171" s="99"/>
      <c r="AQ171" s="99"/>
      <c r="AR171" s="99"/>
      <c r="AS171" s="99"/>
      <c r="AT171" s="99"/>
      <c r="AU171" s="99"/>
      <c r="AV171" s="99"/>
      <c r="AW171" s="99"/>
      <c r="AX171" s="99"/>
      <c r="AY171" s="99"/>
      <c r="AZ171" s="99"/>
      <c r="BA171" s="99"/>
      <c r="BB171" s="99"/>
      <c r="BC171" s="99"/>
      <c r="BD171" s="99"/>
    </row>
    <row r="172" spans="1:56" x14ac:dyDescent="0.25">
      <c r="A172" s="37">
        <f>'27 SEMANA'!A12</f>
        <v>0</v>
      </c>
      <c r="B172" s="38">
        <f>'27 SEMANA'!B12</f>
        <v>0</v>
      </c>
      <c r="C172" s="38">
        <f>'27 SEMANA'!C12</f>
        <v>0</v>
      </c>
      <c r="D172" s="38">
        <f>'27 SEMANA'!D12</f>
        <v>0</v>
      </c>
      <c r="E172" s="100"/>
      <c r="F172" s="100"/>
      <c r="G172" s="99"/>
      <c r="H172" s="101"/>
      <c r="I172" s="102"/>
      <c r="J172" s="103"/>
      <c r="K172" s="99"/>
      <c r="L172" s="99"/>
      <c r="M172" s="99"/>
      <c r="N172" s="99"/>
      <c r="O172" s="99"/>
      <c r="P172" s="99"/>
      <c r="Q172" s="99"/>
      <c r="R172" s="99"/>
      <c r="S172" s="99"/>
      <c r="T172" s="99"/>
      <c r="U172" s="99"/>
      <c r="V172" s="99"/>
      <c r="W172" s="99"/>
      <c r="X172" s="99"/>
      <c r="Y172" s="99"/>
      <c r="Z172" s="99"/>
      <c r="AA172" s="99"/>
      <c r="AB172" s="99"/>
      <c r="AC172" s="99"/>
      <c r="AD172" s="99"/>
      <c r="AE172" s="99"/>
      <c r="AF172" s="100">
        <f>+'27 SEMANA'!F12</f>
        <v>0</v>
      </c>
      <c r="AG172" s="100">
        <f>+'27 SEMANA'!G12</f>
        <v>0</v>
      </c>
      <c r="AH172" s="100">
        <f>+'27 SEMANA'!H12</f>
        <v>0</v>
      </c>
      <c r="AI172" s="100">
        <f>+'27 SEMANA'!I12</f>
        <v>0</v>
      </c>
      <c r="AJ172" s="100">
        <f>+'27 SEMANA'!J12</f>
        <v>0</v>
      </c>
      <c r="AK172" s="100">
        <f>+'27 SEMANA'!K12</f>
        <v>0</v>
      </c>
      <c r="AL172" s="99"/>
      <c r="AM172" s="99"/>
      <c r="AN172" s="99"/>
      <c r="AO172" s="99"/>
      <c r="AP172" s="99"/>
      <c r="AQ172" s="99"/>
      <c r="AR172" s="99"/>
      <c r="AS172" s="99"/>
      <c r="AT172" s="99"/>
      <c r="AU172" s="99"/>
      <c r="AV172" s="99"/>
      <c r="AW172" s="99"/>
      <c r="AX172" s="99"/>
      <c r="AY172" s="99"/>
      <c r="AZ172" s="99"/>
      <c r="BA172" s="99"/>
      <c r="BB172" s="99"/>
      <c r="BC172" s="99"/>
      <c r="BD172" s="99"/>
    </row>
    <row r="173" spans="1:56" x14ac:dyDescent="0.25">
      <c r="A173" s="37">
        <f>'27 SEMANA'!A13</f>
        <v>0</v>
      </c>
      <c r="B173" s="38">
        <f>'27 SEMANA'!B13</f>
        <v>0</v>
      </c>
      <c r="C173" s="38">
        <f>'27 SEMANA'!C13</f>
        <v>0</v>
      </c>
      <c r="D173" s="38">
        <f>'27 SEMANA'!D13</f>
        <v>0</v>
      </c>
      <c r="E173" s="100"/>
      <c r="F173" s="100"/>
      <c r="G173" s="99"/>
      <c r="H173" s="101"/>
      <c r="I173" s="102"/>
      <c r="J173" s="103"/>
      <c r="K173" s="99"/>
      <c r="L173" s="99"/>
      <c r="M173" s="99"/>
      <c r="N173" s="99"/>
      <c r="O173" s="99"/>
      <c r="P173" s="99"/>
      <c r="Q173" s="99"/>
      <c r="R173" s="99"/>
      <c r="S173" s="99"/>
      <c r="T173" s="99"/>
      <c r="U173" s="99"/>
      <c r="V173" s="99"/>
      <c r="W173" s="99"/>
      <c r="X173" s="99"/>
      <c r="Y173" s="99"/>
      <c r="Z173" s="99"/>
      <c r="AA173" s="99"/>
      <c r="AB173" s="99"/>
      <c r="AC173" s="99"/>
      <c r="AD173" s="99"/>
      <c r="AE173" s="99"/>
      <c r="AF173" s="100">
        <f>+'27 SEMANA'!F13</f>
        <v>0</v>
      </c>
      <c r="AG173" s="100">
        <f>+'27 SEMANA'!G13</f>
        <v>0</v>
      </c>
      <c r="AH173" s="100">
        <f>+'27 SEMANA'!H13</f>
        <v>0</v>
      </c>
      <c r="AI173" s="100">
        <f>+'27 SEMANA'!I13</f>
        <v>0</v>
      </c>
      <c r="AJ173" s="100">
        <f>+'27 SEMANA'!J13</f>
        <v>0</v>
      </c>
      <c r="AK173" s="100">
        <f>+'27 SEMANA'!K13</f>
        <v>0</v>
      </c>
      <c r="AL173" s="99"/>
      <c r="AM173" s="99"/>
      <c r="AN173" s="99"/>
      <c r="AO173" s="99"/>
      <c r="AP173" s="99"/>
      <c r="AQ173" s="99"/>
      <c r="AR173" s="99"/>
      <c r="AS173" s="99"/>
      <c r="AT173" s="99"/>
      <c r="AU173" s="99"/>
      <c r="AV173" s="99"/>
      <c r="AW173" s="99"/>
      <c r="AX173" s="99"/>
      <c r="AY173" s="99"/>
      <c r="AZ173" s="99"/>
      <c r="BA173" s="99"/>
      <c r="BB173" s="99"/>
      <c r="BC173" s="99"/>
      <c r="BD173" s="99"/>
    </row>
    <row r="174" spans="1:56" x14ac:dyDescent="0.25">
      <c r="A174" s="37">
        <f>'27 SEMANA'!A14</f>
        <v>0</v>
      </c>
      <c r="B174" s="38">
        <f>'27 SEMANA'!B14</f>
        <v>0</v>
      </c>
      <c r="C174" s="38">
        <f>'27 SEMANA'!C14</f>
        <v>0</v>
      </c>
      <c r="D174" s="38">
        <f>'27 SEMANA'!D14</f>
        <v>0</v>
      </c>
      <c r="E174" s="100"/>
      <c r="F174" s="100"/>
      <c r="G174" s="99"/>
      <c r="H174" s="101"/>
      <c r="I174" s="102"/>
      <c r="J174" s="103"/>
      <c r="K174" s="99"/>
      <c r="L174" s="99"/>
      <c r="M174" s="99"/>
      <c r="N174" s="99"/>
      <c r="O174" s="99"/>
      <c r="P174" s="99"/>
      <c r="Q174" s="99"/>
      <c r="R174" s="99"/>
      <c r="S174" s="99"/>
      <c r="T174" s="99"/>
      <c r="U174" s="99"/>
      <c r="V174" s="99"/>
      <c r="W174" s="99"/>
      <c r="X174" s="99"/>
      <c r="Y174" s="99"/>
      <c r="Z174" s="99"/>
      <c r="AA174" s="99"/>
      <c r="AB174" s="99"/>
      <c r="AC174" s="99"/>
      <c r="AD174" s="99"/>
      <c r="AE174" s="99"/>
      <c r="AF174" s="100">
        <f>+'27 SEMANA'!F14</f>
        <v>0</v>
      </c>
      <c r="AG174" s="100">
        <f>+'27 SEMANA'!G14</f>
        <v>0</v>
      </c>
      <c r="AH174" s="100">
        <f>+'27 SEMANA'!H14</f>
        <v>0</v>
      </c>
      <c r="AI174" s="100">
        <f>+'27 SEMANA'!I14</f>
        <v>0</v>
      </c>
      <c r="AJ174" s="100">
        <f>+'27 SEMANA'!J14</f>
        <v>0</v>
      </c>
      <c r="AK174" s="100">
        <f>+'27 SEMANA'!K14</f>
        <v>0</v>
      </c>
      <c r="AL174" s="99"/>
      <c r="AM174" s="99"/>
      <c r="AN174" s="99"/>
      <c r="AO174" s="99"/>
      <c r="AP174" s="99"/>
      <c r="AQ174" s="99"/>
      <c r="AR174" s="99"/>
      <c r="AS174" s="99"/>
      <c r="AT174" s="99"/>
      <c r="AU174" s="99"/>
      <c r="AV174" s="99"/>
      <c r="AW174" s="99"/>
      <c r="AX174" s="99"/>
      <c r="AY174" s="99"/>
      <c r="AZ174" s="99"/>
      <c r="BA174" s="99"/>
      <c r="BB174" s="99"/>
      <c r="BC174" s="99"/>
      <c r="BD174" s="99"/>
    </row>
    <row r="175" spans="1:56" x14ac:dyDescent="0.25">
      <c r="A175" s="37">
        <f>'28 SEMANA '!A9</f>
        <v>0</v>
      </c>
      <c r="B175" s="38">
        <f>'28 SEMANA '!B9</f>
        <v>0</v>
      </c>
      <c r="C175" s="38">
        <f>'28 SEMANA '!C9</f>
        <v>0</v>
      </c>
      <c r="D175" s="38">
        <f>'28 SEMANA '!D9</f>
        <v>0</v>
      </c>
      <c r="E175" s="100"/>
      <c r="F175" s="100"/>
      <c r="G175" s="99"/>
      <c r="H175" s="101"/>
      <c r="I175" s="102"/>
      <c r="J175" s="103"/>
      <c r="K175" s="99"/>
      <c r="L175" s="99"/>
      <c r="M175" s="99"/>
      <c r="N175" s="99"/>
      <c r="O175" s="99"/>
      <c r="P175" s="99"/>
      <c r="Q175" s="99"/>
      <c r="R175" s="99"/>
      <c r="S175" s="99"/>
      <c r="T175" s="99"/>
      <c r="U175" s="99"/>
      <c r="V175" s="99"/>
      <c r="W175" s="99"/>
      <c r="X175" s="99"/>
      <c r="Y175" s="99"/>
      <c r="Z175" s="99"/>
      <c r="AA175" s="99"/>
      <c r="AB175" s="99"/>
      <c r="AC175" s="99"/>
      <c r="AD175" s="99"/>
      <c r="AE175" s="99"/>
      <c r="AF175" s="99"/>
      <c r="AG175" s="100">
        <f>+'28 SEMANA '!F9</f>
        <v>0</v>
      </c>
      <c r="AH175" s="100">
        <f>+'28 SEMANA '!G9</f>
        <v>0</v>
      </c>
      <c r="AI175" s="100">
        <f>+'28 SEMANA '!H9</f>
        <v>0</v>
      </c>
      <c r="AJ175" s="100">
        <f>+'28 SEMANA '!I9</f>
        <v>0</v>
      </c>
      <c r="AK175" s="100">
        <f>+'28 SEMANA '!J9</f>
        <v>0</v>
      </c>
      <c r="AL175" s="100">
        <f>+'28 SEMANA '!K9</f>
        <v>0</v>
      </c>
      <c r="AM175" s="99"/>
      <c r="AN175" s="99"/>
      <c r="AO175" s="99"/>
      <c r="AP175" s="99"/>
      <c r="AQ175" s="99"/>
      <c r="AR175" s="99"/>
      <c r="AS175" s="99"/>
      <c r="AT175" s="99"/>
      <c r="AU175" s="99"/>
      <c r="AV175" s="99"/>
      <c r="AW175" s="99"/>
      <c r="AX175" s="99"/>
      <c r="AY175" s="99"/>
      <c r="AZ175" s="99"/>
      <c r="BA175" s="99"/>
      <c r="BB175" s="99"/>
      <c r="BC175" s="99"/>
      <c r="BD175" s="99"/>
    </row>
    <row r="176" spans="1:56" x14ac:dyDescent="0.25">
      <c r="A176" s="37">
        <f>'28 SEMANA '!A10</f>
        <v>0</v>
      </c>
      <c r="B176" s="38">
        <f>'28 SEMANA '!B10</f>
        <v>0</v>
      </c>
      <c r="C176" s="38">
        <f>'28 SEMANA '!C10</f>
        <v>0</v>
      </c>
      <c r="D176" s="38">
        <f>'28 SEMANA '!D10</f>
        <v>0</v>
      </c>
      <c r="E176" s="100"/>
      <c r="F176" s="100"/>
      <c r="G176" s="99"/>
      <c r="H176" s="101"/>
      <c r="I176" s="102"/>
      <c r="J176" s="103"/>
      <c r="K176" s="99"/>
      <c r="L176" s="99"/>
      <c r="M176" s="99"/>
      <c r="N176" s="99"/>
      <c r="O176" s="99"/>
      <c r="P176" s="99"/>
      <c r="Q176" s="99"/>
      <c r="R176" s="99"/>
      <c r="S176" s="99"/>
      <c r="T176" s="99"/>
      <c r="U176" s="99"/>
      <c r="V176" s="99"/>
      <c r="W176" s="99"/>
      <c r="X176" s="99"/>
      <c r="Y176" s="99"/>
      <c r="Z176" s="99"/>
      <c r="AA176" s="99"/>
      <c r="AB176" s="99"/>
      <c r="AC176" s="99"/>
      <c r="AD176" s="99"/>
      <c r="AE176" s="99"/>
      <c r="AF176" s="99"/>
      <c r="AG176" s="100">
        <f>+'28 SEMANA '!F10</f>
        <v>0</v>
      </c>
      <c r="AH176" s="100">
        <f>+'28 SEMANA '!G10</f>
        <v>0</v>
      </c>
      <c r="AI176" s="100">
        <f>+'28 SEMANA '!H10</f>
        <v>0</v>
      </c>
      <c r="AJ176" s="100">
        <f>+'28 SEMANA '!I10</f>
        <v>0</v>
      </c>
      <c r="AK176" s="100">
        <f>+'28 SEMANA '!J10</f>
        <v>0</v>
      </c>
      <c r="AL176" s="100">
        <f>+'28 SEMANA '!K10</f>
        <v>0</v>
      </c>
      <c r="AM176" s="99"/>
      <c r="AN176" s="99"/>
      <c r="AO176" s="99"/>
      <c r="AP176" s="99"/>
      <c r="AQ176" s="99"/>
      <c r="AR176" s="99"/>
      <c r="AS176" s="99"/>
      <c r="AT176" s="99"/>
      <c r="AU176" s="99"/>
      <c r="AV176" s="99"/>
      <c r="AW176" s="99"/>
      <c r="AX176" s="99"/>
      <c r="AY176" s="99"/>
      <c r="AZ176" s="99"/>
      <c r="BA176" s="99"/>
      <c r="BB176" s="99"/>
      <c r="BC176" s="99"/>
      <c r="BD176" s="99"/>
    </row>
    <row r="177" spans="1:56" x14ac:dyDescent="0.25">
      <c r="A177" s="37">
        <f>'28 SEMANA '!A11</f>
        <v>0</v>
      </c>
      <c r="B177" s="38">
        <f>'28 SEMANA '!B11</f>
        <v>0</v>
      </c>
      <c r="C177" s="38">
        <f>'28 SEMANA '!C11</f>
        <v>0</v>
      </c>
      <c r="D177" s="38">
        <f>'28 SEMANA '!D11</f>
        <v>0</v>
      </c>
      <c r="E177" s="100"/>
      <c r="F177" s="100"/>
      <c r="G177" s="99"/>
      <c r="H177" s="101"/>
      <c r="I177" s="102"/>
      <c r="J177" s="103"/>
      <c r="K177" s="99"/>
      <c r="L177" s="99"/>
      <c r="M177" s="99"/>
      <c r="N177" s="99"/>
      <c r="O177" s="99"/>
      <c r="P177" s="99"/>
      <c r="Q177" s="99"/>
      <c r="R177" s="99"/>
      <c r="S177" s="99"/>
      <c r="T177" s="99"/>
      <c r="U177" s="99"/>
      <c r="V177" s="99"/>
      <c r="W177" s="99"/>
      <c r="X177" s="99"/>
      <c r="Y177" s="99"/>
      <c r="Z177" s="99"/>
      <c r="AA177" s="99"/>
      <c r="AB177" s="99"/>
      <c r="AC177" s="99"/>
      <c r="AD177" s="99"/>
      <c r="AE177" s="99"/>
      <c r="AF177" s="99"/>
      <c r="AG177" s="100">
        <f>+'28 SEMANA '!F11</f>
        <v>0</v>
      </c>
      <c r="AH177" s="100">
        <f>+'28 SEMANA '!G11</f>
        <v>0</v>
      </c>
      <c r="AI177" s="100">
        <f>+'28 SEMANA '!H11</f>
        <v>0</v>
      </c>
      <c r="AJ177" s="100">
        <f>+'28 SEMANA '!I11</f>
        <v>0</v>
      </c>
      <c r="AK177" s="100">
        <f>+'28 SEMANA '!J11</f>
        <v>0</v>
      </c>
      <c r="AL177" s="100">
        <f>+'28 SEMANA '!K11</f>
        <v>0</v>
      </c>
      <c r="AM177" s="99"/>
      <c r="AN177" s="99"/>
      <c r="AO177" s="99"/>
      <c r="AP177" s="99"/>
      <c r="AQ177" s="99"/>
      <c r="AR177" s="99"/>
      <c r="AS177" s="99"/>
      <c r="AT177" s="99"/>
      <c r="AU177" s="99"/>
      <c r="AV177" s="99"/>
      <c r="AW177" s="99"/>
      <c r="AX177" s="99"/>
      <c r="AY177" s="99"/>
      <c r="AZ177" s="99"/>
      <c r="BA177" s="99"/>
      <c r="BB177" s="99"/>
      <c r="BC177" s="99"/>
      <c r="BD177" s="99"/>
    </row>
    <row r="178" spans="1:56" x14ac:dyDescent="0.25">
      <c r="A178" s="37">
        <f>'28 SEMANA '!A12</f>
        <v>0</v>
      </c>
      <c r="B178" s="38">
        <f>'28 SEMANA '!B12</f>
        <v>0</v>
      </c>
      <c r="C178" s="38">
        <f>'28 SEMANA '!C12</f>
        <v>0</v>
      </c>
      <c r="D178" s="38">
        <f>'28 SEMANA '!D12</f>
        <v>0</v>
      </c>
      <c r="E178" s="100"/>
      <c r="F178" s="100"/>
      <c r="G178" s="99"/>
      <c r="H178" s="101"/>
      <c r="I178" s="102"/>
      <c r="J178" s="103"/>
      <c r="K178" s="99"/>
      <c r="L178" s="99"/>
      <c r="M178" s="99"/>
      <c r="N178" s="99"/>
      <c r="O178" s="99"/>
      <c r="P178" s="99"/>
      <c r="Q178" s="99"/>
      <c r="R178" s="99"/>
      <c r="S178" s="99"/>
      <c r="T178" s="99"/>
      <c r="U178" s="99"/>
      <c r="V178" s="99"/>
      <c r="W178" s="99"/>
      <c r="X178" s="99"/>
      <c r="Y178" s="99"/>
      <c r="Z178" s="99"/>
      <c r="AA178" s="99"/>
      <c r="AB178" s="99"/>
      <c r="AC178" s="99"/>
      <c r="AD178" s="99"/>
      <c r="AE178" s="99"/>
      <c r="AF178" s="99"/>
      <c r="AG178" s="100">
        <f>+'28 SEMANA '!F12</f>
        <v>0</v>
      </c>
      <c r="AH178" s="100">
        <f>+'28 SEMANA '!G12</f>
        <v>0</v>
      </c>
      <c r="AI178" s="100">
        <f>+'28 SEMANA '!H12</f>
        <v>0</v>
      </c>
      <c r="AJ178" s="100">
        <f>+'28 SEMANA '!I12</f>
        <v>0</v>
      </c>
      <c r="AK178" s="100">
        <f>+'28 SEMANA '!J12</f>
        <v>0</v>
      </c>
      <c r="AL178" s="100">
        <f>+'28 SEMANA '!K12</f>
        <v>0</v>
      </c>
      <c r="AM178" s="99"/>
      <c r="AN178" s="99"/>
      <c r="AO178" s="99"/>
      <c r="AP178" s="99"/>
      <c r="AQ178" s="99"/>
      <c r="AR178" s="99"/>
      <c r="AS178" s="99"/>
      <c r="AT178" s="99"/>
      <c r="AU178" s="99"/>
      <c r="AV178" s="99"/>
      <c r="AW178" s="99"/>
      <c r="AX178" s="99"/>
      <c r="AY178" s="99"/>
      <c r="AZ178" s="99"/>
      <c r="BA178" s="99"/>
      <c r="BB178" s="99"/>
      <c r="BC178" s="99"/>
      <c r="BD178" s="99"/>
    </row>
    <row r="179" spans="1:56" x14ac:dyDescent="0.25">
      <c r="A179" s="37">
        <f>'28 SEMANA '!A13</f>
        <v>0</v>
      </c>
      <c r="B179" s="38">
        <f>'28 SEMANA '!B13</f>
        <v>0</v>
      </c>
      <c r="C179" s="38">
        <f>'28 SEMANA '!C13</f>
        <v>0</v>
      </c>
      <c r="D179" s="38">
        <f>'28 SEMANA '!D13</f>
        <v>0</v>
      </c>
      <c r="E179" s="100"/>
      <c r="F179" s="100"/>
      <c r="G179" s="99"/>
      <c r="H179" s="101"/>
      <c r="I179" s="102"/>
      <c r="J179" s="103"/>
      <c r="K179" s="99"/>
      <c r="L179" s="99"/>
      <c r="M179" s="99"/>
      <c r="N179" s="99"/>
      <c r="O179" s="99"/>
      <c r="P179" s="99"/>
      <c r="Q179" s="99"/>
      <c r="R179" s="99"/>
      <c r="S179" s="99"/>
      <c r="T179" s="99"/>
      <c r="U179" s="99"/>
      <c r="V179" s="99"/>
      <c r="W179" s="99"/>
      <c r="X179" s="99"/>
      <c r="Y179" s="99"/>
      <c r="Z179" s="99"/>
      <c r="AA179" s="99"/>
      <c r="AB179" s="99"/>
      <c r="AC179" s="99"/>
      <c r="AD179" s="99"/>
      <c r="AE179" s="99"/>
      <c r="AF179" s="99"/>
      <c r="AG179" s="100">
        <f>+'28 SEMANA '!F13</f>
        <v>0</v>
      </c>
      <c r="AH179" s="100">
        <f>+'28 SEMANA '!G13</f>
        <v>0</v>
      </c>
      <c r="AI179" s="100">
        <f>+'28 SEMANA '!H13</f>
        <v>0</v>
      </c>
      <c r="AJ179" s="100">
        <f>+'28 SEMANA '!I13</f>
        <v>0</v>
      </c>
      <c r="AK179" s="100">
        <f>+'28 SEMANA '!J13</f>
        <v>0</v>
      </c>
      <c r="AL179" s="100">
        <f>+'28 SEMANA '!K13</f>
        <v>0</v>
      </c>
      <c r="AM179" s="99"/>
      <c r="AN179" s="99"/>
      <c r="AO179" s="99"/>
      <c r="AP179" s="99"/>
      <c r="AQ179" s="99"/>
      <c r="AR179" s="99"/>
      <c r="AS179" s="99"/>
      <c r="AT179" s="99"/>
      <c r="AU179" s="99"/>
      <c r="AV179" s="99"/>
      <c r="AW179" s="99"/>
      <c r="AX179" s="99"/>
      <c r="AY179" s="99"/>
      <c r="AZ179" s="99"/>
      <c r="BA179" s="99"/>
      <c r="BB179" s="99"/>
      <c r="BC179" s="99"/>
      <c r="BD179" s="99"/>
    </row>
    <row r="180" spans="1:56" x14ac:dyDescent="0.25">
      <c r="A180" s="37">
        <f>'28 SEMANA '!A14</f>
        <v>0</v>
      </c>
      <c r="B180" s="38">
        <f>'28 SEMANA '!B14</f>
        <v>0</v>
      </c>
      <c r="C180" s="38">
        <f>'28 SEMANA '!C14</f>
        <v>0</v>
      </c>
      <c r="D180" s="38">
        <f>'28 SEMANA '!D14</f>
        <v>0</v>
      </c>
      <c r="E180" s="100"/>
      <c r="F180" s="100"/>
      <c r="G180" s="99"/>
      <c r="H180" s="101"/>
      <c r="I180" s="102"/>
      <c r="J180" s="103"/>
      <c r="K180" s="99"/>
      <c r="L180" s="99"/>
      <c r="M180" s="99"/>
      <c r="N180" s="99"/>
      <c r="O180" s="99"/>
      <c r="P180" s="99"/>
      <c r="Q180" s="99"/>
      <c r="R180" s="99"/>
      <c r="S180" s="99"/>
      <c r="T180" s="99"/>
      <c r="U180" s="99"/>
      <c r="V180" s="99"/>
      <c r="W180" s="99"/>
      <c r="X180" s="99"/>
      <c r="Y180" s="99"/>
      <c r="Z180" s="99"/>
      <c r="AA180" s="99"/>
      <c r="AB180" s="99"/>
      <c r="AC180" s="99"/>
      <c r="AD180" s="99"/>
      <c r="AE180" s="99"/>
      <c r="AF180" s="99"/>
      <c r="AG180" s="100">
        <f>+'28 SEMANA '!F14</f>
        <v>0</v>
      </c>
      <c r="AH180" s="100">
        <f>+'28 SEMANA '!G14</f>
        <v>0</v>
      </c>
      <c r="AI180" s="100">
        <f>+'28 SEMANA '!H14</f>
        <v>0</v>
      </c>
      <c r="AJ180" s="100">
        <f>+'28 SEMANA '!I14</f>
        <v>0</v>
      </c>
      <c r="AK180" s="100">
        <f>+'28 SEMANA '!J14</f>
        <v>0</v>
      </c>
      <c r="AL180" s="100">
        <f>+'28 SEMANA '!K14</f>
        <v>0</v>
      </c>
      <c r="AM180" s="99"/>
      <c r="AN180" s="99"/>
      <c r="AO180" s="99"/>
      <c r="AP180" s="99"/>
      <c r="AQ180" s="99"/>
      <c r="AR180" s="99"/>
      <c r="AS180" s="99"/>
      <c r="AT180" s="99"/>
      <c r="AU180" s="99"/>
      <c r="AV180" s="99"/>
      <c r="AW180" s="99"/>
      <c r="AX180" s="99"/>
      <c r="AY180" s="99"/>
      <c r="AZ180" s="99"/>
      <c r="BA180" s="99"/>
      <c r="BB180" s="99"/>
      <c r="BC180" s="99"/>
      <c r="BD180" s="99"/>
    </row>
    <row r="181" spans="1:56" x14ac:dyDescent="0.25">
      <c r="A181" s="37">
        <f>'29 SEMANA '!A9</f>
        <v>0</v>
      </c>
      <c r="B181" s="38">
        <f>'29 SEMANA '!B9</f>
        <v>0</v>
      </c>
      <c r="C181" s="38">
        <f>'29 SEMANA '!C9</f>
        <v>0</v>
      </c>
      <c r="D181" s="38">
        <f>'29 SEMANA '!D9</f>
        <v>0</v>
      </c>
      <c r="E181" s="100"/>
      <c r="F181" s="100"/>
      <c r="G181" s="99"/>
      <c r="H181" s="101"/>
      <c r="I181" s="102"/>
      <c r="J181" s="103"/>
      <c r="K181" s="99"/>
      <c r="L181" s="99"/>
      <c r="M181" s="99"/>
      <c r="N181" s="99"/>
      <c r="O181" s="99"/>
      <c r="P181" s="99"/>
      <c r="Q181" s="99"/>
      <c r="R181" s="99"/>
      <c r="S181" s="99"/>
      <c r="T181" s="99"/>
      <c r="U181" s="99"/>
      <c r="V181" s="99"/>
      <c r="W181" s="99"/>
      <c r="X181" s="99"/>
      <c r="Y181" s="99"/>
      <c r="Z181" s="99"/>
      <c r="AA181" s="99"/>
      <c r="AB181" s="99"/>
      <c r="AC181" s="99"/>
      <c r="AD181" s="99"/>
      <c r="AE181" s="99"/>
      <c r="AF181" s="99"/>
      <c r="AG181" s="99"/>
      <c r="AH181" s="100">
        <f>+'29 SEMANA '!F9</f>
        <v>0</v>
      </c>
      <c r="AI181" s="100">
        <f>+'29 SEMANA '!G9</f>
        <v>0</v>
      </c>
      <c r="AJ181" s="100">
        <f>+'29 SEMANA '!H9</f>
        <v>0</v>
      </c>
      <c r="AK181" s="100">
        <f>+'29 SEMANA '!I9</f>
        <v>0</v>
      </c>
      <c r="AL181" s="100">
        <f>+'29 SEMANA '!J9</f>
        <v>0</v>
      </c>
      <c r="AM181" s="100">
        <f>+'29 SEMANA '!K9</f>
        <v>0</v>
      </c>
      <c r="AN181" s="99"/>
      <c r="AO181" s="99"/>
      <c r="AP181" s="99"/>
      <c r="AQ181" s="99"/>
      <c r="AR181" s="99"/>
      <c r="AS181" s="99"/>
      <c r="AT181" s="99"/>
      <c r="AU181" s="99"/>
      <c r="AV181" s="99"/>
      <c r="AW181" s="99"/>
      <c r="AX181" s="99"/>
      <c r="AY181" s="99"/>
      <c r="AZ181" s="99"/>
      <c r="BA181" s="99"/>
      <c r="BB181" s="99"/>
      <c r="BC181" s="99"/>
      <c r="BD181" s="99"/>
    </row>
    <row r="182" spans="1:56" x14ac:dyDescent="0.25">
      <c r="A182" s="37">
        <f>'29 SEMANA '!A10</f>
        <v>0</v>
      </c>
      <c r="B182" s="38">
        <f>'29 SEMANA '!B10</f>
        <v>0</v>
      </c>
      <c r="C182" s="38">
        <f>'29 SEMANA '!C10</f>
        <v>0</v>
      </c>
      <c r="D182" s="38">
        <f>'29 SEMANA '!D10</f>
        <v>0</v>
      </c>
      <c r="E182" s="100"/>
      <c r="F182" s="100"/>
      <c r="G182" s="99"/>
      <c r="H182" s="101"/>
      <c r="I182" s="102"/>
      <c r="J182" s="103"/>
      <c r="K182" s="99"/>
      <c r="L182" s="99"/>
      <c r="M182" s="99"/>
      <c r="N182" s="99"/>
      <c r="O182" s="99"/>
      <c r="P182" s="99"/>
      <c r="Q182" s="99"/>
      <c r="R182" s="99"/>
      <c r="S182" s="99"/>
      <c r="T182" s="99"/>
      <c r="U182" s="99"/>
      <c r="V182" s="99"/>
      <c r="W182" s="99"/>
      <c r="X182" s="99"/>
      <c r="Y182" s="99"/>
      <c r="Z182" s="99"/>
      <c r="AA182" s="99"/>
      <c r="AB182" s="99"/>
      <c r="AC182" s="99"/>
      <c r="AD182" s="99"/>
      <c r="AE182" s="99"/>
      <c r="AF182" s="99"/>
      <c r="AG182" s="99"/>
      <c r="AH182" s="100">
        <f>+'29 SEMANA '!F10</f>
        <v>0</v>
      </c>
      <c r="AI182" s="100">
        <f>+'29 SEMANA '!G10</f>
        <v>0</v>
      </c>
      <c r="AJ182" s="100">
        <f>+'29 SEMANA '!H10</f>
        <v>0</v>
      </c>
      <c r="AK182" s="100">
        <f>+'29 SEMANA '!I10</f>
        <v>0</v>
      </c>
      <c r="AL182" s="100">
        <f>+'29 SEMANA '!J10</f>
        <v>0</v>
      </c>
      <c r="AM182" s="100">
        <f>+'29 SEMANA '!K10</f>
        <v>0</v>
      </c>
      <c r="AN182" s="99"/>
      <c r="AO182" s="99"/>
      <c r="AP182" s="99"/>
      <c r="AQ182" s="99"/>
      <c r="AR182" s="99"/>
      <c r="AS182" s="99"/>
      <c r="AT182" s="99"/>
      <c r="AU182" s="99"/>
      <c r="AV182" s="99"/>
      <c r="AW182" s="99"/>
      <c r="AX182" s="99"/>
      <c r="AY182" s="99"/>
      <c r="AZ182" s="99"/>
      <c r="BA182" s="99"/>
      <c r="BB182" s="99"/>
      <c r="BC182" s="99"/>
      <c r="BD182" s="99"/>
    </row>
    <row r="183" spans="1:56" x14ac:dyDescent="0.25">
      <c r="A183" s="37">
        <f>'29 SEMANA '!A11</f>
        <v>0</v>
      </c>
      <c r="B183" s="38">
        <f>'29 SEMANA '!B11</f>
        <v>0</v>
      </c>
      <c r="C183" s="38">
        <f>'29 SEMANA '!C11</f>
        <v>0</v>
      </c>
      <c r="D183" s="38">
        <f>'29 SEMANA '!D11</f>
        <v>0</v>
      </c>
      <c r="E183" s="100"/>
      <c r="F183" s="100"/>
      <c r="G183" s="99"/>
      <c r="H183" s="101"/>
      <c r="I183" s="102"/>
      <c r="J183" s="103"/>
      <c r="K183" s="99"/>
      <c r="L183" s="99"/>
      <c r="M183" s="99"/>
      <c r="N183" s="99"/>
      <c r="O183" s="99"/>
      <c r="P183" s="99"/>
      <c r="Q183" s="99"/>
      <c r="R183" s="99"/>
      <c r="S183" s="99"/>
      <c r="T183" s="99"/>
      <c r="U183" s="99"/>
      <c r="V183" s="99"/>
      <c r="W183" s="99"/>
      <c r="X183" s="99"/>
      <c r="Y183" s="99"/>
      <c r="Z183" s="99"/>
      <c r="AA183" s="99"/>
      <c r="AB183" s="99"/>
      <c r="AC183" s="99"/>
      <c r="AD183" s="99"/>
      <c r="AE183" s="99"/>
      <c r="AF183" s="99"/>
      <c r="AG183" s="99"/>
      <c r="AH183" s="100">
        <f>+'29 SEMANA '!F11</f>
        <v>0</v>
      </c>
      <c r="AI183" s="100">
        <f>+'29 SEMANA '!G11</f>
        <v>0</v>
      </c>
      <c r="AJ183" s="100">
        <f>+'29 SEMANA '!H11</f>
        <v>0</v>
      </c>
      <c r="AK183" s="100">
        <f>+'29 SEMANA '!I11</f>
        <v>0</v>
      </c>
      <c r="AL183" s="100">
        <f>+'29 SEMANA '!J11</f>
        <v>0</v>
      </c>
      <c r="AM183" s="100">
        <f>+'29 SEMANA '!K11</f>
        <v>0</v>
      </c>
      <c r="AN183" s="99"/>
      <c r="AO183" s="99"/>
      <c r="AP183" s="99"/>
      <c r="AQ183" s="99"/>
      <c r="AR183" s="99"/>
      <c r="AS183" s="99"/>
      <c r="AT183" s="99"/>
      <c r="AU183" s="99"/>
      <c r="AV183" s="99"/>
      <c r="AW183" s="99"/>
      <c r="AX183" s="99"/>
      <c r="AY183" s="99"/>
      <c r="AZ183" s="99"/>
      <c r="BA183" s="99"/>
      <c r="BB183" s="99"/>
      <c r="BC183" s="99"/>
      <c r="BD183" s="99"/>
    </row>
    <row r="184" spans="1:56" x14ac:dyDescent="0.25">
      <c r="A184" s="37">
        <f>'29 SEMANA '!A12</f>
        <v>0</v>
      </c>
      <c r="B184" s="38">
        <f>'29 SEMANA '!B12</f>
        <v>0</v>
      </c>
      <c r="C184" s="38">
        <f>'29 SEMANA '!C12</f>
        <v>0</v>
      </c>
      <c r="D184" s="38">
        <f>'29 SEMANA '!D12</f>
        <v>0</v>
      </c>
      <c r="E184" s="100"/>
      <c r="F184" s="100"/>
      <c r="G184" s="99"/>
      <c r="H184" s="101"/>
      <c r="I184" s="102"/>
      <c r="J184" s="103"/>
      <c r="K184" s="99"/>
      <c r="L184" s="99"/>
      <c r="M184" s="99"/>
      <c r="N184" s="99"/>
      <c r="O184" s="99"/>
      <c r="P184" s="99"/>
      <c r="Q184" s="99"/>
      <c r="R184" s="99"/>
      <c r="S184" s="99"/>
      <c r="T184" s="99"/>
      <c r="U184" s="99"/>
      <c r="V184" s="99"/>
      <c r="W184" s="99"/>
      <c r="X184" s="99"/>
      <c r="Y184" s="99"/>
      <c r="Z184" s="99"/>
      <c r="AA184" s="99"/>
      <c r="AB184" s="99"/>
      <c r="AC184" s="99"/>
      <c r="AD184" s="99"/>
      <c r="AE184" s="99"/>
      <c r="AF184" s="99"/>
      <c r="AG184" s="99"/>
      <c r="AH184" s="100">
        <f>+'29 SEMANA '!F12</f>
        <v>0</v>
      </c>
      <c r="AI184" s="100">
        <f>+'29 SEMANA '!G12</f>
        <v>0</v>
      </c>
      <c r="AJ184" s="100">
        <f>+'29 SEMANA '!H12</f>
        <v>0</v>
      </c>
      <c r="AK184" s="100">
        <f>+'29 SEMANA '!I12</f>
        <v>0</v>
      </c>
      <c r="AL184" s="100">
        <f>+'29 SEMANA '!J12</f>
        <v>0</v>
      </c>
      <c r="AM184" s="100">
        <f>+'29 SEMANA '!K12</f>
        <v>0</v>
      </c>
      <c r="AN184" s="99"/>
      <c r="AO184" s="99"/>
      <c r="AP184" s="99"/>
      <c r="AQ184" s="99"/>
      <c r="AR184" s="99"/>
      <c r="AS184" s="99"/>
      <c r="AT184" s="99"/>
      <c r="AU184" s="99"/>
      <c r="AV184" s="99"/>
      <c r="AW184" s="99"/>
      <c r="AX184" s="99"/>
      <c r="AY184" s="99"/>
      <c r="AZ184" s="99"/>
      <c r="BA184" s="99"/>
      <c r="BB184" s="99"/>
      <c r="BC184" s="99"/>
      <c r="BD184" s="99"/>
    </row>
    <row r="185" spans="1:56" x14ac:dyDescent="0.25">
      <c r="A185" s="37">
        <f>'29 SEMANA '!A13</f>
        <v>0</v>
      </c>
      <c r="B185" s="38">
        <f>'29 SEMANA '!B13</f>
        <v>0</v>
      </c>
      <c r="C185" s="38">
        <f>'29 SEMANA '!C13</f>
        <v>0</v>
      </c>
      <c r="D185" s="38">
        <f>'29 SEMANA '!D13</f>
        <v>0</v>
      </c>
      <c r="E185" s="100"/>
      <c r="F185" s="100"/>
      <c r="G185" s="99"/>
      <c r="H185" s="101"/>
      <c r="I185" s="102"/>
      <c r="J185" s="103"/>
      <c r="K185" s="99"/>
      <c r="L185" s="99"/>
      <c r="M185" s="99"/>
      <c r="N185" s="99"/>
      <c r="O185" s="99"/>
      <c r="P185" s="99"/>
      <c r="Q185" s="99"/>
      <c r="R185" s="99"/>
      <c r="S185" s="99"/>
      <c r="T185" s="99"/>
      <c r="U185" s="99"/>
      <c r="V185" s="99"/>
      <c r="W185" s="99"/>
      <c r="X185" s="99"/>
      <c r="Y185" s="99"/>
      <c r="Z185" s="99"/>
      <c r="AA185" s="99"/>
      <c r="AB185" s="99"/>
      <c r="AC185" s="99"/>
      <c r="AD185" s="99"/>
      <c r="AE185" s="99"/>
      <c r="AF185" s="99"/>
      <c r="AG185" s="99"/>
      <c r="AH185" s="100">
        <f>+'29 SEMANA '!F13</f>
        <v>0</v>
      </c>
      <c r="AI185" s="100">
        <f>+'29 SEMANA '!G13</f>
        <v>0</v>
      </c>
      <c r="AJ185" s="100">
        <f>+'29 SEMANA '!H13</f>
        <v>0</v>
      </c>
      <c r="AK185" s="100">
        <f>+'29 SEMANA '!I13</f>
        <v>0</v>
      </c>
      <c r="AL185" s="100">
        <f>+'29 SEMANA '!J13</f>
        <v>0</v>
      </c>
      <c r="AM185" s="100">
        <f>+'29 SEMANA '!K13</f>
        <v>0</v>
      </c>
      <c r="AN185" s="99"/>
      <c r="AO185" s="99"/>
      <c r="AP185" s="99"/>
      <c r="AQ185" s="99"/>
      <c r="AR185" s="99"/>
      <c r="AS185" s="99"/>
      <c r="AT185" s="99"/>
      <c r="AU185" s="99"/>
      <c r="AV185" s="99"/>
      <c r="AW185" s="99"/>
      <c r="AX185" s="99"/>
      <c r="AY185" s="99"/>
      <c r="AZ185" s="99"/>
      <c r="BA185" s="99"/>
      <c r="BB185" s="99"/>
      <c r="BC185" s="99"/>
      <c r="BD185" s="99"/>
    </row>
    <row r="186" spans="1:56" x14ac:dyDescent="0.25">
      <c r="A186" s="37">
        <f>'29 SEMANA '!A14</f>
        <v>0</v>
      </c>
      <c r="B186" s="38">
        <f>'29 SEMANA '!B14</f>
        <v>0</v>
      </c>
      <c r="C186" s="38">
        <f>'29 SEMANA '!C14</f>
        <v>0</v>
      </c>
      <c r="D186" s="38">
        <f>'29 SEMANA '!D14</f>
        <v>0</v>
      </c>
      <c r="E186" s="100"/>
      <c r="F186" s="100"/>
      <c r="G186" s="99"/>
      <c r="H186" s="101"/>
      <c r="I186" s="102"/>
      <c r="J186" s="103"/>
      <c r="K186" s="99"/>
      <c r="L186" s="99"/>
      <c r="M186" s="99"/>
      <c r="N186" s="99"/>
      <c r="O186" s="99"/>
      <c r="P186" s="99"/>
      <c r="Q186" s="99"/>
      <c r="R186" s="99"/>
      <c r="S186" s="99"/>
      <c r="T186" s="99"/>
      <c r="U186" s="99"/>
      <c r="V186" s="99"/>
      <c r="W186" s="99"/>
      <c r="X186" s="99"/>
      <c r="Y186" s="99"/>
      <c r="Z186" s="99"/>
      <c r="AA186" s="99"/>
      <c r="AB186" s="99"/>
      <c r="AC186" s="99"/>
      <c r="AD186" s="99"/>
      <c r="AE186" s="99"/>
      <c r="AF186" s="99"/>
      <c r="AG186" s="99"/>
      <c r="AH186" s="100">
        <f>+'29 SEMANA '!F14</f>
        <v>0</v>
      </c>
      <c r="AI186" s="100">
        <f>+'29 SEMANA '!G14</f>
        <v>0</v>
      </c>
      <c r="AJ186" s="100">
        <f>+'29 SEMANA '!H14</f>
        <v>0</v>
      </c>
      <c r="AK186" s="100">
        <f>+'29 SEMANA '!I14</f>
        <v>0</v>
      </c>
      <c r="AL186" s="100">
        <f>+'29 SEMANA '!J14</f>
        <v>0</v>
      </c>
      <c r="AM186" s="100">
        <f>+'29 SEMANA '!K14</f>
        <v>0</v>
      </c>
      <c r="AN186" s="99"/>
      <c r="AO186" s="99"/>
      <c r="AP186" s="99"/>
      <c r="AQ186" s="99"/>
      <c r="AR186" s="99"/>
      <c r="AS186" s="99"/>
      <c r="AT186" s="99"/>
      <c r="AU186" s="99"/>
      <c r="AV186" s="99"/>
      <c r="AW186" s="99"/>
      <c r="AX186" s="99"/>
      <c r="AY186" s="99"/>
      <c r="AZ186" s="99"/>
      <c r="BA186" s="99"/>
      <c r="BB186" s="99"/>
      <c r="BC186" s="99"/>
      <c r="BD186" s="99"/>
    </row>
    <row r="187" spans="1:56" x14ac:dyDescent="0.25">
      <c r="A187" s="37">
        <f>'30 SEMANA '!A9</f>
        <v>0</v>
      </c>
      <c r="B187" s="38">
        <f>'30 SEMANA '!B9</f>
        <v>0</v>
      </c>
      <c r="C187" s="38">
        <f>'30 SEMANA '!C9</f>
        <v>0</v>
      </c>
      <c r="D187" s="38">
        <f>'30 SEMANA '!D9</f>
        <v>0</v>
      </c>
      <c r="E187" s="100"/>
      <c r="F187" s="100"/>
      <c r="G187" s="99"/>
      <c r="H187" s="101"/>
      <c r="I187" s="102"/>
      <c r="J187" s="103"/>
      <c r="K187" s="99"/>
      <c r="L187" s="99"/>
      <c r="M187" s="99"/>
      <c r="N187" s="99"/>
      <c r="O187" s="99"/>
      <c r="P187" s="99"/>
      <c r="Q187" s="99"/>
      <c r="R187" s="99"/>
      <c r="S187" s="99"/>
      <c r="T187" s="99"/>
      <c r="U187" s="99"/>
      <c r="V187" s="99"/>
      <c r="W187" s="99"/>
      <c r="X187" s="99"/>
      <c r="Y187" s="99"/>
      <c r="Z187" s="99"/>
      <c r="AA187" s="99"/>
      <c r="AB187" s="99"/>
      <c r="AC187" s="99"/>
      <c r="AD187" s="99"/>
      <c r="AE187" s="99"/>
      <c r="AF187" s="99"/>
      <c r="AG187" s="99"/>
      <c r="AH187" s="99"/>
      <c r="AI187" s="100">
        <f>+'30 SEMANA '!F9</f>
        <v>0</v>
      </c>
      <c r="AJ187" s="100">
        <f>+'30 SEMANA '!G9</f>
        <v>0</v>
      </c>
      <c r="AK187" s="100">
        <f>+'30 SEMANA '!H9</f>
        <v>0</v>
      </c>
      <c r="AL187" s="100">
        <f>+'30 SEMANA '!I9</f>
        <v>0</v>
      </c>
      <c r="AM187" s="100">
        <f>+'30 SEMANA '!J9</f>
        <v>0</v>
      </c>
      <c r="AN187" s="100">
        <f>+'30 SEMANA '!K9</f>
        <v>0</v>
      </c>
      <c r="AO187" s="99"/>
      <c r="AP187" s="99"/>
      <c r="AQ187" s="99"/>
      <c r="AR187" s="99"/>
      <c r="AS187" s="99"/>
      <c r="AT187" s="99"/>
      <c r="AU187" s="99"/>
      <c r="AV187" s="99"/>
      <c r="AW187" s="99"/>
      <c r="AX187" s="99"/>
      <c r="AY187" s="99"/>
      <c r="AZ187" s="99"/>
      <c r="BA187" s="99"/>
      <c r="BB187" s="99"/>
      <c r="BC187" s="99"/>
      <c r="BD187" s="99"/>
    </row>
    <row r="188" spans="1:56" x14ac:dyDescent="0.25">
      <c r="A188" s="37">
        <f>'30 SEMANA '!A10</f>
        <v>0</v>
      </c>
      <c r="B188" s="38">
        <f>'30 SEMANA '!B10</f>
        <v>0</v>
      </c>
      <c r="C188" s="38">
        <f>'30 SEMANA '!C10</f>
        <v>0</v>
      </c>
      <c r="D188" s="38">
        <f>'30 SEMANA '!D10</f>
        <v>0</v>
      </c>
      <c r="E188" s="100"/>
      <c r="F188" s="100"/>
      <c r="G188" s="99"/>
      <c r="H188" s="101"/>
      <c r="I188" s="102"/>
      <c r="J188" s="103"/>
      <c r="K188" s="99"/>
      <c r="L188" s="99"/>
      <c r="M188" s="99"/>
      <c r="N188" s="99"/>
      <c r="O188" s="99"/>
      <c r="P188" s="99"/>
      <c r="Q188" s="99"/>
      <c r="R188" s="99"/>
      <c r="S188" s="99"/>
      <c r="T188" s="99"/>
      <c r="U188" s="99"/>
      <c r="V188" s="99"/>
      <c r="W188" s="99"/>
      <c r="X188" s="99"/>
      <c r="Y188" s="99"/>
      <c r="Z188" s="99"/>
      <c r="AA188" s="99"/>
      <c r="AB188" s="99"/>
      <c r="AC188" s="99"/>
      <c r="AD188" s="99"/>
      <c r="AE188" s="99"/>
      <c r="AF188" s="99"/>
      <c r="AG188" s="99"/>
      <c r="AH188" s="99"/>
      <c r="AI188" s="100">
        <f>+'30 SEMANA '!F10</f>
        <v>0</v>
      </c>
      <c r="AJ188" s="100">
        <f>+'30 SEMANA '!G10</f>
        <v>0</v>
      </c>
      <c r="AK188" s="100">
        <f>+'30 SEMANA '!H10</f>
        <v>0</v>
      </c>
      <c r="AL188" s="100">
        <f>+'30 SEMANA '!I10</f>
        <v>0</v>
      </c>
      <c r="AM188" s="100">
        <f>+'30 SEMANA '!J10</f>
        <v>0</v>
      </c>
      <c r="AN188" s="100">
        <f>+'30 SEMANA '!K10</f>
        <v>0</v>
      </c>
      <c r="AO188" s="99"/>
      <c r="AP188" s="99"/>
      <c r="AQ188" s="99"/>
      <c r="AR188" s="99"/>
      <c r="AS188" s="99"/>
      <c r="AT188" s="99"/>
      <c r="AU188" s="99"/>
      <c r="AV188" s="99"/>
      <c r="AW188" s="99"/>
      <c r="AX188" s="99"/>
      <c r="AY188" s="99"/>
      <c r="AZ188" s="99"/>
      <c r="BA188" s="99"/>
      <c r="BB188" s="99"/>
      <c r="BC188" s="99"/>
      <c r="BD188" s="99"/>
    </row>
    <row r="189" spans="1:56" x14ac:dyDescent="0.25">
      <c r="A189" s="37">
        <f>'30 SEMANA '!A11</f>
        <v>0</v>
      </c>
      <c r="B189" s="38">
        <f>'30 SEMANA '!B11</f>
        <v>0</v>
      </c>
      <c r="C189" s="38">
        <f>'30 SEMANA '!C11</f>
        <v>0</v>
      </c>
      <c r="D189" s="38">
        <f>'30 SEMANA '!D11</f>
        <v>0</v>
      </c>
      <c r="E189" s="100"/>
      <c r="F189" s="100"/>
      <c r="G189" s="99"/>
      <c r="H189" s="101"/>
      <c r="I189" s="102"/>
      <c r="J189" s="103"/>
      <c r="K189" s="99"/>
      <c r="L189" s="99"/>
      <c r="M189" s="99"/>
      <c r="N189" s="99"/>
      <c r="O189" s="99"/>
      <c r="P189" s="99"/>
      <c r="Q189" s="99"/>
      <c r="R189" s="99"/>
      <c r="S189" s="99"/>
      <c r="T189" s="99"/>
      <c r="U189" s="99"/>
      <c r="V189" s="99"/>
      <c r="W189" s="99"/>
      <c r="X189" s="99"/>
      <c r="Y189" s="99"/>
      <c r="Z189" s="99"/>
      <c r="AA189" s="99"/>
      <c r="AB189" s="99"/>
      <c r="AC189" s="99"/>
      <c r="AD189" s="99"/>
      <c r="AE189" s="99"/>
      <c r="AF189" s="99"/>
      <c r="AG189" s="99"/>
      <c r="AH189" s="99"/>
      <c r="AI189" s="100">
        <f>+'30 SEMANA '!F11</f>
        <v>0</v>
      </c>
      <c r="AJ189" s="100">
        <f>+'30 SEMANA '!G11</f>
        <v>0</v>
      </c>
      <c r="AK189" s="100">
        <f>+'30 SEMANA '!H11</f>
        <v>0</v>
      </c>
      <c r="AL189" s="100">
        <f>+'30 SEMANA '!I11</f>
        <v>0</v>
      </c>
      <c r="AM189" s="100">
        <f>+'30 SEMANA '!J11</f>
        <v>0</v>
      </c>
      <c r="AN189" s="100">
        <f>+'30 SEMANA '!K11</f>
        <v>0</v>
      </c>
      <c r="AO189" s="99"/>
      <c r="AP189" s="99"/>
      <c r="AQ189" s="99"/>
      <c r="AR189" s="99"/>
      <c r="AS189" s="99"/>
      <c r="AT189" s="99"/>
      <c r="AU189" s="99"/>
      <c r="AV189" s="99"/>
      <c r="AW189" s="99"/>
      <c r="AX189" s="99"/>
      <c r="AY189" s="99"/>
      <c r="AZ189" s="99"/>
      <c r="BA189" s="99"/>
      <c r="BB189" s="99"/>
      <c r="BC189" s="99"/>
      <c r="BD189" s="99"/>
    </row>
    <row r="190" spans="1:56" x14ac:dyDescent="0.25">
      <c r="A190" s="37">
        <f>'30 SEMANA '!A12</f>
        <v>0</v>
      </c>
      <c r="B190" s="38">
        <f>'30 SEMANA '!B12</f>
        <v>0</v>
      </c>
      <c r="C190" s="38">
        <f>'30 SEMANA '!C12</f>
        <v>0</v>
      </c>
      <c r="D190" s="38">
        <f>'30 SEMANA '!D12</f>
        <v>0</v>
      </c>
      <c r="E190" s="100"/>
      <c r="F190" s="100"/>
      <c r="G190" s="99"/>
      <c r="H190" s="101"/>
      <c r="I190" s="102"/>
      <c r="J190" s="103"/>
      <c r="K190" s="99"/>
      <c r="L190" s="99"/>
      <c r="M190" s="99"/>
      <c r="N190" s="99"/>
      <c r="O190" s="99"/>
      <c r="P190" s="99"/>
      <c r="Q190" s="99"/>
      <c r="R190" s="99"/>
      <c r="S190" s="99"/>
      <c r="T190" s="99"/>
      <c r="U190" s="99"/>
      <c r="V190" s="99"/>
      <c r="W190" s="99"/>
      <c r="X190" s="99"/>
      <c r="Y190" s="99"/>
      <c r="Z190" s="99"/>
      <c r="AA190" s="99"/>
      <c r="AB190" s="99"/>
      <c r="AC190" s="99"/>
      <c r="AD190" s="99"/>
      <c r="AE190" s="99"/>
      <c r="AF190" s="99"/>
      <c r="AG190" s="99"/>
      <c r="AH190" s="99"/>
      <c r="AI190" s="100">
        <f>+'30 SEMANA '!F12</f>
        <v>0</v>
      </c>
      <c r="AJ190" s="100">
        <f>+'30 SEMANA '!G12</f>
        <v>0</v>
      </c>
      <c r="AK190" s="100">
        <f>+'30 SEMANA '!H12</f>
        <v>0</v>
      </c>
      <c r="AL190" s="100">
        <f>+'30 SEMANA '!I12</f>
        <v>0</v>
      </c>
      <c r="AM190" s="100">
        <f>+'30 SEMANA '!J12</f>
        <v>0</v>
      </c>
      <c r="AN190" s="100">
        <f>+'30 SEMANA '!K12</f>
        <v>0</v>
      </c>
      <c r="AO190" s="99"/>
      <c r="AP190" s="99"/>
      <c r="AQ190" s="99"/>
      <c r="AR190" s="99"/>
      <c r="AS190" s="99"/>
      <c r="AT190" s="99"/>
      <c r="AU190" s="99"/>
      <c r="AV190" s="99"/>
      <c r="AW190" s="99"/>
      <c r="AX190" s="99"/>
      <c r="AY190" s="99"/>
      <c r="AZ190" s="99"/>
      <c r="BA190" s="99"/>
      <c r="BB190" s="99"/>
      <c r="BC190" s="99"/>
      <c r="BD190" s="99"/>
    </row>
    <row r="191" spans="1:56" x14ac:dyDescent="0.25">
      <c r="A191" s="37">
        <f>'30 SEMANA '!A13</f>
        <v>0</v>
      </c>
      <c r="B191" s="38">
        <f>'30 SEMANA '!B13</f>
        <v>0</v>
      </c>
      <c r="C191" s="38">
        <f>'30 SEMANA '!C13</f>
        <v>0</v>
      </c>
      <c r="D191" s="38">
        <f>'30 SEMANA '!D13</f>
        <v>0</v>
      </c>
      <c r="E191" s="100"/>
      <c r="F191" s="100"/>
      <c r="G191" s="99"/>
      <c r="H191" s="101"/>
      <c r="I191" s="102"/>
      <c r="J191" s="103"/>
      <c r="K191" s="99"/>
      <c r="L191" s="99"/>
      <c r="M191" s="99"/>
      <c r="N191" s="99"/>
      <c r="O191" s="99"/>
      <c r="P191" s="99"/>
      <c r="Q191" s="99"/>
      <c r="R191" s="99"/>
      <c r="S191" s="99"/>
      <c r="T191" s="99"/>
      <c r="U191" s="99"/>
      <c r="V191" s="99"/>
      <c r="W191" s="99"/>
      <c r="X191" s="99"/>
      <c r="Y191" s="99"/>
      <c r="Z191" s="99"/>
      <c r="AA191" s="99"/>
      <c r="AB191" s="99"/>
      <c r="AC191" s="99"/>
      <c r="AD191" s="99"/>
      <c r="AE191" s="99"/>
      <c r="AF191" s="99"/>
      <c r="AG191" s="99"/>
      <c r="AH191" s="99"/>
      <c r="AI191" s="100">
        <f>+'30 SEMANA '!F13</f>
        <v>0</v>
      </c>
      <c r="AJ191" s="100">
        <f>+'30 SEMANA '!G13</f>
        <v>0</v>
      </c>
      <c r="AK191" s="100">
        <f>+'30 SEMANA '!H13</f>
        <v>0</v>
      </c>
      <c r="AL191" s="100">
        <f>+'30 SEMANA '!I13</f>
        <v>0</v>
      </c>
      <c r="AM191" s="100">
        <f>+'30 SEMANA '!J13</f>
        <v>0</v>
      </c>
      <c r="AN191" s="100">
        <f>+'30 SEMANA '!K13</f>
        <v>0</v>
      </c>
      <c r="AO191" s="99"/>
      <c r="AP191" s="99"/>
      <c r="AQ191" s="99"/>
      <c r="AR191" s="99"/>
      <c r="AS191" s="99"/>
      <c r="AT191" s="99"/>
      <c r="AU191" s="99"/>
      <c r="AV191" s="99"/>
      <c r="AW191" s="99"/>
      <c r="AX191" s="99"/>
      <c r="AY191" s="99"/>
      <c r="AZ191" s="99"/>
      <c r="BA191" s="99"/>
      <c r="BB191" s="99"/>
      <c r="BC191" s="99"/>
      <c r="BD191" s="99"/>
    </row>
    <row r="192" spans="1:56" x14ac:dyDescent="0.25">
      <c r="A192" s="37">
        <f>'30 SEMANA '!A14</f>
        <v>0</v>
      </c>
      <c r="B192" s="38">
        <f>'30 SEMANA '!B14</f>
        <v>0</v>
      </c>
      <c r="C192" s="38">
        <f>'30 SEMANA '!C14</f>
        <v>0</v>
      </c>
      <c r="D192" s="38">
        <f>'30 SEMANA '!D14</f>
        <v>0</v>
      </c>
      <c r="E192" s="100"/>
      <c r="F192" s="100"/>
      <c r="G192" s="99"/>
      <c r="H192" s="101"/>
      <c r="I192" s="102"/>
      <c r="J192" s="103"/>
      <c r="K192" s="99"/>
      <c r="L192" s="99"/>
      <c r="M192" s="99"/>
      <c r="N192" s="99"/>
      <c r="O192" s="99"/>
      <c r="P192" s="99"/>
      <c r="Q192" s="99"/>
      <c r="R192" s="99"/>
      <c r="S192" s="99"/>
      <c r="T192" s="99"/>
      <c r="U192" s="99"/>
      <c r="V192" s="99"/>
      <c r="W192" s="99"/>
      <c r="X192" s="99"/>
      <c r="Y192" s="99"/>
      <c r="Z192" s="99"/>
      <c r="AA192" s="99"/>
      <c r="AB192" s="99"/>
      <c r="AC192" s="99"/>
      <c r="AD192" s="99"/>
      <c r="AE192" s="99"/>
      <c r="AF192" s="99"/>
      <c r="AG192" s="99"/>
      <c r="AH192" s="99"/>
      <c r="AI192" s="100">
        <f>+'30 SEMANA '!F14</f>
        <v>0</v>
      </c>
      <c r="AJ192" s="100">
        <f>+'30 SEMANA '!G14</f>
        <v>0</v>
      </c>
      <c r="AK192" s="100">
        <f>+'30 SEMANA '!H14</f>
        <v>0</v>
      </c>
      <c r="AL192" s="100">
        <f>+'30 SEMANA '!I14</f>
        <v>0</v>
      </c>
      <c r="AM192" s="100">
        <f>+'30 SEMANA '!J14</f>
        <v>0</v>
      </c>
      <c r="AN192" s="100">
        <f>+'30 SEMANA '!K14</f>
        <v>0</v>
      </c>
      <c r="AO192" s="99"/>
      <c r="AP192" s="99"/>
      <c r="AQ192" s="99"/>
      <c r="AR192" s="99"/>
      <c r="AS192" s="99"/>
      <c r="AT192" s="99"/>
      <c r="AU192" s="99"/>
      <c r="AV192" s="99"/>
      <c r="AW192" s="99"/>
      <c r="AX192" s="99"/>
      <c r="AY192" s="99"/>
      <c r="AZ192" s="99"/>
      <c r="BA192" s="99"/>
      <c r="BB192" s="99"/>
      <c r="BC192" s="99"/>
      <c r="BD192" s="99"/>
    </row>
    <row r="193" spans="1:56" x14ac:dyDescent="0.25">
      <c r="A193" s="37">
        <f>'31 SEMANA '!A9</f>
        <v>0</v>
      </c>
      <c r="B193" s="38">
        <f>'31 SEMANA '!B9</f>
        <v>0</v>
      </c>
      <c r="C193" s="38">
        <f>'31 SEMANA '!C9</f>
        <v>0</v>
      </c>
      <c r="D193" s="38">
        <f>'31 SEMANA '!D9</f>
        <v>0</v>
      </c>
      <c r="E193" s="100"/>
      <c r="F193" s="100"/>
      <c r="G193" s="99"/>
      <c r="H193" s="101"/>
      <c r="I193" s="102"/>
      <c r="J193" s="103"/>
      <c r="K193" s="99"/>
      <c r="L193" s="99"/>
      <c r="M193" s="99"/>
      <c r="N193" s="99"/>
      <c r="O193" s="99"/>
      <c r="P193" s="99"/>
      <c r="Q193" s="99"/>
      <c r="R193" s="99"/>
      <c r="S193" s="99"/>
      <c r="T193" s="99"/>
      <c r="U193" s="99"/>
      <c r="V193" s="99"/>
      <c r="W193" s="99"/>
      <c r="X193" s="99"/>
      <c r="Y193" s="99"/>
      <c r="Z193" s="99"/>
      <c r="AA193" s="99"/>
      <c r="AB193" s="99"/>
      <c r="AC193" s="99"/>
      <c r="AD193" s="99"/>
      <c r="AE193" s="99"/>
      <c r="AF193" s="99"/>
      <c r="AG193" s="99"/>
      <c r="AH193" s="99"/>
      <c r="AI193" s="99"/>
      <c r="AJ193" s="100">
        <f>+'31 SEMANA '!F9</f>
        <v>0</v>
      </c>
      <c r="AK193" s="100">
        <f>+'31 SEMANA '!G9</f>
        <v>0</v>
      </c>
      <c r="AL193" s="100">
        <f>+'31 SEMANA '!H9</f>
        <v>0</v>
      </c>
      <c r="AM193" s="100">
        <f>+'31 SEMANA '!I9</f>
        <v>0</v>
      </c>
      <c r="AN193" s="100">
        <f>+'31 SEMANA '!J9</f>
        <v>0</v>
      </c>
      <c r="AO193" s="100">
        <f>+'31 SEMANA '!K9</f>
        <v>0</v>
      </c>
      <c r="AP193" s="99"/>
      <c r="AQ193" s="99"/>
      <c r="AR193" s="99"/>
      <c r="AS193" s="99"/>
      <c r="AT193" s="99"/>
      <c r="AU193" s="99"/>
      <c r="AV193" s="99"/>
      <c r="AW193" s="99"/>
      <c r="AX193" s="99"/>
      <c r="AY193" s="99"/>
      <c r="AZ193" s="99"/>
      <c r="BA193" s="99"/>
      <c r="BB193" s="99"/>
      <c r="BC193" s="99"/>
      <c r="BD193" s="99"/>
    </row>
    <row r="194" spans="1:56" x14ac:dyDescent="0.25">
      <c r="A194" s="37">
        <f>'31 SEMANA '!A10</f>
        <v>0</v>
      </c>
      <c r="B194" s="38">
        <f>'31 SEMANA '!B10</f>
        <v>0</v>
      </c>
      <c r="C194" s="38">
        <f>'31 SEMANA '!C10</f>
        <v>0</v>
      </c>
      <c r="D194" s="38">
        <f>'31 SEMANA '!D10</f>
        <v>0</v>
      </c>
      <c r="E194" s="100"/>
      <c r="F194" s="100"/>
      <c r="G194" s="99"/>
      <c r="H194" s="101"/>
      <c r="I194" s="102"/>
      <c r="J194" s="103"/>
      <c r="K194" s="99"/>
      <c r="L194" s="99"/>
      <c r="M194" s="99"/>
      <c r="N194" s="99"/>
      <c r="O194" s="99"/>
      <c r="P194" s="99"/>
      <c r="Q194" s="99"/>
      <c r="R194" s="99"/>
      <c r="S194" s="99"/>
      <c r="T194" s="99"/>
      <c r="U194" s="99"/>
      <c r="V194" s="99"/>
      <c r="W194" s="99"/>
      <c r="X194" s="99"/>
      <c r="Y194" s="99"/>
      <c r="Z194" s="99"/>
      <c r="AA194" s="99"/>
      <c r="AB194" s="99"/>
      <c r="AC194" s="99"/>
      <c r="AD194" s="99"/>
      <c r="AE194" s="99"/>
      <c r="AF194" s="99"/>
      <c r="AG194" s="99"/>
      <c r="AH194" s="99"/>
      <c r="AI194" s="99"/>
      <c r="AJ194" s="100">
        <f>+'31 SEMANA '!F10</f>
        <v>0</v>
      </c>
      <c r="AK194" s="100">
        <f>+'31 SEMANA '!G10</f>
        <v>0</v>
      </c>
      <c r="AL194" s="100">
        <f>+'31 SEMANA '!H10</f>
        <v>0</v>
      </c>
      <c r="AM194" s="100">
        <f>+'31 SEMANA '!I10</f>
        <v>0</v>
      </c>
      <c r="AN194" s="100">
        <f>+'31 SEMANA '!J10</f>
        <v>0</v>
      </c>
      <c r="AO194" s="100">
        <f>+'31 SEMANA '!K10</f>
        <v>0</v>
      </c>
      <c r="AP194" s="99"/>
      <c r="AQ194" s="99"/>
      <c r="AR194" s="99"/>
      <c r="AS194" s="99"/>
      <c r="AT194" s="99"/>
      <c r="AU194" s="99"/>
      <c r="AV194" s="99"/>
      <c r="AW194" s="99"/>
      <c r="AX194" s="99"/>
      <c r="AY194" s="99"/>
      <c r="AZ194" s="99"/>
      <c r="BA194" s="99"/>
      <c r="BB194" s="99"/>
      <c r="BC194" s="99"/>
      <c r="BD194" s="99"/>
    </row>
    <row r="195" spans="1:56" x14ac:dyDescent="0.25">
      <c r="A195" s="37">
        <f>'31 SEMANA '!A11</f>
        <v>0</v>
      </c>
      <c r="B195" s="38">
        <f>'31 SEMANA '!B11</f>
        <v>0</v>
      </c>
      <c r="C195" s="38">
        <f>'31 SEMANA '!C11</f>
        <v>0</v>
      </c>
      <c r="D195" s="38">
        <f>'31 SEMANA '!D11</f>
        <v>0</v>
      </c>
      <c r="E195" s="100"/>
      <c r="F195" s="100"/>
      <c r="G195" s="99"/>
      <c r="H195" s="101"/>
      <c r="I195" s="102"/>
      <c r="J195" s="103"/>
      <c r="K195" s="99"/>
      <c r="L195" s="99"/>
      <c r="M195" s="99"/>
      <c r="N195" s="99"/>
      <c r="O195" s="99"/>
      <c r="P195" s="99"/>
      <c r="Q195" s="99"/>
      <c r="R195" s="99"/>
      <c r="S195" s="99"/>
      <c r="T195" s="99"/>
      <c r="U195" s="99"/>
      <c r="V195" s="99"/>
      <c r="W195" s="99"/>
      <c r="X195" s="99"/>
      <c r="Y195" s="99"/>
      <c r="Z195" s="99"/>
      <c r="AA195" s="99"/>
      <c r="AB195" s="99"/>
      <c r="AC195" s="99"/>
      <c r="AD195" s="99"/>
      <c r="AE195" s="99"/>
      <c r="AF195" s="99"/>
      <c r="AG195" s="99"/>
      <c r="AH195" s="99"/>
      <c r="AI195" s="99"/>
      <c r="AJ195" s="100">
        <f>+'31 SEMANA '!F11</f>
        <v>0</v>
      </c>
      <c r="AK195" s="100">
        <f>+'31 SEMANA '!G11</f>
        <v>0</v>
      </c>
      <c r="AL195" s="100">
        <f>+'31 SEMANA '!H11</f>
        <v>0</v>
      </c>
      <c r="AM195" s="100">
        <f>+'31 SEMANA '!I11</f>
        <v>0</v>
      </c>
      <c r="AN195" s="100">
        <f>+'31 SEMANA '!J11</f>
        <v>0</v>
      </c>
      <c r="AO195" s="100">
        <f>+'31 SEMANA '!K11</f>
        <v>0</v>
      </c>
      <c r="AP195" s="99"/>
      <c r="AQ195" s="99"/>
      <c r="AR195" s="99"/>
      <c r="AS195" s="99"/>
      <c r="AT195" s="99"/>
      <c r="AU195" s="99"/>
      <c r="AV195" s="99"/>
      <c r="AW195" s="99"/>
      <c r="AX195" s="99"/>
      <c r="AY195" s="99"/>
      <c r="AZ195" s="99"/>
      <c r="BA195" s="99"/>
      <c r="BB195" s="99"/>
      <c r="BC195" s="99"/>
      <c r="BD195" s="99"/>
    </row>
    <row r="196" spans="1:56" x14ac:dyDescent="0.25">
      <c r="A196" s="37">
        <f>'31 SEMANA '!A12</f>
        <v>0</v>
      </c>
      <c r="B196" s="38">
        <f>'31 SEMANA '!B12</f>
        <v>0</v>
      </c>
      <c r="C196" s="38">
        <f>'31 SEMANA '!C12</f>
        <v>0</v>
      </c>
      <c r="D196" s="38">
        <f>'31 SEMANA '!D12</f>
        <v>0</v>
      </c>
      <c r="E196" s="100"/>
      <c r="F196" s="100"/>
      <c r="G196" s="99"/>
      <c r="H196" s="101"/>
      <c r="I196" s="102"/>
      <c r="J196" s="103"/>
      <c r="K196" s="99"/>
      <c r="L196" s="99"/>
      <c r="M196" s="99"/>
      <c r="N196" s="99"/>
      <c r="O196" s="99"/>
      <c r="P196" s="99"/>
      <c r="Q196" s="99"/>
      <c r="R196" s="99"/>
      <c r="S196" s="99"/>
      <c r="T196" s="99"/>
      <c r="U196" s="99"/>
      <c r="V196" s="99"/>
      <c r="W196" s="99"/>
      <c r="X196" s="99"/>
      <c r="Y196" s="99"/>
      <c r="Z196" s="99"/>
      <c r="AA196" s="99"/>
      <c r="AB196" s="99"/>
      <c r="AC196" s="99"/>
      <c r="AD196" s="99"/>
      <c r="AE196" s="99"/>
      <c r="AF196" s="99"/>
      <c r="AG196" s="99"/>
      <c r="AH196" s="99"/>
      <c r="AI196" s="99"/>
      <c r="AJ196" s="100">
        <f>+'31 SEMANA '!F12</f>
        <v>0</v>
      </c>
      <c r="AK196" s="100">
        <f>+'31 SEMANA '!G12</f>
        <v>0</v>
      </c>
      <c r="AL196" s="100">
        <f>+'31 SEMANA '!H12</f>
        <v>0</v>
      </c>
      <c r="AM196" s="100">
        <f>+'31 SEMANA '!I12</f>
        <v>0</v>
      </c>
      <c r="AN196" s="100">
        <f>+'31 SEMANA '!J12</f>
        <v>0</v>
      </c>
      <c r="AO196" s="100">
        <f>+'31 SEMANA '!K12</f>
        <v>0</v>
      </c>
      <c r="AP196" s="99"/>
      <c r="AQ196" s="99"/>
      <c r="AR196" s="99"/>
      <c r="AS196" s="99"/>
      <c r="AT196" s="99"/>
      <c r="AU196" s="99"/>
      <c r="AV196" s="99"/>
      <c r="AW196" s="99"/>
      <c r="AX196" s="99"/>
      <c r="AY196" s="99"/>
      <c r="AZ196" s="99"/>
      <c r="BA196" s="99"/>
      <c r="BB196" s="99"/>
      <c r="BC196" s="99"/>
      <c r="BD196" s="99"/>
    </row>
    <row r="197" spans="1:56" x14ac:dyDescent="0.25">
      <c r="A197" s="37">
        <f>'31 SEMANA '!A13</f>
        <v>0</v>
      </c>
      <c r="B197" s="38">
        <f>'31 SEMANA '!B13</f>
        <v>0</v>
      </c>
      <c r="C197" s="38">
        <f>'31 SEMANA '!C13</f>
        <v>0</v>
      </c>
      <c r="D197" s="38">
        <f>'31 SEMANA '!D13</f>
        <v>0</v>
      </c>
      <c r="E197" s="100"/>
      <c r="F197" s="100"/>
      <c r="G197" s="99"/>
      <c r="H197" s="101"/>
      <c r="I197" s="102"/>
      <c r="J197" s="103"/>
      <c r="K197" s="99"/>
      <c r="L197" s="99"/>
      <c r="M197" s="99"/>
      <c r="N197" s="99"/>
      <c r="O197" s="99"/>
      <c r="P197" s="99"/>
      <c r="Q197" s="99"/>
      <c r="R197" s="99"/>
      <c r="S197" s="99"/>
      <c r="T197" s="99"/>
      <c r="U197" s="99"/>
      <c r="V197" s="99"/>
      <c r="W197" s="99"/>
      <c r="X197" s="99"/>
      <c r="Y197" s="99"/>
      <c r="Z197" s="99"/>
      <c r="AA197" s="99"/>
      <c r="AB197" s="99"/>
      <c r="AC197" s="99"/>
      <c r="AD197" s="99"/>
      <c r="AE197" s="99"/>
      <c r="AF197" s="99"/>
      <c r="AG197" s="99"/>
      <c r="AH197" s="99"/>
      <c r="AI197" s="99"/>
      <c r="AJ197" s="100">
        <f>+'31 SEMANA '!F13</f>
        <v>0</v>
      </c>
      <c r="AK197" s="100">
        <f>+'31 SEMANA '!G13</f>
        <v>0</v>
      </c>
      <c r="AL197" s="100">
        <f>+'31 SEMANA '!H13</f>
        <v>0</v>
      </c>
      <c r="AM197" s="100">
        <f>+'31 SEMANA '!I13</f>
        <v>0</v>
      </c>
      <c r="AN197" s="100">
        <f>+'31 SEMANA '!J13</f>
        <v>0</v>
      </c>
      <c r="AO197" s="100">
        <f>+'31 SEMANA '!K13</f>
        <v>0</v>
      </c>
      <c r="AP197" s="99"/>
      <c r="AQ197" s="99"/>
      <c r="AR197" s="99"/>
      <c r="AS197" s="99"/>
      <c r="AT197" s="99"/>
      <c r="AU197" s="99"/>
      <c r="AV197" s="99"/>
      <c r="AW197" s="99"/>
      <c r="AX197" s="99"/>
      <c r="AY197" s="99"/>
      <c r="AZ197" s="99"/>
      <c r="BA197" s="99"/>
      <c r="BB197" s="99"/>
      <c r="BC197" s="99"/>
      <c r="BD197" s="99"/>
    </row>
    <row r="198" spans="1:56" x14ac:dyDescent="0.25">
      <c r="A198" s="37">
        <f>'31 SEMANA '!A14</f>
        <v>0</v>
      </c>
      <c r="B198" s="38">
        <f>'31 SEMANA '!B14</f>
        <v>0</v>
      </c>
      <c r="C198" s="38">
        <f>'31 SEMANA '!C14</f>
        <v>0</v>
      </c>
      <c r="D198" s="38">
        <f>'31 SEMANA '!D14</f>
        <v>0</v>
      </c>
      <c r="E198" s="100"/>
      <c r="F198" s="100"/>
      <c r="G198" s="99"/>
      <c r="H198" s="101"/>
      <c r="I198" s="102"/>
      <c r="J198" s="103"/>
      <c r="K198" s="99"/>
      <c r="L198" s="99"/>
      <c r="M198" s="99"/>
      <c r="N198" s="99"/>
      <c r="O198" s="99"/>
      <c r="P198" s="99"/>
      <c r="Q198" s="99"/>
      <c r="R198" s="99"/>
      <c r="S198" s="99"/>
      <c r="T198" s="99"/>
      <c r="U198" s="99"/>
      <c r="V198" s="99"/>
      <c r="W198" s="99"/>
      <c r="X198" s="99"/>
      <c r="Y198" s="99"/>
      <c r="Z198" s="99"/>
      <c r="AA198" s="99"/>
      <c r="AB198" s="99"/>
      <c r="AC198" s="99"/>
      <c r="AD198" s="99"/>
      <c r="AE198" s="99"/>
      <c r="AF198" s="99"/>
      <c r="AG198" s="99"/>
      <c r="AH198" s="99"/>
      <c r="AI198" s="99"/>
      <c r="AJ198" s="100">
        <f>+'31 SEMANA '!F14</f>
        <v>0</v>
      </c>
      <c r="AK198" s="100">
        <f>+'31 SEMANA '!G14</f>
        <v>0</v>
      </c>
      <c r="AL198" s="100">
        <f>+'31 SEMANA '!H14</f>
        <v>0</v>
      </c>
      <c r="AM198" s="100">
        <f>+'31 SEMANA '!I14</f>
        <v>0</v>
      </c>
      <c r="AN198" s="100">
        <f>+'31 SEMANA '!J14</f>
        <v>0</v>
      </c>
      <c r="AO198" s="100">
        <f>+'31 SEMANA '!K14</f>
        <v>0</v>
      </c>
      <c r="AP198" s="99"/>
      <c r="AQ198" s="99"/>
      <c r="AR198" s="99"/>
      <c r="AS198" s="99"/>
      <c r="AT198" s="99"/>
      <c r="AU198" s="99"/>
      <c r="AV198" s="99"/>
      <c r="AW198" s="99"/>
      <c r="AX198" s="99"/>
      <c r="AY198" s="99"/>
      <c r="AZ198" s="99"/>
      <c r="BA198" s="99"/>
      <c r="BB198" s="99"/>
      <c r="BC198" s="99"/>
      <c r="BD198" s="99"/>
    </row>
    <row r="199" spans="1:56" x14ac:dyDescent="0.25">
      <c r="A199" s="37">
        <f>'32 SEMANA '!A9</f>
        <v>0</v>
      </c>
      <c r="B199" s="38">
        <f>'32 SEMANA '!B9</f>
        <v>0</v>
      </c>
      <c r="C199" s="38">
        <f>'32 SEMANA '!C9</f>
        <v>0</v>
      </c>
      <c r="D199" s="38">
        <f>'32 SEMANA '!D9</f>
        <v>0</v>
      </c>
      <c r="E199" s="100"/>
      <c r="F199" s="100"/>
      <c r="G199" s="99"/>
      <c r="H199" s="101"/>
      <c r="I199" s="102"/>
      <c r="J199" s="103"/>
      <c r="K199" s="99"/>
      <c r="L199" s="99"/>
      <c r="M199" s="99"/>
      <c r="N199" s="99"/>
      <c r="O199" s="99"/>
      <c r="P199" s="99"/>
      <c r="Q199" s="99"/>
      <c r="R199" s="99"/>
      <c r="S199" s="99"/>
      <c r="T199" s="99"/>
      <c r="U199" s="99"/>
      <c r="V199" s="99"/>
      <c r="W199" s="99"/>
      <c r="X199" s="99"/>
      <c r="Y199" s="99"/>
      <c r="Z199" s="99"/>
      <c r="AA199" s="99"/>
      <c r="AB199" s="99"/>
      <c r="AC199" s="99"/>
      <c r="AD199" s="99"/>
      <c r="AE199" s="99"/>
      <c r="AF199" s="99"/>
      <c r="AG199" s="99"/>
      <c r="AH199" s="99"/>
      <c r="AI199" s="99"/>
      <c r="AJ199" s="99"/>
      <c r="AK199" s="100">
        <f>+'32 SEMANA '!F9</f>
        <v>0</v>
      </c>
      <c r="AL199" s="100">
        <f>+'32 SEMANA '!G9</f>
        <v>0</v>
      </c>
      <c r="AM199" s="100">
        <f>+'32 SEMANA '!H9</f>
        <v>0</v>
      </c>
      <c r="AN199" s="100">
        <f>+'32 SEMANA '!I9</f>
        <v>0</v>
      </c>
      <c r="AO199" s="100">
        <f>+'32 SEMANA '!J9</f>
        <v>0</v>
      </c>
      <c r="AP199" s="100">
        <f>+'32 SEMANA '!K9</f>
        <v>0</v>
      </c>
      <c r="AQ199" s="99"/>
      <c r="AR199" s="99"/>
      <c r="AS199" s="99"/>
      <c r="AT199" s="99"/>
      <c r="AU199" s="99"/>
      <c r="AV199" s="99"/>
      <c r="AW199" s="99"/>
      <c r="AX199" s="99"/>
      <c r="AY199" s="99"/>
      <c r="AZ199" s="99"/>
      <c r="BA199" s="99"/>
      <c r="BB199" s="99"/>
      <c r="BC199" s="99"/>
      <c r="BD199" s="99"/>
    </row>
    <row r="200" spans="1:56" x14ac:dyDescent="0.25">
      <c r="A200" s="37">
        <f>'32 SEMANA '!A10</f>
        <v>0</v>
      </c>
      <c r="B200" s="38">
        <f>'32 SEMANA '!B10</f>
        <v>0</v>
      </c>
      <c r="C200" s="38">
        <f>'32 SEMANA '!C10</f>
        <v>0</v>
      </c>
      <c r="D200" s="38">
        <f>'32 SEMANA '!D10</f>
        <v>0</v>
      </c>
      <c r="E200" s="100"/>
      <c r="F200" s="100"/>
      <c r="G200" s="99"/>
      <c r="H200" s="101"/>
      <c r="I200" s="102"/>
      <c r="J200" s="103"/>
      <c r="K200" s="99"/>
      <c r="L200" s="99"/>
      <c r="M200" s="99"/>
      <c r="N200" s="99"/>
      <c r="O200" s="99"/>
      <c r="P200" s="99"/>
      <c r="Q200" s="99"/>
      <c r="R200" s="99"/>
      <c r="S200" s="99"/>
      <c r="T200" s="99"/>
      <c r="U200" s="99"/>
      <c r="V200" s="99"/>
      <c r="W200" s="99"/>
      <c r="X200" s="99"/>
      <c r="Y200" s="99"/>
      <c r="Z200" s="99"/>
      <c r="AA200" s="99"/>
      <c r="AB200" s="99"/>
      <c r="AC200" s="99"/>
      <c r="AD200" s="99"/>
      <c r="AE200" s="99"/>
      <c r="AF200" s="99"/>
      <c r="AG200" s="99"/>
      <c r="AH200" s="99"/>
      <c r="AI200" s="99"/>
      <c r="AJ200" s="99"/>
      <c r="AK200" s="100">
        <f>+'32 SEMANA '!F10</f>
        <v>0</v>
      </c>
      <c r="AL200" s="100">
        <f>+'32 SEMANA '!G10</f>
        <v>0</v>
      </c>
      <c r="AM200" s="100">
        <f>+'32 SEMANA '!H10</f>
        <v>0</v>
      </c>
      <c r="AN200" s="100">
        <f>+'32 SEMANA '!I10</f>
        <v>0</v>
      </c>
      <c r="AO200" s="100">
        <f>+'32 SEMANA '!J10</f>
        <v>0</v>
      </c>
      <c r="AP200" s="100">
        <f>+'32 SEMANA '!K10</f>
        <v>0</v>
      </c>
      <c r="AQ200" s="99"/>
      <c r="AR200" s="99"/>
      <c r="AS200" s="99"/>
      <c r="AT200" s="99"/>
      <c r="AU200" s="99"/>
      <c r="AV200" s="99"/>
      <c r="AW200" s="99"/>
      <c r="AX200" s="99"/>
      <c r="AY200" s="99"/>
      <c r="AZ200" s="99"/>
      <c r="BA200" s="99"/>
      <c r="BB200" s="99"/>
      <c r="BC200" s="99"/>
      <c r="BD200" s="99"/>
    </row>
    <row r="201" spans="1:56" x14ac:dyDescent="0.25">
      <c r="A201" s="37">
        <f>'32 SEMANA '!A11</f>
        <v>0</v>
      </c>
      <c r="B201" s="38">
        <f>'32 SEMANA '!B11</f>
        <v>0</v>
      </c>
      <c r="C201" s="38">
        <f>'32 SEMANA '!C11</f>
        <v>0</v>
      </c>
      <c r="D201" s="38">
        <f>'32 SEMANA '!D11</f>
        <v>0</v>
      </c>
      <c r="E201" s="100"/>
      <c r="F201" s="100"/>
      <c r="G201" s="99"/>
      <c r="H201" s="101"/>
      <c r="I201" s="102"/>
      <c r="J201" s="103"/>
      <c r="K201" s="99"/>
      <c r="L201" s="99"/>
      <c r="M201" s="99"/>
      <c r="N201" s="99"/>
      <c r="O201" s="99"/>
      <c r="P201" s="99"/>
      <c r="Q201" s="99"/>
      <c r="R201" s="99"/>
      <c r="S201" s="99"/>
      <c r="T201" s="99"/>
      <c r="U201" s="99"/>
      <c r="V201" s="99"/>
      <c r="W201" s="99"/>
      <c r="X201" s="99"/>
      <c r="Y201" s="99"/>
      <c r="Z201" s="99"/>
      <c r="AA201" s="99"/>
      <c r="AB201" s="99"/>
      <c r="AC201" s="99"/>
      <c r="AD201" s="99"/>
      <c r="AE201" s="99"/>
      <c r="AF201" s="99"/>
      <c r="AG201" s="99"/>
      <c r="AH201" s="99"/>
      <c r="AI201" s="99"/>
      <c r="AJ201" s="99"/>
      <c r="AK201" s="100">
        <f>+'32 SEMANA '!F11</f>
        <v>0</v>
      </c>
      <c r="AL201" s="100">
        <f>+'32 SEMANA '!G11</f>
        <v>0</v>
      </c>
      <c r="AM201" s="100">
        <f>+'32 SEMANA '!H11</f>
        <v>0</v>
      </c>
      <c r="AN201" s="100">
        <f>+'32 SEMANA '!I11</f>
        <v>0</v>
      </c>
      <c r="AO201" s="100">
        <f>+'32 SEMANA '!J11</f>
        <v>0</v>
      </c>
      <c r="AP201" s="100">
        <f>+'32 SEMANA '!K11</f>
        <v>0</v>
      </c>
      <c r="AQ201" s="99"/>
      <c r="AR201" s="99"/>
      <c r="AS201" s="99"/>
      <c r="AT201" s="99"/>
      <c r="AU201" s="99"/>
      <c r="AV201" s="99"/>
      <c r="AW201" s="99"/>
      <c r="AX201" s="99"/>
      <c r="AY201" s="99"/>
      <c r="AZ201" s="99"/>
      <c r="BA201" s="99"/>
      <c r="BB201" s="99"/>
      <c r="BC201" s="99"/>
      <c r="BD201" s="99"/>
    </row>
    <row r="202" spans="1:56" x14ac:dyDescent="0.25">
      <c r="A202" s="37">
        <f>'32 SEMANA '!A12</f>
        <v>0</v>
      </c>
      <c r="B202" s="38">
        <f>'32 SEMANA '!B12</f>
        <v>0</v>
      </c>
      <c r="C202" s="38">
        <f>'32 SEMANA '!C12</f>
        <v>0</v>
      </c>
      <c r="D202" s="38">
        <f>'32 SEMANA '!D12</f>
        <v>0</v>
      </c>
      <c r="E202" s="100"/>
      <c r="F202" s="100"/>
      <c r="G202" s="99"/>
      <c r="H202" s="101"/>
      <c r="I202" s="102"/>
      <c r="J202" s="103"/>
      <c r="K202" s="99"/>
      <c r="L202" s="99"/>
      <c r="M202" s="99"/>
      <c r="N202" s="99"/>
      <c r="O202" s="99"/>
      <c r="P202" s="99"/>
      <c r="Q202" s="99"/>
      <c r="R202" s="99"/>
      <c r="S202" s="99"/>
      <c r="T202" s="99"/>
      <c r="U202" s="99"/>
      <c r="V202" s="99"/>
      <c r="W202" s="99"/>
      <c r="X202" s="99"/>
      <c r="Y202" s="99"/>
      <c r="Z202" s="99"/>
      <c r="AA202" s="99"/>
      <c r="AB202" s="99"/>
      <c r="AC202" s="99"/>
      <c r="AD202" s="99"/>
      <c r="AE202" s="99"/>
      <c r="AF202" s="99"/>
      <c r="AG202" s="99"/>
      <c r="AH202" s="99"/>
      <c r="AI202" s="99"/>
      <c r="AJ202" s="99"/>
      <c r="AK202" s="100">
        <f>+'32 SEMANA '!F12</f>
        <v>0</v>
      </c>
      <c r="AL202" s="100">
        <f>+'32 SEMANA '!G12</f>
        <v>0</v>
      </c>
      <c r="AM202" s="100">
        <f>+'32 SEMANA '!H12</f>
        <v>0</v>
      </c>
      <c r="AN202" s="100">
        <f>+'32 SEMANA '!I12</f>
        <v>0</v>
      </c>
      <c r="AO202" s="100">
        <f>+'32 SEMANA '!J12</f>
        <v>0</v>
      </c>
      <c r="AP202" s="100">
        <f>+'32 SEMANA '!K12</f>
        <v>0</v>
      </c>
      <c r="AQ202" s="99"/>
      <c r="AR202" s="99"/>
      <c r="AS202" s="99"/>
      <c r="AT202" s="99"/>
      <c r="AU202" s="99"/>
      <c r="AV202" s="99"/>
      <c r="AW202" s="99"/>
      <c r="AX202" s="99"/>
      <c r="AY202" s="99"/>
      <c r="AZ202" s="99"/>
      <c r="BA202" s="99"/>
      <c r="BB202" s="99"/>
      <c r="BC202" s="99"/>
      <c r="BD202" s="99"/>
    </row>
    <row r="203" spans="1:56" x14ac:dyDescent="0.25">
      <c r="A203" s="37">
        <f>'32 SEMANA '!A13</f>
        <v>0</v>
      </c>
      <c r="B203" s="38">
        <f>'32 SEMANA '!B13</f>
        <v>0</v>
      </c>
      <c r="C203" s="38">
        <f>'32 SEMANA '!C13</f>
        <v>0</v>
      </c>
      <c r="D203" s="38">
        <f>'32 SEMANA '!D13</f>
        <v>0</v>
      </c>
      <c r="E203" s="100"/>
      <c r="F203" s="100"/>
      <c r="G203" s="99"/>
      <c r="H203" s="101"/>
      <c r="I203" s="102"/>
      <c r="J203" s="103"/>
      <c r="K203" s="99"/>
      <c r="L203" s="99"/>
      <c r="M203" s="99"/>
      <c r="N203" s="99"/>
      <c r="O203" s="99"/>
      <c r="P203" s="99"/>
      <c r="Q203" s="99"/>
      <c r="R203" s="99"/>
      <c r="S203" s="99"/>
      <c r="T203" s="99"/>
      <c r="U203" s="99"/>
      <c r="V203" s="99"/>
      <c r="W203" s="99"/>
      <c r="X203" s="99"/>
      <c r="Y203" s="99"/>
      <c r="Z203" s="99"/>
      <c r="AA203" s="99"/>
      <c r="AB203" s="99"/>
      <c r="AC203" s="99"/>
      <c r="AD203" s="99"/>
      <c r="AE203" s="99"/>
      <c r="AF203" s="99"/>
      <c r="AG203" s="99"/>
      <c r="AH203" s="99"/>
      <c r="AI203" s="99"/>
      <c r="AJ203" s="99"/>
      <c r="AK203" s="100">
        <f>+'32 SEMANA '!F13</f>
        <v>0</v>
      </c>
      <c r="AL203" s="100">
        <f>+'32 SEMANA '!G13</f>
        <v>0</v>
      </c>
      <c r="AM203" s="100">
        <f>+'32 SEMANA '!H13</f>
        <v>0</v>
      </c>
      <c r="AN203" s="100">
        <f>+'32 SEMANA '!I13</f>
        <v>0</v>
      </c>
      <c r="AO203" s="100">
        <f>+'32 SEMANA '!J13</f>
        <v>0</v>
      </c>
      <c r="AP203" s="100">
        <f>+'32 SEMANA '!K13</f>
        <v>0</v>
      </c>
      <c r="AQ203" s="99"/>
      <c r="AR203" s="99"/>
      <c r="AS203" s="99"/>
      <c r="AT203" s="99"/>
      <c r="AU203" s="99"/>
      <c r="AV203" s="99"/>
      <c r="AW203" s="99"/>
      <c r="AX203" s="99"/>
      <c r="AY203" s="99"/>
      <c r="AZ203" s="99"/>
      <c r="BA203" s="99"/>
      <c r="BB203" s="99"/>
      <c r="BC203" s="99"/>
      <c r="BD203" s="99"/>
    </row>
    <row r="204" spans="1:56" x14ac:dyDescent="0.25">
      <c r="A204" s="37">
        <f>'32 SEMANA '!A14</f>
        <v>0</v>
      </c>
      <c r="B204" s="38">
        <f>'32 SEMANA '!B14</f>
        <v>0</v>
      </c>
      <c r="C204" s="38">
        <f>'32 SEMANA '!C14</f>
        <v>0</v>
      </c>
      <c r="D204" s="38">
        <f>'32 SEMANA '!D14</f>
        <v>0</v>
      </c>
      <c r="E204" s="100"/>
      <c r="F204" s="100"/>
      <c r="G204" s="99"/>
      <c r="H204" s="101"/>
      <c r="I204" s="102"/>
      <c r="J204" s="103"/>
      <c r="K204" s="99"/>
      <c r="L204" s="99"/>
      <c r="M204" s="99"/>
      <c r="N204" s="99"/>
      <c r="O204" s="99"/>
      <c r="P204" s="99"/>
      <c r="Q204" s="99"/>
      <c r="R204" s="99"/>
      <c r="S204" s="99"/>
      <c r="T204" s="99"/>
      <c r="U204" s="99"/>
      <c r="V204" s="99"/>
      <c r="W204" s="99"/>
      <c r="X204" s="99"/>
      <c r="Y204" s="99"/>
      <c r="Z204" s="99"/>
      <c r="AA204" s="99"/>
      <c r="AB204" s="99"/>
      <c r="AC204" s="99"/>
      <c r="AD204" s="99"/>
      <c r="AE204" s="99"/>
      <c r="AF204" s="99"/>
      <c r="AG204" s="99"/>
      <c r="AH204" s="99"/>
      <c r="AI204" s="99"/>
      <c r="AJ204" s="99"/>
      <c r="AK204" s="100">
        <f>+'32 SEMANA '!F14</f>
        <v>0</v>
      </c>
      <c r="AL204" s="100">
        <f>+'32 SEMANA '!G14</f>
        <v>0</v>
      </c>
      <c r="AM204" s="100">
        <f>+'32 SEMANA '!H14</f>
        <v>0</v>
      </c>
      <c r="AN204" s="100">
        <f>+'32 SEMANA '!I14</f>
        <v>0</v>
      </c>
      <c r="AO204" s="100">
        <f>+'32 SEMANA '!J14</f>
        <v>0</v>
      </c>
      <c r="AP204" s="100">
        <f>+'32 SEMANA '!K14</f>
        <v>0</v>
      </c>
      <c r="AQ204" s="99"/>
      <c r="AR204" s="99"/>
      <c r="AS204" s="99"/>
      <c r="AT204" s="99"/>
      <c r="AU204" s="99"/>
      <c r="AV204" s="99"/>
      <c r="AW204" s="99"/>
      <c r="AX204" s="99"/>
      <c r="AY204" s="99"/>
      <c r="AZ204" s="99"/>
      <c r="BA204" s="99"/>
      <c r="BB204" s="99"/>
      <c r="BC204" s="99"/>
      <c r="BD204" s="99"/>
    </row>
    <row r="205" spans="1:56" x14ac:dyDescent="0.25">
      <c r="A205" s="37">
        <f>'33 SEMANA '!A9</f>
        <v>0</v>
      </c>
      <c r="B205" s="38">
        <f>'33 SEMANA '!B9</f>
        <v>0</v>
      </c>
      <c r="C205" s="38">
        <f>'33 SEMANA '!C9</f>
        <v>0</v>
      </c>
      <c r="D205" s="38">
        <f>'33 SEMANA '!D9</f>
        <v>0</v>
      </c>
      <c r="E205" s="100"/>
      <c r="F205" s="100"/>
      <c r="G205" s="99"/>
      <c r="H205" s="101"/>
      <c r="I205" s="102"/>
      <c r="J205" s="103"/>
      <c r="K205" s="99"/>
      <c r="L205" s="99"/>
      <c r="M205" s="99"/>
      <c r="N205" s="99"/>
      <c r="O205" s="99"/>
      <c r="P205" s="99"/>
      <c r="Q205" s="99"/>
      <c r="R205" s="99"/>
      <c r="S205" s="99"/>
      <c r="T205" s="99"/>
      <c r="U205" s="99"/>
      <c r="V205" s="99"/>
      <c r="W205" s="99"/>
      <c r="X205" s="99"/>
      <c r="Y205" s="99"/>
      <c r="Z205" s="99"/>
      <c r="AA205" s="99"/>
      <c r="AB205" s="99"/>
      <c r="AC205" s="99"/>
      <c r="AD205" s="99"/>
      <c r="AE205" s="99"/>
      <c r="AF205" s="99"/>
      <c r="AG205" s="99"/>
      <c r="AH205" s="99"/>
      <c r="AI205" s="99"/>
      <c r="AJ205" s="99"/>
      <c r="AK205" s="99"/>
      <c r="AL205" s="100">
        <f>+'33 SEMANA '!F9</f>
        <v>0</v>
      </c>
      <c r="AM205" s="100">
        <f>+'33 SEMANA '!G9</f>
        <v>0</v>
      </c>
      <c r="AN205" s="100">
        <f>+'33 SEMANA '!H9</f>
        <v>0</v>
      </c>
      <c r="AO205" s="100">
        <f>+'33 SEMANA '!I9</f>
        <v>0</v>
      </c>
      <c r="AP205" s="100">
        <f>+'33 SEMANA '!J9</f>
        <v>0</v>
      </c>
      <c r="AQ205" s="100">
        <f>+'33 SEMANA '!K9</f>
        <v>0</v>
      </c>
      <c r="AR205" s="99"/>
      <c r="AS205" s="99"/>
      <c r="AT205" s="99"/>
      <c r="AU205" s="99"/>
      <c r="AV205" s="99"/>
      <c r="AW205" s="99"/>
      <c r="AX205" s="99"/>
      <c r="AY205" s="99"/>
      <c r="AZ205" s="99"/>
      <c r="BA205" s="99"/>
      <c r="BB205" s="99"/>
      <c r="BC205" s="99"/>
      <c r="BD205" s="99"/>
    </row>
    <row r="206" spans="1:56" x14ac:dyDescent="0.25">
      <c r="A206" s="37">
        <f>'33 SEMANA '!A10</f>
        <v>0</v>
      </c>
      <c r="B206" s="38">
        <f>'33 SEMANA '!B10</f>
        <v>0</v>
      </c>
      <c r="C206" s="38">
        <f>'33 SEMANA '!C10</f>
        <v>0</v>
      </c>
      <c r="D206" s="38">
        <f>'33 SEMANA '!D10</f>
        <v>0</v>
      </c>
      <c r="E206" s="100"/>
      <c r="F206" s="100"/>
      <c r="G206" s="99"/>
      <c r="H206" s="101"/>
      <c r="I206" s="102"/>
      <c r="J206" s="103"/>
      <c r="K206" s="99"/>
      <c r="L206" s="99"/>
      <c r="M206" s="99"/>
      <c r="N206" s="99"/>
      <c r="O206" s="99"/>
      <c r="P206" s="99"/>
      <c r="Q206" s="99"/>
      <c r="R206" s="99"/>
      <c r="S206" s="99"/>
      <c r="T206" s="99"/>
      <c r="U206" s="99"/>
      <c r="V206" s="99"/>
      <c r="W206" s="99"/>
      <c r="X206" s="99"/>
      <c r="Y206" s="99"/>
      <c r="Z206" s="99"/>
      <c r="AA206" s="99"/>
      <c r="AB206" s="99"/>
      <c r="AC206" s="99"/>
      <c r="AD206" s="99"/>
      <c r="AE206" s="99"/>
      <c r="AF206" s="99"/>
      <c r="AG206" s="99"/>
      <c r="AH206" s="99"/>
      <c r="AI206" s="99"/>
      <c r="AJ206" s="99"/>
      <c r="AK206" s="99"/>
      <c r="AL206" s="100">
        <f>+'33 SEMANA '!F10</f>
        <v>0</v>
      </c>
      <c r="AM206" s="100">
        <f>+'33 SEMANA '!G10</f>
        <v>0</v>
      </c>
      <c r="AN206" s="100">
        <f>+'33 SEMANA '!H10</f>
        <v>0</v>
      </c>
      <c r="AO206" s="100">
        <f>+'33 SEMANA '!I10</f>
        <v>0</v>
      </c>
      <c r="AP206" s="100">
        <f>+'33 SEMANA '!J10</f>
        <v>0</v>
      </c>
      <c r="AQ206" s="100">
        <f>+'33 SEMANA '!K10</f>
        <v>0</v>
      </c>
      <c r="AR206" s="99"/>
      <c r="AS206" s="99"/>
      <c r="AT206" s="99"/>
      <c r="AU206" s="99"/>
      <c r="AV206" s="99"/>
      <c r="AW206" s="99"/>
      <c r="AX206" s="99"/>
      <c r="AY206" s="99"/>
      <c r="AZ206" s="99"/>
      <c r="BA206" s="99"/>
      <c r="BB206" s="99"/>
      <c r="BC206" s="99"/>
      <c r="BD206" s="99"/>
    </row>
    <row r="207" spans="1:56" x14ac:dyDescent="0.25">
      <c r="A207" s="37">
        <f>'33 SEMANA '!A11</f>
        <v>0</v>
      </c>
      <c r="B207" s="38">
        <f>'33 SEMANA '!B11</f>
        <v>0</v>
      </c>
      <c r="C207" s="38">
        <f>'33 SEMANA '!C11</f>
        <v>0</v>
      </c>
      <c r="D207" s="38">
        <f>'33 SEMANA '!D11</f>
        <v>0</v>
      </c>
      <c r="E207" s="100"/>
      <c r="F207" s="100"/>
      <c r="G207" s="99"/>
      <c r="H207" s="101"/>
      <c r="I207" s="102"/>
      <c r="J207" s="103"/>
      <c r="K207" s="99"/>
      <c r="L207" s="99"/>
      <c r="M207" s="99"/>
      <c r="N207" s="99"/>
      <c r="O207" s="99"/>
      <c r="P207" s="99"/>
      <c r="Q207" s="99"/>
      <c r="R207" s="99"/>
      <c r="S207" s="99"/>
      <c r="T207" s="99"/>
      <c r="U207" s="99"/>
      <c r="V207" s="99"/>
      <c r="W207" s="99"/>
      <c r="X207" s="99"/>
      <c r="Y207" s="99"/>
      <c r="Z207" s="99"/>
      <c r="AA207" s="99"/>
      <c r="AB207" s="99"/>
      <c r="AC207" s="99"/>
      <c r="AD207" s="99"/>
      <c r="AE207" s="99"/>
      <c r="AF207" s="99"/>
      <c r="AG207" s="99"/>
      <c r="AH207" s="99"/>
      <c r="AI207" s="99"/>
      <c r="AJ207" s="99"/>
      <c r="AK207" s="99"/>
      <c r="AL207" s="100">
        <f>+'33 SEMANA '!F11</f>
        <v>0</v>
      </c>
      <c r="AM207" s="100">
        <f>+'33 SEMANA '!G11</f>
        <v>0</v>
      </c>
      <c r="AN207" s="100">
        <f>+'33 SEMANA '!H11</f>
        <v>0</v>
      </c>
      <c r="AO207" s="100">
        <f>+'33 SEMANA '!I11</f>
        <v>0</v>
      </c>
      <c r="AP207" s="100">
        <f>+'33 SEMANA '!J11</f>
        <v>0</v>
      </c>
      <c r="AQ207" s="100">
        <f>+'33 SEMANA '!K11</f>
        <v>0</v>
      </c>
      <c r="AR207" s="99"/>
      <c r="AS207" s="99"/>
      <c r="AT207" s="99"/>
      <c r="AU207" s="99"/>
      <c r="AV207" s="99"/>
      <c r="AW207" s="99"/>
      <c r="AX207" s="99"/>
      <c r="AY207" s="99"/>
      <c r="AZ207" s="99"/>
      <c r="BA207" s="99"/>
      <c r="BB207" s="99"/>
      <c r="BC207" s="99"/>
      <c r="BD207" s="99"/>
    </row>
    <row r="208" spans="1:56" x14ac:dyDescent="0.25">
      <c r="A208" s="37">
        <f>'33 SEMANA '!A12</f>
        <v>0</v>
      </c>
      <c r="B208" s="38">
        <f>'33 SEMANA '!B12</f>
        <v>0</v>
      </c>
      <c r="C208" s="38">
        <f>'33 SEMANA '!C12</f>
        <v>0</v>
      </c>
      <c r="D208" s="38">
        <f>'33 SEMANA '!D12</f>
        <v>0</v>
      </c>
      <c r="E208" s="100"/>
      <c r="F208" s="100"/>
      <c r="G208" s="99"/>
      <c r="H208" s="101"/>
      <c r="I208" s="102"/>
      <c r="J208" s="103"/>
      <c r="K208" s="99"/>
      <c r="L208" s="99"/>
      <c r="M208" s="99"/>
      <c r="N208" s="99"/>
      <c r="O208" s="99"/>
      <c r="P208" s="99"/>
      <c r="Q208" s="99"/>
      <c r="R208" s="99"/>
      <c r="S208" s="99"/>
      <c r="T208" s="99"/>
      <c r="U208" s="99"/>
      <c r="V208" s="99"/>
      <c r="W208" s="99"/>
      <c r="X208" s="99"/>
      <c r="Y208" s="99"/>
      <c r="Z208" s="99"/>
      <c r="AA208" s="99"/>
      <c r="AB208" s="99"/>
      <c r="AC208" s="99"/>
      <c r="AD208" s="99"/>
      <c r="AE208" s="99"/>
      <c r="AF208" s="99"/>
      <c r="AG208" s="99"/>
      <c r="AH208" s="99"/>
      <c r="AI208" s="99"/>
      <c r="AJ208" s="99"/>
      <c r="AK208" s="99"/>
      <c r="AL208" s="100">
        <f>+'33 SEMANA '!F12</f>
        <v>0</v>
      </c>
      <c r="AM208" s="100">
        <f>+'33 SEMANA '!G12</f>
        <v>0</v>
      </c>
      <c r="AN208" s="100">
        <f>+'33 SEMANA '!H12</f>
        <v>0</v>
      </c>
      <c r="AO208" s="100">
        <f>+'33 SEMANA '!I12</f>
        <v>0</v>
      </c>
      <c r="AP208" s="100">
        <f>+'33 SEMANA '!J12</f>
        <v>0</v>
      </c>
      <c r="AQ208" s="100">
        <f>+'33 SEMANA '!K12</f>
        <v>0</v>
      </c>
      <c r="AR208" s="99"/>
      <c r="AS208" s="99"/>
      <c r="AT208" s="99"/>
      <c r="AU208" s="99"/>
      <c r="AV208" s="99"/>
      <c r="AW208" s="99"/>
      <c r="AX208" s="99"/>
      <c r="AY208" s="99"/>
      <c r="AZ208" s="99"/>
      <c r="BA208" s="99"/>
      <c r="BB208" s="99"/>
      <c r="BC208" s="99"/>
      <c r="BD208" s="99"/>
    </row>
    <row r="209" spans="1:56" x14ac:dyDescent="0.25">
      <c r="A209" s="37">
        <f>'33 SEMANA '!A13</f>
        <v>0</v>
      </c>
      <c r="B209" s="38">
        <f>'33 SEMANA '!B13</f>
        <v>0</v>
      </c>
      <c r="C209" s="38">
        <f>'33 SEMANA '!C13</f>
        <v>0</v>
      </c>
      <c r="D209" s="38">
        <f>'33 SEMANA '!D13</f>
        <v>0</v>
      </c>
      <c r="E209" s="100"/>
      <c r="F209" s="100"/>
      <c r="G209" s="99"/>
      <c r="H209" s="101"/>
      <c r="I209" s="102"/>
      <c r="J209" s="103"/>
      <c r="K209" s="99"/>
      <c r="L209" s="99"/>
      <c r="M209" s="99"/>
      <c r="N209" s="99"/>
      <c r="O209" s="99"/>
      <c r="P209" s="99"/>
      <c r="Q209" s="99"/>
      <c r="R209" s="99"/>
      <c r="S209" s="99"/>
      <c r="T209" s="99"/>
      <c r="U209" s="99"/>
      <c r="V209" s="99"/>
      <c r="W209" s="99"/>
      <c r="X209" s="99"/>
      <c r="Y209" s="99"/>
      <c r="Z209" s="99"/>
      <c r="AA209" s="99"/>
      <c r="AB209" s="99"/>
      <c r="AC209" s="99"/>
      <c r="AD209" s="99"/>
      <c r="AE209" s="99"/>
      <c r="AF209" s="99"/>
      <c r="AG209" s="99"/>
      <c r="AH209" s="99"/>
      <c r="AI209" s="99"/>
      <c r="AJ209" s="99"/>
      <c r="AK209" s="99"/>
      <c r="AL209" s="100">
        <f>+'33 SEMANA '!F13</f>
        <v>0</v>
      </c>
      <c r="AM209" s="100">
        <f>+'33 SEMANA '!G13</f>
        <v>0</v>
      </c>
      <c r="AN209" s="100">
        <f>+'33 SEMANA '!H13</f>
        <v>0</v>
      </c>
      <c r="AO209" s="100">
        <f>+'33 SEMANA '!I13</f>
        <v>0</v>
      </c>
      <c r="AP209" s="100">
        <f>+'33 SEMANA '!J13</f>
        <v>0</v>
      </c>
      <c r="AQ209" s="100">
        <f>+'33 SEMANA '!K13</f>
        <v>0</v>
      </c>
      <c r="AR209" s="99"/>
      <c r="AS209" s="99"/>
      <c r="AT209" s="99"/>
      <c r="AU209" s="99"/>
      <c r="AV209" s="99"/>
      <c r="AW209" s="99"/>
      <c r="AX209" s="99"/>
      <c r="AY209" s="99"/>
      <c r="AZ209" s="99"/>
      <c r="BA209" s="99"/>
      <c r="BB209" s="99"/>
      <c r="BC209" s="99"/>
      <c r="BD209" s="99"/>
    </row>
    <row r="210" spans="1:56" x14ac:dyDescent="0.25">
      <c r="A210" s="37">
        <f>'33 SEMANA '!A14</f>
        <v>0</v>
      </c>
      <c r="B210" s="38">
        <f>'33 SEMANA '!B14</f>
        <v>0</v>
      </c>
      <c r="C210" s="38">
        <f>'33 SEMANA '!C14</f>
        <v>0</v>
      </c>
      <c r="D210" s="38">
        <f>'33 SEMANA '!D14</f>
        <v>0</v>
      </c>
      <c r="E210" s="100"/>
      <c r="F210" s="100"/>
      <c r="G210" s="99"/>
      <c r="H210" s="101"/>
      <c r="I210" s="102"/>
      <c r="J210" s="103"/>
      <c r="K210" s="99"/>
      <c r="L210" s="99"/>
      <c r="M210" s="99"/>
      <c r="N210" s="99"/>
      <c r="O210" s="99"/>
      <c r="P210" s="99"/>
      <c r="Q210" s="99"/>
      <c r="R210" s="99"/>
      <c r="S210" s="99"/>
      <c r="T210" s="99"/>
      <c r="U210" s="99"/>
      <c r="V210" s="99"/>
      <c r="W210" s="99"/>
      <c r="X210" s="99"/>
      <c r="Y210" s="99"/>
      <c r="Z210" s="99"/>
      <c r="AA210" s="99"/>
      <c r="AB210" s="99"/>
      <c r="AC210" s="99"/>
      <c r="AD210" s="99"/>
      <c r="AE210" s="99"/>
      <c r="AF210" s="99"/>
      <c r="AG210" s="99"/>
      <c r="AH210" s="99"/>
      <c r="AI210" s="99"/>
      <c r="AJ210" s="99"/>
      <c r="AK210" s="99"/>
      <c r="AL210" s="100">
        <f>+'33 SEMANA '!F14</f>
        <v>0</v>
      </c>
      <c r="AM210" s="100">
        <f>+'33 SEMANA '!G14</f>
        <v>0</v>
      </c>
      <c r="AN210" s="100">
        <f>+'33 SEMANA '!H14</f>
        <v>0</v>
      </c>
      <c r="AO210" s="100">
        <f>+'33 SEMANA '!I14</f>
        <v>0</v>
      </c>
      <c r="AP210" s="100">
        <f>+'33 SEMANA '!J14</f>
        <v>0</v>
      </c>
      <c r="AQ210" s="100">
        <f>+'33 SEMANA '!K14</f>
        <v>0</v>
      </c>
      <c r="AR210" s="99"/>
      <c r="AS210" s="99"/>
      <c r="AT210" s="99"/>
      <c r="AU210" s="99"/>
      <c r="AV210" s="99"/>
      <c r="AW210" s="99"/>
      <c r="AX210" s="99"/>
      <c r="AY210" s="99"/>
      <c r="AZ210" s="99"/>
      <c r="BA210" s="99"/>
      <c r="BB210" s="99"/>
      <c r="BC210" s="99"/>
      <c r="BD210" s="99"/>
    </row>
    <row r="211" spans="1:56" x14ac:dyDescent="0.25">
      <c r="A211" s="37">
        <f>+'34 SEMANA'!A9</f>
        <v>0</v>
      </c>
      <c r="B211" s="38">
        <f>+'34 SEMANA'!B9</f>
        <v>0</v>
      </c>
      <c r="C211" s="38">
        <f>+'34 SEMANA'!C9</f>
        <v>0</v>
      </c>
      <c r="D211" s="38">
        <f>+'34 SEMANA'!D9</f>
        <v>0</v>
      </c>
      <c r="E211" s="100"/>
      <c r="F211" s="100"/>
      <c r="G211" s="99"/>
      <c r="H211" s="101"/>
      <c r="I211" s="102"/>
      <c r="J211" s="103"/>
      <c r="K211" s="99"/>
      <c r="L211" s="99"/>
      <c r="M211" s="99"/>
      <c r="N211" s="99"/>
      <c r="O211" s="99"/>
      <c r="P211" s="99"/>
      <c r="Q211" s="99"/>
      <c r="R211" s="99"/>
      <c r="S211" s="99"/>
      <c r="T211" s="99"/>
      <c r="U211" s="99"/>
      <c r="V211" s="99"/>
      <c r="W211" s="99"/>
      <c r="X211" s="99"/>
      <c r="Y211" s="99"/>
      <c r="Z211" s="99"/>
      <c r="AA211" s="99"/>
      <c r="AB211" s="99"/>
      <c r="AC211" s="99"/>
      <c r="AD211" s="99"/>
      <c r="AE211" s="99"/>
      <c r="AF211" s="99"/>
      <c r="AG211" s="99"/>
      <c r="AH211" s="99"/>
      <c r="AI211" s="99"/>
      <c r="AJ211" s="99"/>
      <c r="AK211" s="99"/>
      <c r="AL211" s="99"/>
      <c r="AM211" s="100">
        <f>+'34 SEMANA'!F9</f>
        <v>0</v>
      </c>
      <c r="AN211" s="100">
        <f>+'34 SEMANA'!G9</f>
        <v>0</v>
      </c>
      <c r="AO211" s="100">
        <f>+'34 SEMANA'!H9</f>
        <v>0</v>
      </c>
      <c r="AP211" s="100">
        <f>+'34 SEMANA'!I9</f>
        <v>0</v>
      </c>
      <c r="AQ211" s="100">
        <f>+'34 SEMANA'!J9</f>
        <v>0</v>
      </c>
      <c r="AR211" s="100">
        <f>+'34 SEMANA'!K9</f>
        <v>0</v>
      </c>
      <c r="AS211" s="99"/>
      <c r="AT211" s="99"/>
      <c r="AU211" s="99"/>
      <c r="AV211" s="99"/>
      <c r="AW211" s="99"/>
      <c r="AX211" s="99"/>
      <c r="AY211" s="99"/>
      <c r="AZ211" s="99"/>
      <c r="BA211" s="99"/>
      <c r="BB211" s="99"/>
      <c r="BC211" s="99"/>
      <c r="BD211" s="99"/>
    </row>
    <row r="212" spans="1:56" x14ac:dyDescent="0.25">
      <c r="A212" s="37">
        <f>+'34 SEMANA'!A10</f>
        <v>0</v>
      </c>
      <c r="B212" s="38">
        <f>+'34 SEMANA'!B10</f>
        <v>0</v>
      </c>
      <c r="C212" s="38">
        <f>+'34 SEMANA'!C10</f>
        <v>0</v>
      </c>
      <c r="D212" s="38">
        <f>+'34 SEMANA'!D10</f>
        <v>0</v>
      </c>
      <c r="E212" s="100"/>
      <c r="F212" s="100"/>
      <c r="G212" s="99"/>
      <c r="H212" s="101"/>
      <c r="I212" s="102"/>
      <c r="J212" s="103"/>
      <c r="K212" s="99"/>
      <c r="L212" s="99"/>
      <c r="M212" s="99"/>
      <c r="N212" s="99"/>
      <c r="O212" s="99"/>
      <c r="P212" s="99"/>
      <c r="Q212" s="99"/>
      <c r="R212" s="99"/>
      <c r="S212" s="99"/>
      <c r="T212" s="99"/>
      <c r="U212" s="99"/>
      <c r="V212" s="99"/>
      <c r="W212" s="99"/>
      <c r="X212" s="99"/>
      <c r="Y212" s="99"/>
      <c r="Z212" s="99"/>
      <c r="AA212" s="99"/>
      <c r="AB212" s="99"/>
      <c r="AC212" s="99"/>
      <c r="AD212" s="99"/>
      <c r="AE212" s="99"/>
      <c r="AF212" s="99"/>
      <c r="AG212" s="99"/>
      <c r="AH212" s="99"/>
      <c r="AI212" s="99"/>
      <c r="AJ212" s="99"/>
      <c r="AK212" s="99"/>
      <c r="AL212" s="99"/>
      <c r="AM212" s="100">
        <f>+'34 SEMANA'!F10</f>
        <v>0</v>
      </c>
      <c r="AN212" s="100">
        <f>+'34 SEMANA'!G10</f>
        <v>0</v>
      </c>
      <c r="AO212" s="100">
        <f>+'34 SEMANA'!H10</f>
        <v>0</v>
      </c>
      <c r="AP212" s="100">
        <f>+'34 SEMANA'!I10</f>
        <v>0</v>
      </c>
      <c r="AQ212" s="100">
        <f>+'34 SEMANA'!J10</f>
        <v>0</v>
      </c>
      <c r="AR212" s="100">
        <f>+'34 SEMANA'!K10</f>
        <v>0</v>
      </c>
      <c r="AS212" s="99"/>
      <c r="AT212" s="99"/>
      <c r="AU212" s="99"/>
      <c r="AV212" s="99"/>
      <c r="AW212" s="99"/>
      <c r="AX212" s="99"/>
      <c r="AY212" s="99"/>
      <c r="AZ212" s="99"/>
      <c r="BA212" s="99"/>
      <c r="BB212" s="99"/>
      <c r="BC212" s="99"/>
      <c r="BD212" s="99"/>
    </row>
    <row r="213" spans="1:56" x14ac:dyDescent="0.25">
      <c r="A213" s="37">
        <f>+'34 SEMANA'!A11</f>
        <v>0</v>
      </c>
      <c r="B213" s="38">
        <f>+'34 SEMANA'!B11</f>
        <v>0</v>
      </c>
      <c r="C213" s="38">
        <f>+'34 SEMANA'!C11</f>
        <v>0</v>
      </c>
      <c r="D213" s="38">
        <f>+'34 SEMANA'!D11</f>
        <v>0</v>
      </c>
      <c r="E213" s="100"/>
      <c r="F213" s="100"/>
      <c r="G213" s="99"/>
      <c r="H213" s="101"/>
      <c r="I213" s="102"/>
      <c r="J213" s="103"/>
      <c r="K213" s="99"/>
      <c r="L213" s="99"/>
      <c r="M213" s="99"/>
      <c r="N213" s="99"/>
      <c r="O213" s="99"/>
      <c r="P213" s="99"/>
      <c r="Q213" s="99"/>
      <c r="R213" s="99"/>
      <c r="S213" s="99"/>
      <c r="T213" s="99"/>
      <c r="U213" s="99"/>
      <c r="V213" s="99"/>
      <c r="W213" s="99"/>
      <c r="X213" s="99"/>
      <c r="Y213" s="99"/>
      <c r="Z213" s="99"/>
      <c r="AA213" s="99"/>
      <c r="AB213" s="99"/>
      <c r="AC213" s="99"/>
      <c r="AD213" s="99"/>
      <c r="AE213" s="99"/>
      <c r="AF213" s="99"/>
      <c r="AG213" s="99"/>
      <c r="AH213" s="99"/>
      <c r="AI213" s="99"/>
      <c r="AJ213" s="99"/>
      <c r="AK213" s="99"/>
      <c r="AL213" s="99"/>
      <c r="AM213" s="100">
        <f>+'34 SEMANA'!F11</f>
        <v>0</v>
      </c>
      <c r="AN213" s="100">
        <f>+'34 SEMANA'!G11</f>
        <v>0</v>
      </c>
      <c r="AO213" s="100">
        <f>+'34 SEMANA'!H11</f>
        <v>0</v>
      </c>
      <c r="AP213" s="100">
        <f>+'34 SEMANA'!I11</f>
        <v>0</v>
      </c>
      <c r="AQ213" s="100">
        <f>+'34 SEMANA'!J11</f>
        <v>0</v>
      </c>
      <c r="AR213" s="100">
        <f>+'34 SEMANA'!K11</f>
        <v>0</v>
      </c>
      <c r="AS213" s="99"/>
      <c r="AT213" s="99"/>
      <c r="AU213" s="99"/>
      <c r="AV213" s="99"/>
      <c r="AW213" s="99"/>
      <c r="AX213" s="99"/>
      <c r="AY213" s="99"/>
      <c r="AZ213" s="99"/>
      <c r="BA213" s="99"/>
      <c r="BB213" s="99"/>
      <c r="BC213" s="99"/>
      <c r="BD213" s="99"/>
    </row>
    <row r="214" spans="1:56" x14ac:dyDescent="0.25">
      <c r="A214" s="37">
        <f>+'34 SEMANA'!A12</f>
        <v>0</v>
      </c>
      <c r="B214" s="38">
        <f>+'34 SEMANA'!B12</f>
        <v>0</v>
      </c>
      <c r="C214" s="38">
        <f>+'34 SEMANA'!C12</f>
        <v>0</v>
      </c>
      <c r="D214" s="38">
        <f>+'34 SEMANA'!D12</f>
        <v>0</v>
      </c>
      <c r="E214" s="100"/>
      <c r="F214" s="100"/>
      <c r="G214" s="99"/>
      <c r="H214" s="101"/>
      <c r="I214" s="102"/>
      <c r="J214" s="103"/>
      <c r="K214" s="99"/>
      <c r="L214" s="99"/>
      <c r="M214" s="99"/>
      <c r="N214" s="99"/>
      <c r="O214" s="99"/>
      <c r="P214" s="99"/>
      <c r="Q214" s="99"/>
      <c r="R214" s="99"/>
      <c r="S214" s="99"/>
      <c r="T214" s="99"/>
      <c r="U214" s="99"/>
      <c r="V214" s="99"/>
      <c r="W214" s="99"/>
      <c r="X214" s="99"/>
      <c r="Y214" s="99"/>
      <c r="Z214" s="99"/>
      <c r="AA214" s="99"/>
      <c r="AB214" s="99"/>
      <c r="AC214" s="99"/>
      <c r="AD214" s="99"/>
      <c r="AE214" s="99"/>
      <c r="AF214" s="99"/>
      <c r="AG214" s="99"/>
      <c r="AH214" s="99"/>
      <c r="AI214" s="99"/>
      <c r="AJ214" s="99"/>
      <c r="AK214" s="99"/>
      <c r="AL214" s="99"/>
      <c r="AM214" s="100">
        <f>+'34 SEMANA'!F12</f>
        <v>0</v>
      </c>
      <c r="AN214" s="100">
        <f>+'34 SEMANA'!G12</f>
        <v>0</v>
      </c>
      <c r="AO214" s="100">
        <f>+'34 SEMANA'!H12</f>
        <v>0</v>
      </c>
      <c r="AP214" s="100">
        <f>+'34 SEMANA'!I12</f>
        <v>0</v>
      </c>
      <c r="AQ214" s="100">
        <f>+'34 SEMANA'!J12</f>
        <v>0</v>
      </c>
      <c r="AR214" s="100">
        <f>+'34 SEMANA'!K12</f>
        <v>0</v>
      </c>
      <c r="AS214" s="99"/>
      <c r="AT214" s="99"/>
      <c r="AU214" s="99"/>
      <c r="AV214" s="99"/>
      <c r="AW214" s="99"/>
      <c r="AX214" s="99"/>
      <c r="AY214" s="99"/>
      <c r="AZ214" s="99"/>
      <c r="BA214" s="99"/>
      <c r="BB214" s="99"/>
      <c r="BC214" s="99"/>
      <c r="BD214" s="99"/>
    </row>
    <row r="215" spans="1:56" x14ac:dyDescent="0.25">
      <c r="A215" s="37">
        <f>+'34 SEMANA'!A13</f>
        <v>0</v>
      </c>
      <c r="B215" s="38">
        <f>+'34 SEMANA'!B13</f>
        <v>0</v>
      </c>
      <c r="C215" s="38">
        <f>+'34 SEMANA'!C13</f>
        <v>0</v>
      </c>
      <c r="D215" s="38">
        <f>+'34 SEMANA'!D13</f>
        <v>0</v>
      </c>
      <c r="E215" s="100"/>
      <c r="F215" s="100"/>
      <c r="G215" s="99"/>
      <c r="H215" s="101"/>
      <c r="I215" s="102"/>
      <c r="J215" s="103"/>
      <c r="K215" s="99"/>
      <c r="L215" s="99"/>
      <c r="M215" s="99"/>
      <c r="N215" s="99"/>
      <c r="O215" s="99"/>
      <c r="P215" s="99"/>
      <c r="Q215" s="99"/>
      <c r="R215" s="99"/>
      <c r="S215" s="99"/>
      <c r="T215" s="99"/>
      <c r="U215" s="99"/>
      <c r="V215" s="99"/>
      <c r="W215" s="99"/>
      <c r="X215" s="99"/>
      <c r="Y215" s="99"/>
      <c r="Z215" s="99"/>
      <c r="AA215" s="99"/>
      <c r="AB215" s="99"/>
      <c r="AC215" s="99"/>
      <c r="AD215" s="99"/>
      <c r="AE215" s="99"/>
      <c r="AF215" s="99"/>
      <c r="AG215" s="99"/>
      <c r="AH215" s="99"/>
      <c r="AI215" s="99"/>
      <c r="AJ215" s="99"/>
      <c r="AK215" s="99"/>
      <c r="AL215" s="99"/>
      <c r="AM215" s="100">
        <f>+'34 SEMANA'!F13</f>
        <v>0</v>
      </c>
      <c r="AN215" s="100">
        <f>+'34 SEMANA'!G13</f>
        <v>0</v>
      </c>
      <c r="AO215" s="100">
        <f>+'34 SEMANA'!H13</f>
        <v>0</v>
      </c>
      <c r="AP215" s="100">
        <f>+'34 SEMANA'!I13</f>
        <v>0</v>
      </c>
      <c r="AQ215" s="100">
        <f>+'34 SEMANA'!J13</f>
        <v>0</v>
      </c>
      <c r="AR215" s="100">
        <f>+'34 SEMANA'!K13</f>
        <v>0</v>
      </c>
      <c r="AS215" s="99"/>
      <c r="AT215" s="99"/>
      <c r="AU215" s="99"/>
      <c r="AV215" s="99"/>
      <c r="AW215" s="99"/>
      <c r="AX215" s="99"/>
      <c r="AY215" s="99"/>
      <c r="AZ215" s="99"/>
      <c r="BA215" s="99"/>
      <c r="BB215" s="99"/>
      <c r="BC215" s="99"/>
      <c r="BD215" s="99"/>
    </row>
    <row r="216" spans="1:56" x14ac:dyDescent="0.25">
      <c r="A216" s="37">
        <f>+'34 SEMANA'!A14</f>
        <v>0</v>
      </c>
      <c r="B216" s="38">
        <f>+'34 SEMANA'!B14</f>
        <v>0</v>
      </c>
      <c r="C216" s="38">
        <f>+'34 SEMANA'!C14</f>
        <v>0</v>
      </c>
      <c r="D216" s="38">
        <f>+'34 SEMANA'!D14</f>
        <v>0</v>
      </c>
      <c r="E216" s="100"/>
      <c r="F216" s="100"/>
      <c r="G216" s="99"/>
      <c r="H216" s="101"/>
      <c r="I216" s="102"/>
      <c r="J216" s="103"/>
      <c r="K216" s="99"/>
      <c r="L216" s="99"/>
      <c r="M216" s="99"/>
      <c r="N216" s="99"/>
      <c r="O216" s="99"/>
      <c r="P216" s="99"/>
      <c r="Q216" s="99"/>
      <c r="R216" s="99"/>
      <c r="S216" s="99"/>
      <c r="T216" s="99"/>
      <c r="U216" s="99"/>
      <c r="V216" s="99"/>
      <c r="W216" s="99"/>
      <c r="X216" s="99"/>
      <c r="Y216" s="99"/>
      <c r="Z216" s="99"/>
      <c r="AA216" s="99"/>
      <c r="AB216" s="99"/>
      <c r="AC216" s="99"/>
      <c r="AD216" s="99"/>
      <c r="AE216" s="99"/>
      <c r="AF216" s="99"/>
      <c r="AG216" s="99"/>
      <c r="AH216" s="99"/>
      <c r="AI216" s="99"/>
      <c r="AJ216" s="99"/>
      <c r="AK216" s="99"/>
      <c r="AL216" s="99"/>
      <c r="AM216" s="100">
        <f>+'34 SEMANA'!F14</f>
        <v>0</v>
      </c>
      <c r="AN216" s="100">
        <f>+'34 SEMANA'!G14</f>
        <v>0</v>
      </c>
      <c r="AO216" s="100">
        <f>+'34 SEMANA'!H14</f>
        <v>0</v>
      </c>
      <c r="AP216" s="100">
        <f>+'34 SEMANA'!I14</f>
        <v>0</v>
      </c>
      <c r="AQ216" s="100">
        <f>+'34 SEMANA'!J14</f>
        <v>0</v>
      </c>
      <c r="AR216" s="100">
        <f>+'34 SEMANA'!K14</f>
        <v>0</v>
      </c>
      <c r="AS216" s="99"/>
      <c r="AT216" s="99"/>
      <c r="AU216" s="99"/>
      <c r="AV216" s="99"/>
      <c r="AW216" s="99"/>
      <c r="AX216" s="99"/>
      <c r="AY216" s="99"/>
      <c r="AZ216" s="99"/>
      <c r="BA216" s="99"/>
      <c r="BB216" s="99"/>
      <c r="BC216" s="99"/>
      <c r="BD216" s="99"/>
    </row>
    <row r="217" spans="1:56" x14ac:dyDescent="0.25">
      <c r="A217" s="37">
        <f>'35 SEMANA '!A9</f>
        <v>0</v>
      </c>
      <c r="B217" s="38">
        <f>'35 SEMANA '!B9</f>
        <v>0</v>
      </c>
      <c r="C217" s="38">
        <f>'35 SEMANA '!C9</f>
        <v>0</v>
      </c>
      <c r="D217" s="38">
        <f>'35 SEMANA '!D9</f>
        <v>0</v>
      </c>
      <c r="E217" s="100"/>
      <c r="F217" s="100"/>
      <c r="G217" s="99"/>
      <c r="H217" s="101"/>
      <c r="I217" s="102"/>
      <c r="J217" s="103"/>
      <c r="K217" s="99"/>
      <c r="L217" s="99"/>
      <c r="M217" s="99"/>
      <c r="N217" s="99"/>
      <c r="O217" s="99"/>
      <c r="P217" s="99"/>
      <c r="Q217" s="99"/>
      <c r="R217" s="99"/>
      <c r="S217" s="99"/>
      <c r="T217" s="99"/>
      <c r="U217" s="99"/>
      <c r="V217" s="99"/>
      <c r="W217" s="99"/>
      <c r="X217" s="99"/>
      <c r="Y217" s="99"/>
      <c r="Z217" s="99"/>
      <c r="AA217" s="99"/>
      <c r="AB217" s="99"/>
      <c r="AC217" s="99"/>
      <c r="AD217" s="99"/>
      <c r="AE217" s="99"/>
      <c r="AF217" s="99"/>
      <c r="AG217" s="99"/>
      <c r="AH217" s="99"/>
      <c r="AI217" s="99"/>
      <c r="AJ217" s="99"/>
      <c r="AK217" s="99"/>
      <c r="AL217" s="99"/>
      <c r="AM217" s="99"/>
      <c r="AN217" s="100">
        <f>+'35 SEMANA '!F9</f>
        <v>0</v>
      </c>
      <c r="AO217" s="100">
        <f>+'35 SEMANA '!G9</f>
        <v>0</v>
      </c>
      <c r="AP217" s="100">
        <f>+'35 SEMANA '!H9</f>
        <v>0</v>
      </c>
      <c r="AQ217" s="100">
        <f>+'35 SEMANA '!I9</f>
        <v>0</v>
      </c>
      <c r="AR217" s="100">
        <f>+'35 SEMANA '!J9</f>
        <v>0</v>
      </c>
      <c r="AS217" s="100">
        <f>+'35 SEMANA '!K9</f>
        <v>0</v>
      </c>
      <c r="AT217" s="99"/>
      <c r="AU217" s="99"/>
      <c r="AV217" s="99"/>
      <c r="AW217" s="99"/>
      <c r="AX217" s="99"/>
      <c r="AY217" s="99"/>
      <c r="AZ217" s="99"/>
      <c r="BA217" s="99"/>
      <c r="BB217" s="99"/>
      <c r="BC217" s="99"/>
      <c r="BD217" s="99"/>
    </row>
    <row r="218" spans="1:56" x14ac:dyDescent="0.25">
      <c r="A218" s="37">
        <f>'35 SEMANA '!A10</f>
        <v>0</v>
      </c>
      <c r="B218" s="38">
        <f>'35 SEMANA '!B10</f>
        <v>0</v>
      </c>
      <c r="C218" s="38">
        <f>'35 SEMANA '!C10</f>
        <v>0</v>
      </c>
      <c r="D218" s="38">
        <f>'35 SEMANA '!D10</f>
        <v>0</v>
      </c>
      <c r="E218" s="100"/>
      <c r="F218" s="100"/>
      <c r="G218" s="99"/>
      <c r="H218" s="101"/>
      <c r="I218" s="102"/>
      <c r="J218" s="103"/>
      <c r="K218" s="99"/>
      <c r="L218" s="99"/>
      <c r="M218" s="99"/>
      <c r="N218" s="99"/>
      <c r="O218" s="99"/>
      <c r="P218" s="99"/>
      <c r="Q218" s="99"/>
      <c r="R218" s="99"/>
      <c r="S218" s="99"/>
      <c r="T218" s="99"/>
      <c r="U218" s="99"/>
      <c r="V218" s="99"/>
      <c r="W218" s="99"/>
      <c r="X218" s="99"/>
      <c r="Y218" s="99"/>
      <c r="Z218" s="99"/>
      <c r="AA218" s="99"/>
      <c r="AB218" s="99"/>
      <c r="AC218" s="99"/>
      <c r="AD218" s="99"/>
      <c r="AE218" s="99"/>
      <c r="AF218" s="99"/>
      <c r="AG218" s="99"/>
      <c r="AH218" s="99"/>
      <c r="AI218" s="99"/>
      <c r="AJ218" s="99"/>
      <c r="AK218" s="99"/>
      <c r="AL218" s="99"/>
      <c r="AM218" s="99"/>
      <c r="AN218" s="100">
        <f>+'35 SEMANA '!F10</f>
        <v>0</v>
      </c>
      <c r="AO218" s="100">
        <f>+'35 SEMANA '!G10</f>
        <v>0</v>
      </c>
      <c r="AP218" s="100">
        <f>+'35 SEMANA '!H10</f>
        <v>0</v>
      </c>
      <c r="AQ218" s="100">
        <f>+'35 SEMANA '!I10</f>
        <v>0</v>
      </c>
      <c r="AR218" s="100">
        <f>+'35 SEMANA '!J10</f>
        <v>0</v>
      </c>
      <c r="AS218" s="100">
        <f>+'35 SEMANA '!K10</f>
        <v>0</v>
      </c>
      <c r="AT218" s="99"/>
      <c r="AU218" s="99"/>
      <c r="AV218" s="99"/>
      <c r="AW218" s="99"/>
      <c r="AX218" s="99"/>
      <c r="AY218" s="99"/>
      <c r="AZ218" s="99"/>
      <c r="BA218" s="99"/>
      <c r="BB218" s="99"/>
      <c r="BC218" s="99"/>
      <c r="BD218" s="99"/>
    </row>
    <row r="219" spans="1:56" x14ac:dyDescent="0.25">
      <c r="A219" s="37">
        <f>'35 SEMANA '!A11</f>
        <v>0</v>
      </c>
      <c r="B219" s="38">
        <f>'35 SEMANA '!B11</f>
        <v>0</v>
      </c>
      <c r="C219" s="38">
        <f>'35 SEMANA '!C11</f>
        <v>0</v>
      </c>
      <c r="D219" s="38">
        <f>'35 SEMANA '!D11</f>
        <v>0</v>
      </c>
      <c r="E219" s="100"/>
      <c r="F219" s="100"/>
      <c r="G219" s="99"/>
      <c r="H219" s="101"/>
      <c r="I219" s="102"/>
      <c r="J219" s="103"/>
      <c r="K219" s="99"/>
      <c r="L219" s="99"/>
      <c r="M219" s="99"/>
      <c r="N219" s="99"/>
      <c r="O219" s="99"/>
      <c r="P219" s="99"/>
      <c r="Q219" s="99"/>
      <c r="R219" s="99"/>
      <c r="S219" s="99"/>
      <c r="T219" s="99"/>
      <c r="U219" s="99"/>
      <c r="V219" s="99"/>
      <c r="W219" s="99"/>
      <c r="X219" s="99"/>
      <c r="Y219" s="99"/>
      <c r="Z219" s="99"/>
      <c r="AA219" s="99"/>
      <c r="AB219" s="99"/>
      <c r="AC219" s="99"/>
      <c r="AD219" s="99"/>
      <c r="AE219" s="99"/>
      <c r="AF219" s="99"/>
      <c r="AG219" s="99"/>
      <c r="AH219" s="99"/>
      <c r="AI219" s="99"/>
      <c r="AJ219" s="99"/>
      <c r="AK219" s="99"/>
      <c r="AL219" s="99"/>
      <c r="AM219" s="99"/>
      <c r="AN219" s="100">
        <f>+'35 SEMANA '!F11</f>
        <v>0</v>
      </c>
      <c r="AO219" s="100">
        <f>+'35 SEMANA '!G11</f>
        <v>0</v>
      </c>
      <c r="AP219" s="100">
        <f>+'35 SEMANA '!H11</f>
        <v>0</v>
      </c>
      <c r="AQ219" s="100">
        <f>+'35 SEMANA '!I11</f>
        <v>0</v>
      </c>
      <c r="AR219" s="100">
        <f>+'35 SEMANA '!J11</f>
        <v>0</v>
      </c>
      <c r="AS219" s="100">
        <f>+'35 SEMANA '!K11</f>
        <v>0</v>
      </c>
      <c r="AT219" s="99"/>
      <c r="AU219" s="99"/>
      <c r="AV219" s="99"/>
      <c r="AW219" s="99"/>
      <c r="AX219" s="99"/>
      <c r="AY219" s="99"/>
      <c r="AZ219" s="99"/>
      <c r="BA219" s="99"/>
      <c r="BB219" s="99"/>
      <c r="BC219" s="99"/>
      <c r="BD219" s="99"/>
    </row>
    <row r="220" spans="1:56" x14ac:dyDescent="0.25">
      <c r="A220" s="37">
        <f>'35 SEMANA '!A12</f>
        <v>0</v>
      </c>
      <c r="B220" s="38">
        <f>'35 SEMANA '!B12</f>
        <v>0</v>
      </c>
      <c r="C220" s="38">
        <f>'35 SEMANA '!C12</f>
        <v>0</v>
      </c>
      <c r="D220" s="38">
        <f>'35 SEMANA '!D12</f>
        <v>0</v>
      </c>
      <c r="E220" s="100"/>
      <c r="F220" s="100"/>
      <c r="G220" s="99"/>
      <c r="H220" s="101"/>
      <c r="I220" s="102"/>
      <c r="J220" s="103"/>
      <c r="K220" s="99"/>
      <c r="L220" s="99"/>
      <c r="M220" s="99"/>
      <c r="N220" s="99"/>
      <c r="O220" s="99"/>
      <c r="P220" s="99"/>
      <c r="Q220" s="99"/>
      <c r="R220" s="99"/>
      <c r="S220" s="99"/>
      <c r="T220" s="99"/>
      <c r="U220" s="99"/>
      <c r="V220" s="99"/>
      <c r="W220" s="99"/>
      <c r="X220" s="99"/>
      <c r="Y220" s="99"/>
      <c r="Z220" s="99"/>
      <c r="AA220" s="99"/>
      <c r="AB220" s="99"/>
      <c r="AC220" s="99"/>
      <c r="AD220" s="99"/>
      <c r="AE220" s="99"/>
      <c r="AF220" s="99"/>
      <c r="AG220" s="99"/>
      <c r="AH220" s="99"/>
      <c r="AI220" s="99"/>
      <c r="AJ220" s="99"/>
      <c r="AK220" s="99"/>
      <c r="AL220" s="99"/>
      <c r="AM220" s="99"/>
      <c r="AN220" s="100">
        <f>+'35 SEMANA '!F12</f>
        <v>0</v>
      </c>
      <c r="AO220" s="100">
        <f>+'35 SEMANA '!G12</f>
        <v>0</v>
      </c>
      <c r="AP220" s="100">
        <f>+'35 SEMANA '!H12</f>
        <v>0</v>
      </c>
      <c r="AQ220" s="100">
        <f>+'35 SEMANA '!I12</f>
        <v>0</v>
      </c>
      <c r="AR220" s="100">
        <f>+'35 SEMANA '!J12</f>
        <v>0</v>
      </c>
      <c r="AS220" s="100">
        <f>+'35 SEMANA '!K12</f>
        <v>0</v>
      </c>
      <c r="AT220" s="99"/>
      <c r="AU220" s="99"/>
      <c r="AV220" s="99"/>
      <c r="AW220" s="99"/>
      <c r="AX220" s="99"/>
      <c r="AY220" s="99"/>
      <c r="AZ220" s="99"/>
      <c r="BA220" s="99"/>
      <c r="BB220" s="99"/>
      <c r="BC220" s="99"/>
      <c r="BD220" s="99"/>
    </row>
    <row r="221" spans="1:56" x14ac:dyDescent="0.25">
      <c r="A221" s="37">
        <f>'35 SEMANA '!A13</f>
        <v>0</v>
      </c>
      <c r="B221" s="38">
        <f>'35 SEMANA '!B13</f>
        <v>0</v>
      </c>
      <c r="C221" s="38">
        <f>'35 SEMANA '!C13</f>
        <v>0</v>
      </c>
      <c r="D221" s="38">
        <f>'35 SEMANA '!D13</f>
        <v>0</v>
      </c>
      <c r="E221" s="100"/>
      <c r="F221" s="100"/>
      <c r="G221" s="99"/>
      <c r="H221" s="101"/>
      <c r="I221" s="102"/>
      <c r="J221" s="103"/>
      <c r="K221" s="99"/>
      <c r="L221" s="99"/>
      <c r="M221" s="99"/>
      <c r="N221" s="99"/>
      <c r="O221" s="99"/>
      <c r="P221" s="99"/>
      <c r="Q221" s="99"/>
      <c r="R221" s="99"/>
      <c r="S221" s="99"/>
      <c r="T221" s="99"/>
      <c r="U221" s="99"/>
      <c r="V221" s="99"/>
      <c r="W221" s="99"/>
      <c r="X221" s="99"/>
      <c r="Y221" s="99"/>
      <c r="Z221" s="99"/>
      <c r="AA221" s="99"/>
      <c r="AB221" s="99"/>
      <c r="AC221" s="99"/>
      <c r="AD221" s="99"/>
      <c r="AE221" s="99"/>
      <c r="AF221" s="99"/>
      <c r="AG221" s="99"/>
      <c r="AH221" s="99"/>
      <c r="AI221" s="99"/>
      <c r="AJ221" s="99"/>
      <c r="AK221" s="99"/>
      <c r="AL221" s="99"/>
      <c r="AM221" s="99"/>
      <c r="AN221" s="100">
        <f>+'35 SEMANA '!F13</f>
        <v>0</v>
      </c>
      <c r="AO221" s="100">
        <f>+'35 SEMANA '!G13</f>
        <v>0</v>
      </c>
      <c r="AP221" s="100">
        <f>+'35 SEMANA '!H13</f>
        <v>0</v>
      </c>
      <c r="AQ221" s="100">
        <f>+'35 SEMANA '!I13</f>
        <v>0</v>
      </c>
      <c r="AR221" s="100">
        <f>+'35 SEMANA '!J13</f>
        <v>0</v>
      </c>
      <c r="AS221" s="100">
        <f>+'35 SEMANA '!K13</f>
        <v>0</v>
      </c>
      <c r="AT221" s="99"/>
      <c r="AU221" s="99"/>
      <c r="AV221" s="99"/>
      <c r="AW221" s="99"/>
      <c r="AX221" s="99"/>
      <c r="AY221" s="99"/>
      <c r="AZ221" s="99"/>
      <c r="BA221" s="99"/>
      <c r="BB221" s="99"/>
      <c r="BC221" s="99"/>
      <c r="BD221" s="99"/>
    </row>
    <row r="222" spans="1:56" x14ac:dyDescent="0.25">
      <c r="A222" s="37">
        <f>'35 SEMANA '!A14</f>
        <v>0</v>
      </c>
      <c r="B222" s="38">
        <f>'35 SEMANA '!B14</f>
        <v>0</v>
      </c>
      <c r="C222" s="38">
        <f>'35 SEMANA '!C14</f>
        <v>0</v>
      </c>
      <c r="D222" s="38">
        <f>'35 SEMANA '!D14</f>
        <v>0</v>
      </c>
      <c r="E222" s="100"/>
      <c r="F222" s="100"/>
      <c r="G222" s="99"/>
      <c r="H222" s="101"/>
      <c r="I222" s="102"/>
      <c r="J222" s="103"/>
      <c r="K222" s="99"/>
      <c r="L222" s="99"/>
      <c r="M222" s="99"/>
      <c r="N222" s="99"/>
      <c r="O222" s="99"/>
      <c r="P222" s="99"/>
      <c r="Q222" s="99"/>
      <c r="R222" s="99"/>
      <c r="S222" s="99"/>
      <c r="T222" s="99"/>
      <c r="U222" s="99"/>
      <c r="V222" s="99"/>
      <c r="W222" s="99"/>
      <c r="X222" s="99"/>
      <c r="Y222" s="99"/>
      <c r="Z222" s="99"/>
      <c r="AA222" s="99"/>
      <c r="AB222" s="99"/>
      <c r="AC222" s="99"/>
      <c r="AD222" s="99"/>
      <c r="AE222" s="99"/>
      <c r="AF222" s="99"/>
      <c r="AG222" s="99"/>
      <c r="AH222" s="99"/>
      <c r="AI222" s="99"/>
      <c r="AJ222" s="99"/>
      <c r="AK222" s="99"/>
      <c r="AL222" s="99"/>
      <c r="AM222" s="99"/>
      <c r="AN222" s="100">
        <f>+'35 SEMANA '!F14</f>
        <v>0</v>
      </c>
      <c r="AO222" s="100">
        <f>+'35 SEMANA '!G14</f>
        <v>0</v>
      </c>
      <c r="AP222" s="100">
        <f>+'35 SEMANA '!H14</f>
        <v>0</v>
      </c>
      <c r="AQ222" s="100">
        <f>+'35 SEMANA '!I14</f>
        <v>0</v>
      </c>
      <c r="AR222" s="100">
        <f>+'35 SEMANA '!J14</f>
        <v>0</v>
      </c>
      <c r="AS222" s="100">
        <f>+'35 SEMANA '!K14</f>
        <v>0</v>
      </c>
      <c r="AT222" s="99"/>
      <c r="AU222" s="99"/>
      <c r="AV222" s="99"/>
      <c r="AW222" s="99"/>
      <c r="AX222" s="99"/>
      <c r="AY222" s="99"/>
      <c r="AZ222" s="99"/>
      <c r="BA222" s="99"/>
      <c r="BB222" s="99"/>
      <c r="BC222" s="99"/>
      <c r="BD222" s="99"/>
    </row>
    <row r="223" spans="1:56" x14ac:dyDescent="0.25">
      <c r="A223" s="37">
        <f>'36 SEMANA '!A9</f>
        <v>0</v>
      </c>
      <c r="B223" s="38">
        <f>'36 SEMANA '!B9</f>
        <v>0</v>
      </c>
      <c r="C223" s="38">
        <f>'36 SEMANA '!C9</f>
        <v>0</v>
      </c>
      <c r="D223" s="38">
        <f>'36 SEMANA '!D9</f>
        <v>0</v>
      </c>
      <c r="E223" s="100"/>
      <c r="F223" s="100"/>
      <c r="G223" s="99"/>
      <c r="H223" s="101"/>
      <c r="I223" s="102"/>
      <c r="J223" s="103"/>
      <c r="K223" s="99"/>
      <c r="L223" s="99"/>
      <c r="M223" s="99"/>
      <c r="N223" s="99"/>
      <c r="O223" s="99"/>
      <c r="P223" s="99"/>
      <c r="Q223" s="99"/>
      <c r="R223" s="99"/>
      <c r="S223" s="99"/>
      <c r="T223" s="99"/>
      <c r="U223" s="99"/>
      <c r="V223" s="99"/>
      <c r="W223" s="99"/>
      <c r="X223" s="99"/>
      <c r="Y223" s="99"/>
      <c r="Z223" s="99"/>
      <c r="AA223" s="99"/>
      <c r="AB223" s="99"/>
      <c r="AC223" s="99"/>
      <c r="AD223" s="99"/>
      <c r="AE223" s="99"/>
      <c r="AF223" s="99"/>
      <c r="AG223" s="99"/>
      <c r="AH223" s="99"/>
      <c r="AI223" s="99"/>
      <c r="AJ223" s="99"/>
      <c r="AK223" s="99"/>
      <c r="AL223" s="99"/>
      <c r="AM223" s="99"/>
      <c r="AN223" s="99"/>
      <c r="AO223" s="100">
        <f>+'36 SEMANA '!F9</f>
        <v>0</v>
      </c>
      <c r="AP223" s="100">
        <f>+'36 SEMANA '!G9</f>
        <v>0</v>
      </c>
      <c r="AQ223" s="100">
        <f>+'36 SEMANA '!H9</f>
        <v>0</v>
      </c>
      <c r="AR223" s="100">
        <f>+'36 SEMANA '!I9</f>
        <v>0</v>
      </c>
      <c r="AS223" s="100">
        <f>+'36 SEMANA '!J9</f>
        <v>0</v>
      </c>
      <c r="AT223" s="100">
        <f>+'36 SEMANA '!K9</f>
        <v>0</v>
      </c>
      <c r="AU223" s="99"/>
      <c r="AV223" s="99"/>
      <c r="AW223" s="99"/>
      <c r="AX223" s="99"/>
      <c r="AY223" s="99"/>
      <c r="AZ223" s="99"/>
      <c r="BA223" s="99"/>
      <c r="BB223" s="99"/>
      <c r="BC223" s="99"/>
      <c r="BD223" s="99"/>
    </row>
    <row r="224" spans="1:56" x14ac:dyDescent="0.25">
      <c r="A224" s="37">
        <f>'36 SEMANA '!A10</f>
        <v>0</v>
      </c>
      <c r="B224" s="38">
        <f>'36 SEMANA '!B10</f>
        <v>0</v>
      </c>
      <c r="C224" s="38">
        <f>'36 SEMANA '!C10</f>
        <v>0</v>
      </c>
      <c r="D224" s="38">
        <f>'36 SEMANA '!D10</f>
        <v>0</v>
      </c>
      <c r="E224" s="100"/>
      <c r="F224" s="100"/>
      <c r="G224" s="99"/>
      <c r="H224" s="101"/>
      <c r="I224" s="102"/>
      <c r="J224" s="103"/>
      <c r="K224" s="99"/>
      <c r="L224" s="99"/>
      <c r="M224" s="99"/>
      <c r="N224" s="99"/>
      <c r="O224" s="99"/>
      <c r="P224" s="99"/>
      <c r="Q224" s="99"/>
      <c r="R224" s="99"/>
      <c r="S224" s="99"/>
      <c r="T224" s="99"/>
      <c r="U224" s="99"/>
      <c r="V224" s="99"/>
      <c r="W224" s="99"/>
      <c r="X224" s="99"/>
      <c r="Y224" s="99"/>
      <c r="Z224" s="99"/>
      <c r="AA224" s="99"/>
      <c r="AB224" s="99"/>
      <c r="AC224" s="99"/>
      <c r="AD224" s="99"/>
      <c r="AE224" s="99"/>
      <c r="AF224" s="99"/>
      <c r="AG224" s="99"/>
      <c r="AH224" s="99"/>
      <c r="AI224" s="99"/>
      <c r="AJ224" s="99"/>
      <c r="AK224" s="99"/>
      <c r="AL224" s="99"/>
      <c r="AM224" s="99"/>
      <c r="AN224" s="99"/>
      <c r="AO224" s="100">
        <f>+'36 SEMANA '!F10</f>
        <v>0</v>
      </c>
      <c r="AP224" s="100">
        <f>+'36 SEMANA '!G10</f>
        <v>0</v>
      </c>
      <c r="AQ224" s="100">
        <f>+'36 SEMANA '!H10</f>
        <v>0</v>
      </c>
      <c r="AR224" s="100">
        <f>+'36 SEMANA '!I10</f>
        <v>0</v>
      </c>
      <c r="AS224" s="100">
        <f>+'36 SEMANA '!J10</f>
        <v>0</v>
      </c>
      <c r="AT224" s="100">
        <f>+'36 SEMANA '!K10</f>
        <v>0</v>
      </c>
      <c r="AU224" s="99"/>
      <c r="AV224" s="99"/>
      <c r="AW224" s="99"/>
      <c r="AX224" s="99"/>
      <c r="AY224" s="99"/>
      <c r="AZ224" s="99"/>
      <c r="BA224" s="99"/>
      <c r="BB224" s="99"/>
      <c r="BC224" s="99"/>
      <c r="BD224" s="99"/>
    </row>
    <row r="225" spans="1:56" x14ac:dyDescent="0.25">
      <c r="A225" s="37">
        <f>'36 SEMANA '!A11</f>
        <v>0</v>
      </c>
      <c r="B225" s="38">
        <f>'36 SEMANA '!B11</f>
        <v>0</v>
      </c>
      <c r="C225" s="38">
        <f>'36 SEMANA '!C11</f>
        <v>0</v>
      </c>
      <c r="D225" s="38">
        <f>'36 SEMANA '!D11</f>
        <v>0</v>
      </c>
      <c r="E225" s="100"/>
      <c r="F225" s="100"/>
      <c r="G225" s="99"/>
      <c r="H225" s="101"/>
      <c r="I225" s="102"/>
      <c r="J225" s="103"/>
      <c r="K225" s="99"/>
      <c r="L225" s="99"/>
      <c r="M225" s="99"/>
      <c r="N225" s="99"/>
      <c r="O225" s="99"/>
      <c r="P225" s="99"/>
      <c r="Q225" s="99"/>
      <c r="R225" s="99"/>
      <c r="S225" s="99"/>
      <c r="T225" s="99"/>
      <c r="U225" s="99"/>
      <c r="V225" s="99"/>
      <c r="W225" s="99"/>
      <c r="X225" s="99"/>
      <c r="Y225" s="99"/>
      <c r="Z225" s="99"/>
      <c r="AA225" s="99"/>
      <c r="AB225" s="99"/>
      <c r="AC225" s="99"/>
      <c r="AD225" s="99"/>
      <c r="AE225" s="99"/>
      <c r="AF225" s="99"/>
      <c r="AG225" s="99"/>
      <c r="AH225" s="99"/>
      <c r="AI225" s="99"/>
      <c r="AJ225" s="99"/>
      <c r="AK225" s="99"/>
      <c r="AL225" s="99"/>
      <c r="AM225" s="99"/>
      <c r="AN225" s="99"/>
      <c r="AO225" s="100">
        <f>+'36 SEMANA '!F11</f>
        <v>0</v>
      </c>
      <c r="AP225" s="100">
        <f>+'36 SEMANA '!G11</f>
        <v>0</v>
      </c>
      <c r="AQ225" s="100">
        <f>+'36 SEMANA '!H11</f>
        <v>0</v>
      </c>
      <c r="AR225" s="100">
        <f>+'36 SEMANA '!I11</f>
        <v>0</v>
      </c>
      <c r="AS225" s="100">
        <f>+'36 SEMANA '!J11</f>
        <v>0</v>
      </c>
      <c r="AT225" s="100">
        <f>+'36 SEMANA '!K11</f>
        <v>0</v>
      </c>
      <c r="AU225" s="99"/>
      <c r="AV225" s="99"/>
      <c r="AW225" s="99"/>
      <c r="AX225" s="99"/>
      <c r="AY225" s="99"/>
      <c r="AZ225" s="99"/>
      <c r="BA225" s="99"/>
      <c r="BB225" s="99"/>
      <c r="BC225" s="99"/>
      <c r="BD225" s="99"/>
    </row>
    <row r="226" spans="1:56" x14ac:dyDescent="0.25">
      <c r="A226" s="37">
        <f>'36 SEMANA '!A12</f>
        <v>0</v>
      </c>
      <c r="B226" s="38">
        <f>'36 SEMANA '!B12</f>
        <v>0</v>
      </c>
      <c r="C226" s="38">
        <f>'36 SEMANA '!C12</f>
        <v>0</v>
      </c>
      <c r="D226" s="38">
        <f>'36 SEMANA '!D12</f>
        <v>0</v>
      </c>
      <c r="E226" s="100"/>
      <c r="F226" s="100"/>
      <c r="G226" s="99"/>
      <c r="H226" s="101"/>
      <c r="I226" s="102"/>
      <c r="J226" s="103"/>
      <c r="K226" s="99"/>
      <c r="L226" s="99"/>
      <c r="M226" s="99"/>
      <c r="N226" s="99"/>
      <c r="O226" s="99"/>
      <c r="P226" s="99"/>
      <c r="Q226" s="99"/>
      <c r="R226" s="99"/>
      <c r="S226" s="99"/>
      <c r="T226" s="99"/>
      <c r="U226" s="99"/>
      <c r="V226" s="99"/>
      <c r="W226" s="99"/>
      <c r="X226" s="99"/>
      <c r="Y226" s="99"/>
      <c r="Z226" s="99"/>
      <c r="AA226" s="99"/>
      <c r="AB226" s="99"/>
      <c r="AC226" s="99"/>
      <c r="AD226" s="99"/>
      <c r="AE226" s="99"/>
      <c r="AF226" s="99"/>
      <c r="AG226" s="99"/>
      <c r="AH226" s="99"/>
      <c r="AI226" s="99"/>
      <c r="AJ226" s="99"/>
      <c r="AK226" s="99"/>
      <c r="AL226" s="99"/>
      <c r="AM226" s="99"/>
      <c r="AN226" s="99"/>
      <c r="AO226" s="100">
        <f>+'36 SEMANA '!F12</f>
        <v>0</v>
      </c>
      <c r="AP226" s="100">
        <f>+'36 SEMANA '!G12</f>
        <v>0</v>
      </c>
      <c r="AQ226" s="100">
        <f>+'36 SEMANA '!H12</f>
        <v>0</v>
      </c>
      <c r="AR226" s="100">
        <f>+'36 SEMANA '!I12</f>
        <v>0</v>
      </c>
      <c r="AS226" s="100">
        <f>+'36 SEMANA '!J12</f>
        <v>0</v>
      </c>
      <c r="AT226" s="100">
        <f>+'36 SEMANA '!K12</f>
        <v>0</v>
      </c>
      <c r="AU226" s="99"/>
      <c r="AV226" s="99"/>
      <c r="AW226" s="99"/>
      <c r="AX226" s="99"/>
      <c r="AY226" s="99"/>
      <c r="AZ226" s="99"/>
      <c r="BA226" s="99"/>
      <c r="BB226" s="99"/>
      <c r="BC226" s="99"/>
      <c r="BD226" s="99"/>
    </row>
    <row r="227" spans="1:56" x14ac:dyDescent="0.25">
      <c r="A227" s="37">
        <f>'36 SEMANA '!A13</f>
        <v>0</v>
      </c>
      <c r="B227" s="38">
        <f>'36 SEMANA '!B13</f>
        <v>0</v>
      </c>
      <c r="C227" s="38">
        <f>'36 SEMANA '!C13</f>
        <v>0</v>
      </c>
      <c r="D227" s="38">
        <f>'36 SEMANA '!D13</f>
        <v>0</v>
      </c>
      <c r="E227" s="100"/>
      <c r="F227" s="100"/>
      <c r="G227" s="99"/>
      <c r="H227" s="101"/>
      <c r="I227" s="102"/>
      <c r="J227" s="103"/>
      <c r="K227" s="99"/>
      <c r="L227" s="99"/>
      <c r="M227" s="99"/>
      <c r="N227" s="99"/>
      <c r="O227" s="99"/>
      <c r="P227" s="99"/>
      <c r="Q227" s="99"/>
      <c r="R227" s="99"/>
      <c r="S227" s="99"/>
      <c r="T227" s="99"/>
      <c r="U227" s="99"/>
      <c r="V227" s="99"/>
      <c r="W227" s="99"/>
      <c r="X227" s="99"/>
      <c r="Y227" s="99"/>
      <c r="Z227" s="99"/>
      <c r="AA227" s="99"/>
      <c r="AB227" s="99"/>
      <c r="AC227" s="99"/>
      <c r="AD227" s="99"/>
      <c r="AE227" s="99"/>
      <c r="AF227" s="99"/>
      <c r="AG227" s="99"/>
      <c r="AH227" s="99"/>
      <c r="AI227" s="99"/>
      <c r="AJ227" s="99"/>
      <c r="AK227" s="99"/>
      <c r="AL227" s="99"/>
      <c r="AM227" s="99"/>
      <c r="AN227" s="99"/>
      <c r="AO227" s="100">
        <f>+'36 SEMANA '!F13</f>
        <v>0</v>
      </c>
      <c r="AP227" s="100">
        <f>+'36 SEMANA '!G13</f>
        <v>0</v>
      </c>
      <c r="AQ227" s="100">
        <f>+'36 SEMANA '!H13</f>
        <v>0</v>
      </c>
      <c r="AR227" s="100">
        <f>+'36 SEMANA '!I13</f>
        <v>0</v>
      </c>
      <c r="AS227" s="100">
        <f>+'36 SEMANA '!J13</f>
        <v>0</v>
      </c>
      <c r="AT227" s="100">
        <f>+'36 SEMANA '!K13</f>
        <v>0</v>
      </c>
      <c r="AU227" s="99"/>
      <c r="AV227" s="99"/>
      <c r="AW227" s="99"/>
      <c r="AX227" s="99"/>
      <c r="AY227" s="99"/>
      <c r="AZ227" s="99"/>
      <c r="BA227" s="99"/>
      <c r="BB227" s="99"/>
      <c r="BC227" s="99"/>
      <c r="BD227" s="99"/>
    </row>
    <row r="228" spans="1:56" x14ac:dyDescent="0.25">
      <c r="A228" s="37">
        <f>'36 SEMANA '!A14</f>
        <v>0</v>
      </c>
      <c r="B228" s="38">
        <f>'36 SEMANA '!B14</f>
        <v>0</v>
      </c>
      <c r="C228" s="38">
        <f>'36 SEMANA '!C14</f>
        <v>0</v>
      </c>
      <c r="D228" s="38">
        <f>'36 SEMANA '!D14</f>
        <v>0</v>
      </c>
      <c r="E228" s="100"/>
      <c r="F228" s="100"/>
      <c r="G228" s="99"/>
      <c r="H228" s="101"/>
      <c r="I228" s="102"/>
      <c r="J228" s="103"/>
      <c r="K228" s="99"/>
      <c r="L228" s="99"/>
      <c r="M228" s="99"/>
      <c r="N228" s="99"/>
      <c r="O228" s="99"/>
      <c r="P228" s="99"/>
      <c r="Q228" s="99"/>
      <c r="R228" s="99"/>
      <c r="S228" s="99"/>
      <c r="T228" s="99"/>
      <c r="U228" s="99"/>
      <c r="V228" s="99"/>
      <c r="W228" s="99"/>
      <c r="X228" s="99"/>
      <c r="Y228" s="99"/>
      <c r="Z228" s="99"/>
      <c r="AA228" s="99"/>
      <c r="AB228" s="99"/>
      <c r="AC228" s="99"/>
      <c r="AD228" s="99"/>
      <c r="AE228" s="99"/>
      <c r="AF228" s="99"/>
      <c r="AG228" s="99"/>
      <c r="AH228" s="99"/>
      <c r="AI228" s="99"/>
      <c r="AJ228" s="99"/>
      <c r="AK228" s="99"/>
      <c r="AL228" s="99"/>
      <c r="AM228" s="99"/>
      <c r="AN228" s="99"/>
      <c r="AO228" s="100">
        <f>+'36 SEMANA '!F14</f>
        <v>0</v>
      </c>
      <c r="AP228" s="100">
        <f>+'36 SEMANA '!G14</f>
        <v>0</v>
      </c>
      <c r="AQ228" s="100">
        <f>+'36 SEMANA '!H14</f>
        <v>0</v>
      </c>
      <c r="AR228" s="100">
        <f>+'36 SEMANA '!I14</f>
        <v>0</v>
      </c>
      <c r="AS228" s="100">
        <f>+'36 SEMANA '!J14</f>
        <v>0</v>
      </c>
      <c r="AT228" s="100">
        <f>+'36 SEMANA '!K14</f>
        <v>0</v>
      </c>
      <c r="AU228" s="99"/>
      <c r="AV228" s="99"/>
      <c r="AW228" s="99"/>
      <c r="AX228" s="99"/>
      <c r="AY228" s="99"/>
      <c r="AZ228" s="99"/>
      <c r="BA228" s="99"/>
      <c r="BB228" s="99"/>
      <c r="BC228" s="99"/>
      <c r="BD228" s="99"/>
    </row>
    <row r="229" spans="1:56" x14ac:dyDescent="0.25">
      <c r="A229" s="37">
        <f>'37 SEMANA'!A9</f>
        <v>0</v>
      </c>
      <c r="B229" s="38">
        <f>'37 SEMANA'!B9</f>
        <v>0</v>
      </c>
      <c r="C229" s="38">
        <f>'37 SEMANA'!C9</f>
        <v>0</v>
      </c>
      <c r="D229" s="38">
        <f>'37 SEMANA'!D9</f>
        <v>0</v>
      </c>
      <c r="E229" s="100"/>
      <c r="F229" s="100"/>
      <c r="G229" s="99"/>
      <c r="H229" s="101"/>
      <c r="I229" s="102"/>
      <c r="J229" s="103"/>
      <c r="K229" s="99"/>
      <c r="L229" s="99"/>
      <c r="M229" s="99"/>
      <c r="N229" s="99"/>
      <c r="O229" s="99"/>
      <c r="P229" s="99"/>
      <c r="Q229" s="99"/>
      <c r="R229" s="99"/>
      <c r="S229" s="99"/>
      <c r="T229" s="99"/>
      <c r="U229" s="99"/>
      <c r="V229" s="99"/>
      <c r="W229" s="99"/>
      <c r="X229" s="99"/>
      <c r="Y229" s="99"/>
      <c r="Z229" s="99"/>
      <c r="AA229" s="99"/>
      <c r="AB229" s="99"/>
      <c r="AC229" s="99"/>
      <c r="AD229" s="99"/>
      <c r="AE229" s="99"/>
      <c r="AF229" s="99"/>
      <c r="AG229" s="99"/>
      <c r="AH229" s="99"/>
      <c r="AI229" s="99"/>
      <c r="AJ229" s="99"/>
      <c r="AK229" s="99"/>
      <c r="AL229" s="99"/>
      <c r="AM229" s="99"/>
      <c r="AN229" s="99"/>
      <c r="AO229" s="99"/>
      <c r="AP229" s="100">
        <f>+'37 SEMANA'!F9</f>
        <v>0</v>
      </c>
      <c r="AQ229" s="100">
        <f>+'37 SEMANA'!G9</f>
        <v>0</v>
      </c>
      <c r="AR229" s="100">
        <f>+'37 SEMANA'!H9</f>
        <v>0</v>
      </c>
      <c r="AS229" s="100">
        <f>+'37 SEMANA'!I9</f>
        <v>0</v>
      </c>
      <c r="AT229" s="100">
        <f>+'37 SEMANA'!J9</f>
        <v>0</v>
      </c>
      <c r="AU229" s="100">
        <f>+'37 SEMANA'!K9</f>
        <v>0</v>
      </c>
      <c r="AV229" s="99"/>
      <c r="AW229" s="99"/>
      <c r="AX229" s="99"/>
      <c r="AY229" s="99"/>
      <c r="AZ229" s="99"/>
      <c r="BA229" s="99"/>
      <c r="BB229" s="99"/>
      <c r="BC229" s="99"/>
      <c r="BD229" s="99"/>
    </row>
    <row r="230" spans="1:56" x14ac:dyDescent="0.25">
      <c r="A230" s="37">
        <f>'37 SEMANA'!A10</f>
        <v>0</v>
      </c>
      <c r="B230" s="38">
        <f>'37 SEMANA'!B10</f>
        <v>0</v>
      </c>
      <c r="C230" s="38">
        <f>'37 SEMANA'!C10</f>
        <v>0</v>
      </c>
      <c r="D230" s="38">
        <f>'37 SEMANA'!D10</f>
        <v>0</v>
      </c>
      <c r="E230" s="100"/>
      <c r="F230" s="100"/>
      <c r="G230" s="99"/>
      <c r="H230" s="101"/>
      <c r="I230" s="102"/>
      <c r="J230" s="103"/>
      <c r="K230" s="99"/>
      <c r="L230" s="99"/>
      <c r="M230" s="99"/>
      <c r="N230" s="99"/>
      <c r="O230" s="99"/>
      <c r="P230" s="99"/>
      <c r="Q230" s="99"/>
      <c r="R230" s="99"/>
      <c r="S230" s="99"/>
      <c r="T230" s="99"/>
      <c r="U230" s="99"/>
      <c r="V230" s="99"/>
      <c r="W230" s="99"/>
      <c r="X230" s="99"/>
      <c r="Y230" s="99"/>
      <c r="Z230" s="99"/>
      <c r="AA230" s="99"/>
      <c r="AB230" s="99"/>
      <c r="AC230" s="99"/>
      <c r="AD230" s="99"/>
      <c r="AE230" s="99"/>
      <c r="AF230" s="99"/>
      <c r="AG230" s="99"/>
      <c r="AH230" s="99"/>
      <c r="AI230" s="99"/>
      <c r="AJ230" s="99"/>
      <c r="AK230" s="99"/>
      <c r="AL230" s="99"/>
      <c r="AM230" s="99"/>
      <c r="AN230" s="99"/>
      <c r="AO230" s="99"/>
      <c r="AP230" s="100">
        <f>+'37 SEMANA'!F10</f>
        <v>0</v>
      </c>
      <c r="AQ230" s="100">
        <f>+'37 SEMANA'!G10</f>
        <v>0</v>
      </c>
      <c r="AR230" s="100">
        <f>+'37 SEMANA'!H10</f>
        <v>0</v>
      </c>
      <c r="AS230" s="100">
        <f>+'37 SEMANA'!I10</f>
        <v>0</v>
      </c>
      <c r="AT230" s="100">
        <f>+'37 SEMANA'!J10</f>
        <v>0</v>
      </c>
      <c r="AU230" s="100">
        <f>+'37 SEMANA'!K10</f>
        <v>0</v>
      </c>
      <c r="AV230" s="99"/>
      <c r="AW230" s="99"/>
      <c r="AX230" s="99"/>
      <c r="AY230" s="99"/>
      <c r="AZ230" s="99"/>
      <c r="BA230" s="99"/>
      <c r="BB230" s="99"/>
      <c r="BC230" s="99"/>
      <c r="BD230" s="99"/>
    </row>
    <row r="231" spans="1:56" x14ac:dyDescent="0.25">
      <c r="A231" s="37">
        <f>'37 SEMANA'!A11</f>
        <v>0</v>
      </c>
      <c r="B231" s="38">
        <f>'37 SEMANA'!B11</f>
        <v>0</v>
      </c>
      <c r="C231" s="38">
        <f>'37 SEMANA'!C11</f>
        <v>0</v>
      </c>
      <c r="D231" s="38">
        <f>'37 SEMANA'!D11</f>
        <v>0</v>
      </c>
      <c r="E231" s="100"/>
      <c r="F231" s="100"/>
      <c r="G231" s="99"/>
      <c r="H231" s="101"/>
      <c r="I231" s="102"/>
      <c r="J231" s="103"/>
      <c r="K231" s="99"/>
      <c r="L231" s="99"/>
      <c r="M231" s="99"/>
      <c r="N231" s="99"/>
      <c r="O231" s="99"/>
      <c r="P231" s="99"/>
      <c r="Q231" s="99"/>
      <c r="R231" s="99"/>
      <c r="S231" s="99"/>
      <c r="T231" s="99"/>
      <c r="U231" s="99"/>
      <c r="V231" s="99"/>
      <c r="W231" s="99"/>
      <c r="X231" s="99"/>
      <c r="Y231" s="99"/>
      <c r="Z231" s="99"/>
      <c r="AA231" s="99"/>
      <c r="AB231" s="99"/>
      <c r="AC231" s="99"/>
      <c r="AD231" s="99"/>
      <c r="AE231" s="99"/>
      <c r="AF231" s="99"/>
      <c r="AG231" s="99"/>
      <c r="AH231" s="99"/>
      <c r="AI231" s="99"/>
      <c r="AJ231" s="99"/>
      <c r="AK231" s="99"/>
      <c r="AL231" s="99"/>
      <c r="AM231" s="99"/>
      <c r="AN231" s="99"/>
      <c r="AO231" s="99"/>
      <c r="AP231" s="100">
        <f>+'37 SEMANA'!F11</f>
        <v>0</v>
      </c>
      <c r="AQ231" s="100">
        <f>+'37 SEMANA'!G11</f>
        <v>0</v>
      </c>
      <c r="AR231" s="100">
        <f>+'37 SEMANA'!H11</f>
        <v>0</v>
      </c>
      <c r="AS231" s="100">
        <f>+'37 SEMANA'!I11</f>
        <v>0</v>
      </c>
      <c r="AT231" s="100">
        <f>+'37 SEMANA'!J11</f>
        <v>0</v>
      </c>
      <c r="AU231" s="100">
        <f>+'37 SEMANA'!K11</f>
        <v>0</v>
      </c>
      <c r="AV231" s="99"/>
      <c r="AW231" s="99"/>
      <c r="AX231" s="99"/>
      <c r="AY231" s="99"/>
      <c r="AZ231" s="99"/>
      <c r="BA231" s="99"/>
      <c r="BB231" s="99"/>
      <c r="BC231" s="99"/>
      <c r="BD231" s="99"/>
    </row>
    <row r="232" spans="1:56" x14ac:dyDescent="0.25">
      <c r="A232" s="37">
        <f>'37 SEMANA'!A12</f>
        <v>0</v>
      </c>
      <c r="B232" s="38">
        <f>'37 SEMANA'!B12</f>
        <v>0</v>
      </c>
      <c r="C232" s="38">
        <f>'37 SEMANA'!C12</f>
        <v>0</v>
      </c>
      <c r="D232" s="38">
        <f>'37 SEMANA'!D12</f>
        <v>0</v>
      </c>
      <c r="E232" s="100"/>
      <c r="F232" s="100"/>
      <c r="G232" s="99"/>
      <c r="H232" s="101"/>
      <c r="I232" s="102"/>
      <c r="J232" s="103"/>
      <c r="K232" s="99"/>
      <c r="L232" s="99"/>
      <c r="M232" s="99"/>
      <c r="N232" s="99"/>
      <c r="O232" s="99"/>
      <c r="P232" s="99"/>
      <c r="Q232" s="99"/>
      <c r="R232" s="99"/>
      <c r="S232" s="99"/>
      <c r="T232" s="99"/>
      <c r="U232" s="99"/>
      <c r="V232" s="99"/>
      <c r="W232" s="99"/>
      <c r="X232" s="99"/>
      <c r="Y232" s="99"/>
      <c r="Z232" s="99"/>
      <c r="AA232" s="99"/>
      <c r="AB232" s="99"/>
      <c r="AC232" s="99"/>
      <c r="AD232" s="99"/>
      <c r="AE232" s="99"/>
      <c r="AF232" s="99"/>
      <c r="AG232" s="99"/>
      <c r="AH232" s="99"/>
      <c r="AI232" s="99"/>
      <c r="AJ232" s="99"/>
      <c r="AK232" s="99"/>
      <c r="AL232" s="99"/>
      <c r="AM232" s="99"/>
      <c r="AN232" s="99"/>
      <c r="AO232" s="99"/>
      <c r="AP232" s="100">
        <f>+'37 SEMANA'!F12</f>
        <v>0</v>
      </c>
      <c r="AQ232" s="100">
        <f>+'37 SEMANA'!G12</f>
        <v>0</v>
      </c>
      <c r="AR232" s="100">
        <f>+'37 SEMANA'!H12</f>
        <v>0</v>
      </c>
      <c r="AS232" s="100">
        <f>+'37 SEMANA'!I12</f>
        <v>0</v>
      </c>
      <c r="AT232" s="100">
        <f>+'37 SEMANA'!J12</f>
        <v>0</v>
      </c>
      <c r="AU232" s="100">
        <f>+'37 SEMANA'!K12</f>
        <v>0</v>
      </c>
      <c r="AV232" s="99"/>
      <c r="AW232" s="99"/>
      <c r="AX232" s="99"/>
      <c r="AY232" s="99"/>
      <c r="AZ232" s="99"/>
      <c r="BA232" s="99"/>
      <c r="BB232" s="99"/>
      <c r="BC232" s="99"/>
      <c r="BD232" s="99"/>
    </row>
    <row r="233" spans="1:56" x14ac:dyDescent="0.25">
      <c r="A233" s="37">
        <f>'37 SEMANA'!A13</f>
        <v>0</v>
      </c>
      <c r="B233" s="38">
        <f>'37 SEMANA'!B13</f>
        <v>0</v>
      </c>
      <c r="C233" s="38">
        <f>'37 SEMANA'!C13</f>
        <v>0</v>
      </c>
      <c r="D233" s="38">
        <f>'37 SEMANA'!D13</f>
        <v>0</v>
      </c>
      <c r="E233" s="100"/>
      <c r="F233" s="100"/>
      <c r="G233" s="99"/>
      <c r="H233" s="101"/>
      <c r="I233" s="102"/>
      <c r="J233" s="103"/>
      <c r="K233" s="99"/>
      <c r="L233" s="99"/>
      <c r="M233" s="99"/>
      <c r="N233" s="99"/>
      <c r="O233" s="99"/>
      <c r="P233" s="99"/>
      <c r="Q233" s="99"/>
      <c r="R233" s="99"/>
      <c r="S233" s="99"/>
      <c r="T233" s="99"/>
      <c r="U233" s="99"/>
      <c r="V233" s="99"/>
      <c r="W233" s="99"/>
      <c r="X233" s="99"/>
      <c r="Y233" s="99"/>
      <c r="Z233" s="99"/>
      <c r="AA233" s="99"/>
      <c r="AB233" s="99"/>
      <c r="AC233" s="99"/>
      <c r="AD233" s="99"/>
      <c r="AE233" s="99"/>
      <c r="AF233" s="99"/>
      <c r="AG233" s="99"/>
      <c r="AH233" s="99"/>
      <c r="AI233" s="99"/>
      <c r="AJ233" s="99"/>
      <c r="AK233" s="99"/>
      <c r="AL233" s="99"/>
      <c r="AM233" s="99"/>
      <c r="AN233" s="99"/>
      <c r="AO233" s="99"/>
      <c r="AP233" s="100">
        <f>+'37 SEMANA'!F13</f>
        <v>0</v>
      </c>
      <c r="AQ233" s="100">
        <f>+'37 SEMANA'!G13</f>
        <v>0</v>
      </c>
      <c r="AR233" s="100">
        <f>+'37 SEMANA'!H13</f>
        <v>0</v>
      </c>
      <c r="AS233" s="100">
        <f>+'37 SEMANA'!I13</f>
        <v>0</v>
      </c>
      <c r="AT233" s="100">
        <f>+'37 SEMANA'!J13</f>
        <v>0</v>
      </c>
      <c r="AU233" s="100">
        <f>+'37 SEMANA'!K13</f>
        <v>0</v>
      </c>
      <c r="AV233" s="99"/>
      <c r="AW233" s="99"/>
      <c r="AX233" s="99"/>
      <c r="AY233" s="99"/>
      <c r="AZ233" s="99"/>
      <c r="BA233" s="99"/>
      <c r="BB233" s="99"/>
      <c r="BC233" s="99"/>
      <c r="BD233" s="99"/>
    </row>
    <row r="234" spans="1:56" x14ac:dyDescent="0.25">
      <c r="A234" s="37">
        <f>'37 SEMANA'!A14</f>
        <v>0</v>
      </c>
      <c r="B234" s="38">
        <f>'37 SEMANA'!B14</f>
        <v>0</v>
      </c>
      <c r="C234" s="38">
        <f>'37 SEMANA'!C14</f>
        <v>0</v>
      </c>
      <c r="D234" s="38">
        <f>'37 SEMANA'!D14</f>
        <v>0</v>
      </c>
      <c r="E234" s="100"/>
      <c r="F234" s="100"/>
      <c r="G234" s="99"/>
      <c r="H234" s="101"/>
      <c r="I234" s="102"/>
      <c r="J234" s="103"/>
      <c r="K234" s="99"/>
      <c r="L234" s="99"/>
      <c r="M234" s="99"/>
      <c r="N234" s="99"/>
      <c r="O234" s="99"/>
      <c r="P234" s="99"/>
      <c r="Q234" s="99"/>
      <c r="R234" s="99"/>
      <c r="S234" s="99"/>
      <c r="T234" s="99"/>
      <c r="U234" s="99"/>
      <c r="V234" s="99"/>
      <c r="W234" s="99"/>
      <c r="X234" s="99"/>
      <c r="Y234" s="99"/>
      <c r="Z234" s="99"/>
      <c r="AA234" s="99"/>
      <c r="AB234" s="99"/>
      <c r="AC234" s="99"/>
      <c r="AD234" s="99"/>
      <c r="AE234" s="99"/>
      <c r="AF234" s="99"/>
      <c r="AG234" s="99"/>
      <c r="AH234" s="99"/>
      <c r="AI234" s="99"/>
      <c r="AJ234" s="99"/>
      <c r="AK234" s="99"/>
      <c r="AL234" s="99"/>
      <c r="AM234" s="99"/>
      <c r="AN234" s="99"/>
      <c r="AO234" s="99"/>
      <c r="AP234" s="100">
        <f>+'37 SEMANA'!F14</f>
        <v>0</v>
      </c>
      <c r="AQ234" s="100">
        <f>+'37 SEMANA'!G14</f>
        <v>0</v>
      </c>
      <c r="AR234" s="100">
        <f>+'37 SEMANA'!H14</f>
        <v>0</v>
      </c>
      <c r="AS234" s="100">
        <f>+'37 SEMANA'!I14</f>
        <v>0</v>
      </c>
      <c r="AT234" s="100">
        <f>+'37 SEMANA'!J14</f>
        <v>0</v>
      </c>
      <c r="AU234" s="100">
        <f>+'37 SEMANA'!K14</f>
        <v>0</v>
      </c>
      <c r="AV234" s="99"/>
      <c r="AW234" s="99"/>
      <c r="AX234" s="99"/>
      <c r="AY234" s="99"/>
      <c r="AZ234" s="99"/>
      <c r="BA234" s="99"/>
      <c r="BB234" s="99"/>
      <c r="BC234" s="99"/>
      <c r="BD234" s="99"/>
    </row>
    <row r="235" spans="1:56" x14ac:dyDescent="0.25">
      <c r="A235" s="37">
        <f>'38 SEMANA'!A9</f>
        <v>0</v>
      </c>
      <c r="B235" s="38">
        <f>'38 SEMANA'!B9</f>
        <v>0</v>
      </c>
      <c r="C235" s="38">
        <f>'38 SEMANA'!C9</f>
        <v>0</v>
      </c>
      <c r="D235" s="38">
        <f>'38 SEMANA'!D9</f>
        <v>0</v>
      </c>
      <c r="E235" s="100"/>
      <c r="F235" s="100"/>
      <c r="G235" s="99"/>
      <c r="H235" s="101"/>
      <c r="I235" s="102"/>
      <c r="J235" s="103"/>
      <c r="K235" s="99"/>
      <c r="L235" s="99"/>
      <c r="M235" s="99"/>
      <c r="N235" s="99"/>
      <c r="O235" s="99"/>
      <c r="P235" s="99"/>
      <c r="Q235" s="99"/>
      <c r="R235" s="99"/>
      <c r="S235" s="99"/>
      <c r="T235" s="99"/>
      <c r="U235" s="99"/>
      <c r="V235" s="99"/>
      <c r="W235" s="99"/>
      <c r="X235" s="99"/>
      <c r="Y235" s="99"/>
      <c r="Z235" s="99"/>
      <c r="AA235" s="99"/>
      <c r="AB235" s="99"/>
      <c r="AC235" s="99"/>
      <c r="AD235" s="99"/>
      <c r="AE235" s="99"/>
      <c r="AF235" s="99"/>
      <c r="AG235" s="99"/>
      <c r="AH235" s="99"/>
      <c r="AI235" s="99"/>
      <c r="AJ235" s="99"/>
      <c r="AK235" s="99"/>
      <c r="AL235" s="99"/>
      <c r="AM235" s="99"/>
      <c r="AN235" s="99"/>
      <c r="AO235" s="99"/>
      <c r="AP235" s="99"/>
      <c r="AQ235" s="100">
        <f>+'38 SEMANA'!F9</f>
        <v>0</v>
      </c>
      <c r="AR235" s="100">
        <f>+'38 SEMANA'!G9</f>
        <v>0</v>
      </c>
      <c r="AS235" s="100">
        <f>+'38 SEMANA'!H9</f>
        <v>0</v>
      </c>
      <c r="AT235" s="100">
        <f>+'38 SEMANA'!I9</f>
        <v>0</v>
      </c>
      <c r="AU235" s="100">
        <f>+'38 SEMANA'!J9</f>
        <v>0</v>
      </c>
      <c r="AV235" s="100">
        <f>+'38 SEMANA'!K9</f>
        <v>0</v>
      </c>
      <c r="AW235" s="99"/>
      <c r="AX235" s="99"/>
      <c r="AY235" s="99"/>
      <c r="AZ235" s="99"/>
      <c r="BA235" s="99"/>
      <c r="BB235" s="99"/>
      <c r="BC235" s="99"/>
      <c r="BD235" s="99"/>
    </row>
    <row r="236" spans="1:56" x14ac:dyDescent="0.25">
      <c r="A236" s="37">
        <f>'38 SEMANA'!A10</f>
        <v>0</v>
      </c>
      <c r="B236" s="38">
        <f>'38 SEMANA'!B10</f>
        <v>0</v>
      </c>
      <c r="C236" s="38">
        <f>'38 SEMANA'!C10</f>
        <v>0</v>
      </c>
      <c r="D236" s="38">
        <f>'38 SEMANA'!D10</f>
        <v>0</v>
      </c>
      <c r="E236" s="100"/>
      <c r="F236" s="100"/>
      <c r="G236" s="99"/>
      <c r="H236" s="101"/>
      <c r="I236" s="102"/>
      <c r="J236" s="103"/>
      <c r="K236" s="99"/>
      <c r="L236" s="99"/>
      <c r="M236" s="99"/>
      <c r="N236" s="99"/>
      <c r="O236" s="99"/>
      <c r="P236" s="99"/>
      <c r="Q236" s="99"/>
      <c r="R236" s="99"/>
      <c r="S236" s="99"/>
      <c r="T236" s="99"/>
      <c r="U236" s="99"/>
      <c r="V236" s="99"/>
      <c r="W236" s="99"/>
      <c r="X236" s="99"/>
      <c r="Y236" s="99"/>
      <c r="Z236" s="99"/>
      <c r="AA236" s="99"/>
      <c r="AB236" s="99"/>
      <c r="AC236" s="99"/>
      <c r="AD236" s="99"/>
      <c r="AE236" s="99"/>
      <c r="AF236" s="99"/>
      <c r="AG236" s="99"/>
      <c r="AH236" s="99"/>
      <c r="AI236" s="99"/>
      <c r="AJ236" s="99"/>
      <c r="AK236" s="99"/>
      <c r="AL236" s="99"/>
      <c r="AM236" s="99"/>
      <c r="AN236" s="99"/>
      <c r="AO236" s="99"/>
      <c r="AP236" s="99"/>
      <c r="AQ236" s="100">
        <f>+'38 SEMANA'!F10</f>
        <v>0</v>
      </c>
      <c r="AR236" s="100">
        <f>+'38 SEMANA'!G10</f>
        <v>0</v>
      </c>
      <c r="AS236" s="100">
        <f>+'38 SEMANA'!H10</f>
        <v>0</v>
      </c>
      <c r="AT236" s="100">
        <f>+'38 SEMANA'!I10</f>
        <v>0</v>
      </c>
      <c r="AU236" s="100">
        <f>+'38 SEMANA'!J10</f>
        <v>0</v>
      </c>
      <c r="AV236" s="100">
        <f>+'38 SEMANA'!K10</f>
        <v>0</v>
      </c>
      <c r="AW236" s="99"/>
      <c r="AX236" s="99"/>
      <c r="AY236" s="99"/>
      <c r="AZ236" s="99"/>
      <c r="BA236" s="99"/>
      <c r="BB236" s="99"/>
      <c r="BC236" s="99"/>
      <c r="BD236" s="99"/>
    </row>
    <row r="237" spans="1:56" x14ac:dyDescent="0.25">
      <c r="A237" s="37">
        <f>'38 SEMANA'!A11</f>
        <v>0</v>
      </c>
      <c r="B237" s="38">
        <f>'38 SEMANA'!B11</f>
        <v>0</v>
      </c>
      <c r="C237" s="38">
        <f>'38 SEMANA'!C11</f>
        <v>0</v>
      </c>
      <c r="D237" s="38">
        <f>'38 SEMANA'!D11</f>
        <v>0</v>
      </c>
      <c r="E237" s="100"/>
      <c r="F237" s="100"/>
      <c r="G237" s="99"/>
      <c r="H237" s="101"/>
      <c r="I237" s="102"/>
      <c r="J237" s="103"/>
      <c r="K237" s="99"/>
      <c r="L237" s="99"/>
      <c r="M237" s="99"/>
      <c r="N237" s="99"/>
      <c r="O237" s="99"/>
      <c r="P237" s="99"/>
      <c r="Q237" s="99"/>
      <c r="R237" s="99"/>
      <c r="S237" s="99"/>
      <c r="T237" s="99"/>
      <c r="U237" s="99"/>
      <c r="V237" s="99"/>
      <c r="W237" s="99"/>
      <c r="X237" s="99"/>
      <c r="Y237" s="99"/>
      <c r="Z237" s="99"/>
      <c r="AA237" s="99"/>
      <c r="AB237" s="99"/>
      <c r="AC237" s="99"/>
      <c r="AD237" s="99"/>
      <c r="AE237" s="99"/>
      <c r="AF237" s="99"/>
      <c r="AG237" s="99"/>
      <c r="AH237" s="99"/>
      <c r="AI237" s="99"/>
      <c r="AJ237" s="99"/>
      <c r="AK237" s="99"/>
      <c r="AL237" s="99"/>
      <c r="AM237" s="99"/>
      <c r="AN237" s="99"/>
      <c r="AO237" s="99"/>
      <c r="AP237" s="99"/>
      <c r="AQ237" s="100">
        <f>+'38 SEMANA'!F11</f>
        <v>0</v>
      </c>
      <c r="AR237" s="100">
        <f>+'38 SEMANA'!G11</f>
        <v>0</v>
      </c>
      <c r="AS237" s="100">
        <f>+'38 SEMANA'!H11</f>
        <v>0</v>
      </c>
      <c r="AT237" s="100">
        <f>+'38 SEMANA'!I11</f>
        <v>0</v>
      </c>
      <c r="AU237" s="100">
        <f>+'38 SEMANA'!J11</f>
        <v>0</v>
      </c>
      <c r="AV237" s="100">
        <f>+'38 SEMANA'!K11</f>
        <v>0</v>
      </c>
      <c r="AW237" s="99"/>
      <c r="AX237" s="99"/>
      <c r="AY237" s="99"/>
      <c r="AZ237" s="99"/>
      <c r="BA237" s="99"/>
      <c r="BB237" s="99"/>
      <c r="BC237" s="99"/>
      <c r="BD237" s="99"/>
    </row>
    <row r="238" spans="1:56" x14ac:dyDescent="0.25">
      <c r="A238" s="37">
        <f>'38 SEMANA'!A12</f>
        <v>0</v>
      </c>
      <c r="B238" s="38">
        <f>'38 SEMANA'!B12</f>
        <v>0</v>
      </c>
      <c r="C238" s="38">
        <f>'38 SEMANA'!C12</f>
        <v>0</v>
      </c>
      <c r="D238" s="38">
        <f>'38 SEMANA'!D12</f>
        <v>0</v>
      </c>
      <c r="E238" s="100"/>
      <c r="F238" s="100"/>
      <c r="G238" s="99"/>
      <c r="H238" s="101"/>
      <c r="I238" s="102"/>
      <c r="J238" s="103"/>
      <c r="K238" s="99"/>
      <c r="L238" s="99"/>
      <c r="M238" s="99"/>
      <c r="N238" s="99"/>
      <c r="O238" s="99"/>
      <c r="P238" s="99"/>
      <c r="Q238" s="99"/>
      <c r="R238" s="99"/>
      <c r="S238" s="99"/>
      <c r="T238" s="99"/>
      <c r="U238" s="99"/>
      <c r="V238" s="99"/>
      <c r="W238" s="99"/>
      <c r="X238" s="99"/>
      <c r="Y238" s="99"/>
      <c r="Z238" s="99"/>
      <c r="AA238" s="99"/>
      <c r="AB238" s="99"/>
      <c r="AC238" s="99"/>
      <c r="AD238" s="99"/>
      <c r="AE238" s="99"/>
      <c r="AF238" s="99"/>
      <c r="AG238" s="99"/>
      <c r="AH238" s="99"/>
      <c r="AI238" s="99"/>
      <c r="AJ238" s="99"/>
      <c r="AK238" s="99"/>
      <c r="AL238" s="99"/>
      <c r="AM238" s="99"/>
      <c r="AN238" s="99"/>
      <c r="AO238" s="99"/>
      <c r="AP238" s="99"/>
      <c r="AQ238" s="100">
        <f>+'38 SEMANA'!F12</f>
        <v>0</v>
      </c>
      <c r="AR238" s="100">
        <f>+'38 SEMANA'!G12</f>
        <v>0</v>
      </c>
      <c r="AS238" s="100">
        <f>+'38 SEMANA'!H12</f>
        <v>0</v>
      </c>
      <c r="AT238" s="100">
        <f>+'38 SEMANA'!I12</f>
        <v>0</v>
      </c>
      <c r="AU238" s="100">
        <f>+'38 SEMANA'!J12</f>
        <v>0</v>
      </c>
      <c r="AV238" s="100">
        <f>+'38 SEMANA'!K12</f>
        <v>0</v>
      </c>
      <c r="AW238" s="99"/>
      <c r="AX238" s="99"/>
      <c r="AY238" s="99"/>
      <c r="AZ238" s="99"/>
      <c r="BA238" s="99"/>
      <c r="BB238" s="99"/>
      <c r="BC238" s="99"/>
      <c r="BD238" s="99"/>
    </row>
    <row r="239" spans="1:56" x14ac:dyDescent="0.25">
      <c r="A239" s="37">
        <f>'38 SEMANA'!A13</f>
        <v>0</v>
      </c>
      <c r="B239" s="38">
        <f>'38 SEMANA'!B13</f>
        <v>0</v>
      </c>
      <c r="C239" s="38">
        <f>'38 SEMANA'!C13</f>
        <v>0</v>
      </c>
      <c r="D239" s="38">
        <f>'38 SEMANA'!D13</f>
        <v>0</v>
      </c>
      <c r="E239" s="100"/>
      <c r="F239" s="100"/>
      <c r="G239" s="99"/>
      <c r="H239" s="101"/>
      <c r="I239" s="102"/>
      <c r="J239" s="103"/>
      <c r="K239" s="99"/>
      <c r="L239" s="99"/>
      <c r="M239" s="99"/>
      <c r="N239" s="99"/>
      <c r="O239" s="99"/>
      <c r="P239" s="99"/>
      <c r="Q239" s="99"/>
      <c r="R239" s="99"/>
      <c r="S239" s="99"/>
      <c r="T239" s="99"/>
      <c r="U239" s="99"/>
      <c r="V239" s="99"/>
      <c r="W239" s="99"/>
      <c r="X239" s="99"/>
      <c r="Y239" s="99"/>
      <c r="Z239" s="99"/>
      <c r="AA239" s="99"/>
      <c r="AB239" s="99"/>
      <c r="AC239" s="99"/>
      <c r="AD239" s="99"/>
      <c r="AE239" s="99"/>
      <c r="AF239" s="99"/>
      <c r="AG239" s="99"/>
      <c r="AH239" s="99"/>
      <c r="AI239" s="99"/>
      <c r="AJ239" s="99"/>
      <c r="AK239" s="99"/>
      <c r="AL239" s="99"/>
      <c r="AM239" s="99"/>
      <c r="AN239" s="99"/>
      <c r="AO239" s="99"/>
      <c r="AP239" s="99"/>
      <c r="AQ239" s="100">
        <f>+'38 SEMANA'!F13</f>
        <v>0</v>
      </c>
      <c r="AR239" s="100">
        <f>+'38 SEMANA'!G13</f>
        <v>0</v>
      </c>
      <c r="AS239" s="100">
        <f>+'38 SEMANA'!H13</f>
        <v>0</v>
      </c>
      <c r="AT239" s="100">
        <f>+'38 SEMANA'!I13</f>
        <v>0</v>
      </c>
      <c r="AU239" s="100">
        <f>+'38 SEMANA'!J13</f>
        <v>0</v>
      </c>
      <c r="AV239" s="100">
        <f>+'38 SEMANA'!K13</f>
        <v>0</v>
      </c>
      <c r="AW239" s="99"/>
      <c r="AX239" s="99"/>
      <c r="AY239" s="99"/>
      <c r="AZ239" s="99"/>
      <c r="BA239" s="99"/>
      <c r="BB239" s="99"/>
      <c r="BC239" s="99"/>
      <c r="BD239" s="99"/>
    </row>
    <row r="240" spans="1:56" x14ac:dyDescent="0.25">
      <c r="A240" s="37">
        <f>'38 SEMANA'!A14</f>
        <v>0</v>
      </c>
      <c r="B240" s="38">
        <f>'38 SEMANA'!B14</f>
        <v>0</v>
      </c>
      <c r="C240" s="38">
        <f>'38 SEMANA'!C14</f>
        <v>0</v>
      </c>
      <c r="D240" s="38">
        <f>'38 SEMANA'!D14</f>
        <v>0</v>
      </c>
      <c r="E240" s="100"/>
      <c r="F240" s="100"/>
      <c r="G240" s="99"/>
      <c r="H240" s="101"/>
      <c r="I240" s="102"/>
      <c r="J240" s="103"/>
      <c r="K240" s="99"/>
      <c r="L240" s="99"/>
      <c r="M240" s="99"/>
      <c r="N240" s="99"/>
      <c r="O240" s="99"/>
      <c r="P240" s="99"/>
      <c r="Q240" s="99"/>
      <c r="R240" s="99"/>
      <c r="S240" s="99"/>
      <c r="T240" s="99"/>
      <c r="U240" s="99"/>
      <c r="V240" s="99"/>
      <c r="W240" s="99"/>
      <c r="X240" s="99"/>
      <c r="Y240" s="99"/>
      <c r="Z240" s="99"/>
      <c r="AA240" s="99"/>
      <c r="AB240" s="99"/>
      <c r="AC240" s="99"/>
      <c r="AD240" s="99"/>
      <c r="AE240" s="99"/>
      <c r="AF240" s="99"/>
      <c r="AG240" s="99"/>
      <c r="AH240" s="99"/>
      <c r="AI240" s="99"/>
      <c r="AJ240" s="99"/>
      <c r="AK240" s="99"/>
      <c r="AL240" s="99"/>
      <c r="AM240" s="99"/>
      <c r="AN240" s="99"/>
      <c r="AO240" s="99"/>
      <c r="AP240" s="99"/>
      <c r="AQ240" s="100">
        <f>+'38 SEMANA'!F14</f>
        <v>0</v>
      </c>
      <c r="AR240" s="100">
        <f>+'38 SEMANA'!G14</f>
        <v>0</v>
      </c>
      <c r="AS240" s="100">
        <f>+'38 SEMANA'!H14</f>
        <v>0</v>
      </c>
      <c r="AT240" s="100">
        <f>+'38 SEMANA'!I14</f>
        <v>0</v>
      </c>
      <c r="AU240" s="100">
        <f>+'38 SEMANA'!J14</f>
        <v>0</v>
      </c>
      <c r="AV240" s="100">
        <f>+'38 SEMANA'!K14</f>
        <v>0</v>
      </c>
      <c r="AW240" s="99"/>
      <c r="AX240" s="99"/>
      <c r="AY240" s="99"/>
      <c r="AZ240" s="99"/>
      <c r="BA240" s="99"/>
      <c r="BB240" s="99"/>
      <c r="BC240" s="99"/>
      <c r="BD240" s="99"/>
    </row>
    <row r="241" spans="1:56" x14ac:dyDescent="0.25">
      <c r="A241" s="37">
        <f>'39 SEMANA'!A9</f>
        <v>0</v>
      </c>
      <c r="B241" s="38">
        <f>'39 SEMANA'!B9</f>
        <v>0</v>
      </c>
      <c r="C241" s="38">
        <f>'39 SEMANA'!C9</f>
        <v>0</v>
      </c>
      <c r="D241" s="38">
        <f>'39 SEMANA'!D9</f>
        <v>0</v>
      </c>
      <c r="E241" s="100"/>
      <c r="F241" s="100"/>
      <c r="G241" s="99"/>
      <c r="H241" s="101"/>
      <c r="I241" s="102"/>
      <c r="J241" s="103"/>
      <c r="K241" s="99"/>
      <c r="L241" s="99"/>
      <c r="M241" s="99"/>
      <c r="N241" s="99"/>
      <c r="O241" s="99"/>
      <c r="P241" s="99"/>
      <c r="Q241" s="99"/>
      <c r="R241" s="99"/>
      <c r="S241" s="99"/>
      <c r="T241" s="99"/>
      <c r="U241" s="99"/>
      <c r="V241" s="99"/>
      <c r="W241" s="99"/>
      <c r="X241" s="99"/>
      <c r="Y241" s="99"/>
      <c r="Z241" s="99"/>
      <c r="AA241" s="99"/>
      <c r="AB241" s="99"/>
      <c r="AC241" s="99"/>
      <c r="AD241" s="99"/>
      <c r="AE241" s="99"/>
      <c r="AF241" s="99"/>
      <c r="AG241" s="99"/>
      <c r="AH241" s="99"/>
      <c r="AI241" s="99"/>
      <c r="AJ241" s="99"/>
      <c r="AK241" s="99"/>
      <c r="AL241" s="99"/>
      <c r="AM241" s="99"/>
      <c r="AN241" s="99"/>
      <c r="AO241" s="99"/>
      <c r="AP241" s="99"/>
      <c r="AQ241" s="99"/>
      <c r="AR241" s="100">
        <f>+'39 SEMANA'!F9</f>
        <v>0</v>
      </c>
      <c r="AS241" s="100">
        <f>+'39 SEMANA'!G9</f>
        <v>0</v>
      </c>
      <c r="AT241" s="100">
        <f>+'39 SEMANA'!H9</f>
        <v>0</v>
      </c>
      <c r="AU241" s="100">
        <f>+'39 SEMANA'!I9</f>
        <v>0</v>
      </c>
      <c r="AV241" s="100">
        <f>+'39 SEMANA'!J9</f>
        <v>0</v>
      </c>
      <c r="AW241" s="100">
        <f>+'39 SEMANA'!K9</f>
        <v>0</v>
      </c>
      <c r="AX241" s="99"/>
      <c r="AY241" s="99"/>
      <c r="AZ241" s="99"/>
      <c r="BA241" s="99"/>
      <c r="BB241" s="99"/>
      <c r="BC241" s="99"/>
      <c r="BD241" s="99"/>
    </row>
    <row r="242" spans="1:56" x14ac:dyDescent="0.25">
      <c r="A242" s="37">
        <f>'39 SEMANA'!A10</f>
        <v>0</v>
      </c>
      <c r="B242" s="38">
        <f>'39 SEMANA'!B10</f>
        <v>0</v>
      </c>
      <c r="C242" s="38">
        <f>'39 SEMANA'!C10</f>
        <v>0</v>
      </c>
      <c r="D242" s="38">
        <f>'39 SEMANA'!D10</f>
        <v>0</v>
      </c>
      <c r="E242" s="100"/>
      <c r="F242" s="100"/>
      <c r="G242" s="99"/>
      <c r="H242" s="101"/>
      <c r="I242" s="102"/>
      <c r="J242" s="103"/>
      <c r="K242" s="99"/>
      <c r="L242" s="99"/>
      <c r="M242" s="99"/>
      <c r="N242" s="99"/>
      <c r="O242" s="99"/>
      <c r="P242" s="99"/>
      <c r="Q242" s="99"/>
      <c r="R242" s="99"/>
      <c r="S242" s="99"/>
      <c r="T242" s="99"/>
      <c r="U242" s="99"/>
      <c r="V242" s="99"/>
      <c r="W242" s="99"/>
      <c r="X242" s="99"/>
      <c r="Y242" s="99"/>
      <c r="Z242" s="99"/>
      <c r="AA242" s="99"/>
      <c r="AB242" s="99"/>
      <c r="AC242" s="99"/>
      <c r="AD242" s="99"/>
      <c r="AE242" s="99"/>
      <c r="AF242" s="99"/>
      <c r="AG242" s="99"/>
      <c r="AH242" s="99"/>
      <c r="AI242" s="99"/>
      <c r="AJ242" s="99"/>
      <c r="AK242" s="99"/>
      <c r="AL242" s="99"/>
      <c r="AM242" s="99"/>
      <c r="AN242" s="99"/>
      <c r="AO242" s="99"/>
      <c r="AP242" s="99"/>
      <c r="AQ242" s="99"/>
      <c r="AR242" s="100">
        <f>+'39 SEMANA'!F10</f>
        <v>0</v>
      </c>
      <c r="AS242" s="100">
        <f>+'39 SEMANA'!G10</f>
        <v>0</v>
      </c>
      <c r="AT242" s="100">
        <f>+'39 SEMANA'!H10</f>
        <v>0</v>
      </c>
      <c r="AU242" s="100">
        <f>+'39 SEMANA'!I10</f>
        <v>0</v>
      </c>
      <c r="AV242" s="100">
        <f>+'39 SEMANA'!J10</f>
        <v>0</v>
      </c>
      <c r="AW242" s="100">
        <f>+'39 SEMANA'!K10</f>
        <v>0</v>
      </c>
      <c r="AX242" s="99"/>
      <c r="AY242" s="99"/>
      <c r="AZ242" s="99"/>
      <c r="BA242" s="99"/>
      <c r="BB242" s="99"/>
      <c r="BC242" s="99"/>
      <c r="BD242" s="99"/>
    </row>
    <row r="243" spans="1:56" x14ac:dyDescent="0.25">
      <c r="A243" s="37">
        <f>'39 SEMANA'!A11</f>
        <v>0</v>
      </c>
      <c r="B243" s="38">
        <f>'39 SEMANA'!B11</f>
        <v>0</v>
      </c>
      <c r="C243" s="38">
        <f>'39 SEMANA'!C11</f>
        <v>0</v>
      </c>
      <c r="D243" s="38">
        <f>'39 SEMANA'!D11</f>
        <v>0</v>
      </c>
      <c r="E243" s="100"/>
      <c r="F243" s="100"/>
      <c r="G243" s="99"/>
      <c r="H243" s="101"/>
      <c r="I243" s="102"/>
      <c r="J243" s="103"/>
      <c r="K243" s="99"/>
      <c r="L243" s="99"/>
      <c r="M243" s="99"/>
      <c r="N243" s="99"/>
      <c r="O243" s="99"/>
      <c r="P243" s="99"/>
      <c r="Q243" s="99"/>
      <c r="R243" s="99"/>
      <c r="S243" s="99"/>
      <c r="T243" s="99"/>
      <c r="U243" s="99"/>
      <c r="V243" s="99"/>
      <c r="W243" s="99"/>
      <c r="X243" s="99"/>
      <c r="Y243" s="99"/>
      <c r="Z243" s="99"/>
      <c r="AA243" s="99"/>
      <c r="AB243" s="99"/>
      <c r="AC243" s="99"/>
      <c r="AD243" s="99"/>
      <c r="AE243" s="99"/>
      <c r="AF243" s="99"/>
      <c r="AG243" s="99"/>
      <c r="AH243" s="99"/>
      <c r="AI243" s="99"/>
      <c r="AJ243" s="99"/>
      <c r="AK243" s="99"/>
      <c r="AL243" s="99"/>
      <c r="AM243" s="99"/>
      <c r="AN243" s="99"/>
      <c r="AO243" s="99"/>
      <c r="AP243" s="99"/>
      <c r="AQ243" s="99"/>
      <c r="AR243" s="100">
        <f>+'39 SEMANA'!F11</f>
        <v>0</v>
      </c>
      <c r="AS243" s="100">
        <f>+'39 SEMANA'!G11</f>
        <v>0</v>
      </c>
      <c r="AT243" s="100">
        <f>+'39 SEMANA'!H11</f>
        <v>0</v>
      </c>
      <c r="AU243" s="100">
        <f>+'39 SEMANA'!I11</f>
        <v>0</v>
      </c>
      <c r="AV243" s="100">
        <f>+'39 SEMANA'!J11</f>
        <v>0</v>
      </c>
      <c r="AW243" s="100">
        <f>+'39 SEMANA'!K11</f>
        <v>0</v>
      </c>
      <c r="AX243" s="99"/>
      <c r="AY243" s="99"/>
      <c r="AZ243" s="99"/>
      <c r="BA243" s="99"/>
      <c r="BB243" s="99"/>
      <c r="BC243" s="99"/>
      <c r="BD243" s="99"/>
    </row>
    <row r="244" spans="1:56" x14ac:dyDescent="0.25">
      <c r="A244" s="37">
        <f>'39 SEMANA'!A12</f>
        <v>0</v>
      </c>
      <c r="B244" s="38">
        <f>'39 SEMANA'!B12</f>
        <v>0</v>
      </c>
      <c r="C244" s="38">
        <f>'39 SEMANA'!C12</f>
        <v>0</v>
      </c>
      <c r="D244" s="38">
        <f>'39 SEMANA'!D12</f>
        <v>0</v>
      </c>
      <c r="E244" s="100"/>
      <c r="F244" s="100"/>
      <c r="G244" s="99"/>
      <c r="H244" s="101"/>
      <c r="I244" s="102"/>
      <c r="J244" s="103"/>
      <c r="K244" s="99"/>
      <c r="L244" s="99"/>
      <c r="M244" s="99"/>
      <c r="N244" s="99"/>
      <c r="O244" s="99"/>
      <c r="P244" s="99"/>
      <c r="Q244" s="99"/>
      <c r="R244" s="99"/>
      <c r="S244" s="99"/>
      <c r="T244" s="99"/>
      <c r="U244" s="99"/>
      <c r="V244" s="99"/>
      <c r="W244" s="99"/>
      <c r="X244" s="99"/>
      <c r="Y244" s="99"/>
      <c r="Z244" s="99"/>
      <c r="AA244" s="99"/>
      <c r="AB244" s="99"/>
      <c r="AC244" s="99"/>
      <c r="AD244" s="99"/>
      <c r="AE244" s="99"/>
      <c r="AF244" s="99"/>
      <c r="AG244" s="99"/>
      <c r="AH244" s="99"/>
      <c r="AI244" s="99"/>
      <c r="AJ244" s="99"/>
      <c r="AK244" s="99"/>
      <c r="AL244" s="99"/>
      <c r="AM244" s="99"/>
      <c r="AN244" s="99"/>
      <c r="AO244" s="99"/>
      <c r="AP244" s="99"/>
      <c r="AQ244" s="99"/>
      <c r="AR244" s="100">
        <f>+'39 SEMANA'!F12</f>
        <v>0</v>
      </c>
      <c r="AS244" s="100">
        <f>+'39 SEMANA'!G12</f>
        <v>0</v>
      </c>
      <c r="AT244" s="100">
        <f>+'39 SEMANA'!H12</f>
        <v>0</v>
      </c>
      <c r="AU244" s="100">
        <f>+'39 SEMANA'!I12</f>
        <v>0</v>
      </c>
      <c r="AV244" s="100">
        <f>+'39 SEMANA'!J12</f>
        <v>0</v>
      </c>
      <c r="AW244" s="100">
        <f>+'39 SEMANA'!K12</f>
        <v>0</v>
      </c>
      <c r="AX244" s="99"/>
      <c r="AY244" s="99"/>
      <c r="AZ244" s="99"/>
      <c r="BA244" s="99"/>
      <c r="BB244" s="99"/>
      <c r="BC244" s="99"/>
      <c r="BD244" s="99"/>
    </row>
    <row r="245" spans="1:56" x14ac:dyDescent="0.25">
      <c r="A245" s="37">
        <f>'39 SEMANA'!A13</f>
        <v>0</v>
      </c>
      <c r="B245" s="38">
        <f>'39 SEMANA'!B13</f>
        <v>0</v>
      </c>
      <c r="C245" s="38">
        <f>'39 SEMANA'!C13</f>
        <v>0</v>
      </c>
      <c r="D245" s="38">
        <f>'39 SEMANA'!D13</f>
        <v>0</v>
      </c>
      <c r="E245" s="100"/>
      <c r="F245" s="100"/>
      <c r="G245" s="99"/>
      <c r="H245" s="101"/>
      <c r="I245" s="102"/>
      <c r="J245" s="103"/>
      <c r="K245" s="99"/>
      <c r="L245" s="99"/>
      <c r="M245" s="99"/>
      <c r="N245" s="99"/>
      <c r="O245" s="99"/>
      <c r="P245" s="99"/>
      <c r="Q245" s="99"/>
      <c r="R245" s="99"/>
      <c r="S245" s="99"/>
      <c r="T245" s="99"/>
      <c r="U245" s="99"/>
      <c r="V245" s="99"/>
      <c r="W245" s="99"/>
      <c r="X245" s="99"/>
      <c r="Y245" s="99"/>
      <c r="Z245" s="99"/>
      <c r="AA245" s="99"/>
      <c r="AB245" s="99"/>
      <c r="AC245" s="99"/>
      <c r="AD245" s="99"/>
      <c r="AE245" s="99"/>
      <c r="AF245" s="99"/>
      <c r="AG245" s="99"/>
      <c r="AH245" s="99"/>
      <c r="AI245" s="99"/>
      <c r="AJ245" s="99"/>
      <c r="AK245" s="99"/>
      <c r="AL245" s="99"/>
      <c r="AM245" s="99"/>
      <c r="AN245" s="99"/>
      <c r="AO245" s="99"/>
      <c r="AP245" s="99"/>
      <c r="AQ245" s="99"/>
      <c r="AR245" s="100">
        <f>+'39 SEMANA'!F13</f>
        <v>0</v>
      </c>
      <c r="AS245" s="100">
        <f>+'39 SEMANA'!G13</f>
        <v>0</v>
      </c>
      <c r="AT245" s="100">
        <f>+'39 SEMANA'!H13</f>
        <v>0</v>
      </c>
      <c r="AU245" s="100">
        <f>+'39 SEMANA'!I13</f>
        <v>0</v>
      </c>
      <c r="AV245" s="100">
        <f>+'39 SEMANA'!J13</f>
        <v>0</v>
      </c>
      <c r="AW245" s="100">
        <f>+'39 SEMANA'!K13</f>
        <v>0</v>
      </c>
      <c r="AX245" s="99"/>
      <c r="AY245" s="99"/>
      <c r="AZ245" s="99"/>
      <c r="BA245" s="99"/>
      <c r="BB245" s="99"/>
      <c r="BC245" s="99"/>
      <c r="BD245" s="99"/>
    </row>
    <row r="246" spans="1:56" x14ac:dyDescent="0.25">
      <c r="A246" s="37">
        <f>'39 SEMANA'!A14</f>
        <v>0</v>
      </c>
      <c r="B246" s="38">
        <f>'39 SEMANA'!B14</f>
        <v>0</v>
      </c>
      <c r="C246" s="38">
        <f>'39 SEMANA'!C14</f>
        <v>0</v>
      </c>
      <c r="D246" s="38">
        <f>'39 SEMANA'!D14</f>
        <v>0</v>
      </c>
      <c r="E246" s="100"/>
      <c r="F246" s="100"/>
      <c r="G246" s="99"/>
      <c r="H246" s="101"/>
      <c r="I246" s="102"/>
      <c r="J246" s="103"/>
      <c r="K246" s="99"/>
      <c r="L246" s="99"/>
      <c r="M246" s="99"/>
      <c r="N246" s="99"/>
      <c r="O246" s="99"/>
      <c r="P246" s="99"/>
      <c r="Q246" s="99"/>
      <c r="R246" s="99"/>
      <c r="S246" s="99"/>
      <c r="T246" s="99"/>
      <c r="U246" s="99"/>
      <c r="V246" s="99"/>
      <c r="W246" s="99"/>
      <c r="X246" s="99"/>
      <c r="Y246" s="99"/>
      <c r="Z246" s="99"/>
      <c r="AA246" s="99"/>
      <c r="AB246" s="99"/>
      <c r="AC246" s="99"/>
      <c r="AD246" s="99"/>
      <c r="AE246" s="99"/>
      <c r="AF246" s="99"/>
      <c r="AG246" s="99"/>
      <c r="AH246" s="99"/>
      <c r="AI246" s="99"/>
      <c r="AJ246" s="99"/>
      <c r="AK246" s="99"/>
      <c r="AL246" s="99"/>
      <c r="AM246" s="99"/>
      <c r="AN246" s="99"/>
      <c r="AO246" s="99"/>
      <c r="AP246" s="99"/>
      <c r="AQ246" s="99"/>
      <c r="AR246" s="100">
        <f>+'39 SEMANA'!F14</f>
        <v>0</v>
      </c>
      <c r="AS246" s="100">
        <f>+'39 SEMANA'!G14</f>
        <v>0</v>
      </c>
      <c r="AT246" s="100">
        <f>+'39 SEMANA'!H14</f>
        <v>0</v>
      </c>
      <c r="AU246" s="100">
        <f>+'39 SEMANA'!I14</f>
        <v>0</v>
      </c>
      <c r="AV246" s="100">
        <f>+'39 SEMANA'!J14</f>
        <v>0</v>
      </c>
      <c r="AW246" s="100">
        <f>+'39 SEMANA'!K14</f>
        <v>0</v>
      </c>
      <c r="AX246" s="99"/>
      <c r="AY246" s="99"/>
      <c r="AZ246" s="99"/>
      <c r="BA246" s="99"/>
      <c r="BB246" s="99"/>
      <c r="BC246" s="99"/>
      <c r="BD246" s="99"/>
    </row>
    <row r="247" spans="1:56" x14ac:dyDescent="0.25">
      <c r="A247" s="37">
        <f>'40 SEMANA'!A9</f>
        <v>0</v>
      </c>
      <c r="B247" s="38">
        <f>'40 SEMANA'!B9</f>
        <v>0</v>
      </c>
      <c r="C247" s="38">
        <f>'40 SEMANA'!C9</f>
        <v>0</v>
      </c>
      <c r="D247" s="38">
        <f>'40 SEMANA'!D9</f>
        <v>0</v>
      </c>
      <c r="E247" s="100"/>
      <c r="F247" s="100"/>
      <c r="G247" s="99"/>
      <c r="H247" s="101"/>
      <c r="I247" s="102"/>
      <c r="J247" s="103"/>
      <c r="K247" s="99"/>
      <c r="L247" s="99"/>
      <c r="M247" s="99"/>
      <c r="N247" s="99"/>
      <c r="O247" s="99"/>
      <c r="P247" s="99"/>
      <c r="Q247" s="99"/>
      <c r="R247" s="99"/>
      <c r="S247" s="99"/>
      <c r="T247" s="99"/>
      <c r="U247" s="99"/>
      <c r="V247" s="99"/>
      <c r="W247" s="99"/>
      <c r="X247" s="99"/>
      <c r="Y247" s="99"/>
      <c r="Z247" s="99"/>
      <c r="AA247" s="99"/>
      <c r="AB247" s="99"/>
      <c r="AC247" s="99"/>
      <c r="AD247" s="99"/>
      <c r="AE247" s="99"/>
      <c r="AF247" s="99"/>
      <c r="AG247" s="99"/>
      <c r="AH247" s="99"/>
      <c r="AI247" s="99"/>
      <c r="AJ247" s="99"/>
      <c r="AK247" s="99"/>
      <c r="AL247" s="99"/>
      <c r="AM247" s="99"/>
      <c r="AN247" s="99"/>
      <c r="AO247" s="99"/>
      <c r="AP247" s="99"/>
      <c r="AQ247" s="99"/>
      <c r="AR247" s="99"/>
      <c r="AS247" s="100">
        <f>+'40 SEMANA'!F9</f>
        <v>0</v>
      </c>
      <c r="AT247" s="100">
        <f>+'40 SEMANA'!G9</f>
        <v>0</v>
      </c>
      <c r="AU247" s="100">
        <f>+'40 SEMANA'!H9</f>
        <v>0</v>
      </c>
      <c r="AV247" s="100">
        <f>+'40 SEMANA'!I9</f>
        <v>0</v>
      </c>
      <c r="AW247" s="100">
        <f>+'40 SEMANA'!J9</f>
        <v>0</v>
      </c>
      <c r="AX247" s="100">
        <f>+'40 SEMANA'!K9</f>
        <v>0</v>
      </c>
      <c r="AY247" s="99"/>
      <c r="AZ247" s="99"/>
      <c r="BA247" s="99"/>
      <c r="BB247" s="99"/>
      <c r="BC247" s="99"/>
      <c r="BD247" s="99"/>
    </row>
    <row r="248" spans="1:56" x14ac:dyDescent="0.25">
      <c r="A248" s="37">
        <f>'40 SEMANA'!A10</f>
        <v>0</v>
      </c>
      <c r="B248" s="38">
        <f>'40 SEMANA'!B10</f>
        <v>0</v>
      </c>
      <c r="C248" s="38">
        <f>'40 SEMANA'!C10</f>
        <v>0</v>
      </c>
      <c r="D248" s="38">
        <f>'40 SEMANA'!D10</f>
        <v>0</v>
      </c>
      <c r="E248" s="100"/>
      <c r="F248" s="100"/>
      <c r="G248" s="99"/>
      <c r="H248" s="101"/>
      <c r="I248" s="102"/>
      <c r="J248" s="103"/>
      <c r="K248" s="99"/>
      <c r="L248" s="99"/>
      <c r="M248" s="99"/>
      <c r="N248" s="99"/>
      <c r="O248" s="99"/>
      <c r="P248" s="99"/>
      <c r="Q248" s="99"/>
      <c r="R248" s="99"/>
      <c r="S248" s="99"/>
      <c r="T248" s="99"/>
      <c r="U248" s="99"/>
      <c r="V248" s="99"/>
      <c r="W248" s="99"/>
      <c r="X248" s="99"/>
      <c r="Y248" s="99"/>
      <c r="Z248" s="99"/>
      <c r="AA248" s="99"/>
      <c r="AB248" s="99"/>
      <c r="AC248" s="99"/>
      <c r="AD248" s="99"/>
      <c r="AE248" s="99"/>
      <c r="AF248" s="99"/>
      <c r="AG248" s="99"/>
      <c r="AH248" s="99"/>
      <c r="AI248" s="99"/>
      <c r="AJ248" s="99"/>
      <c r="AK248" s="99"/>
      <c r="AL248" s="99"/>
      <c r="AM248" s="99"/>
      <c r="AN248" s="99"/>
      <c r="AO248" s="99"/>
      <c r="AP248" s="99"/>
      <c r="AQ248" s="99"/>
      <c r="AR248" s="99"/>
      <c r="AS248" s="100">
        <f>+'40 SEMANA'!F10</f>
        <v>0</v>
      </c>
      <c r="AT248" s="100">
        <f>+'40 SEMANA'!G10</f>
        <v>0</v>
      </c>
      <c r="AU248" s="100">
        <f>+'40 SEMANA'!H10</f>
        <v>0</v>
      </c>
      <c r="AV248" s="100">
        <f>+'40 SEMANA'!I10</f>
        <v>0</v>
      </c>
      <c r="AW248" s="100">
        <f>+'40 SEMANA'!J10</f>
        <v>0</v>
      </c>
      <c r="AX248" s="100">
        <f>+'40 SEMANA'!K10</f>
        <v>0</v>
      </c>
      <c r="AY248" s="99"/>
      <c r="AZ248" s="99"/>
      <c r="BA248" s="99"/>
      <c r="BB248" s="99"/>
      <c r="BC248" s="99"/>
      <c r="BD248" s="99"/>
    </row>
    <row r="249" spans="1:56" x14ac:dyDescent="0.25">
      <c r="A249" s="37">
        <f>'40 SEMANA'!A11</f>
        <v>0</v>
      </c>
      <c r="B249" s="38">
        <f>'40 SEMANA'!B11</f>
        <v>0</v>
      </c>
      <c r="C249" s="38">
        <f>'40 SEMANA'!C11</f>
        <v>0</v>
      </c>
      <c r="D249" s="38">
        <f>'40 SEMANA'!D11</f>
        <v>0</v>
      </c>
      <c r="E249" s="100"/>
      <c r="F249" s="100"/>
      <c r="G249" s="99"/>
      <c r="H249" s="101"/>
      <c r="I249" s="102"/>
      <c r="J249" s="103"/>
      <c r="K249" s="99"/>
      <c r="L249" s="99"/>
      <c r="M249" s="99"/>
      <c r="N249" s="99"/>
      <c r="O249" s="99"/>
      <c r="P249" s="99"/>
      <c r="Q249" s="99"/>
      <c r="R249" s="99"/>
      <c r="S249" s="99"/>
      <c r="T249" s="99"/>
      <c r="U249" s="99"/>
      <c r="V249" s="99"/>
      <c r="W249" s="99"/>
      <c r="X249" s="99"/>
      <c r="Y249" s="99"/>
      <c r="Z249" s="99"/>
      <c r="AA249" s="99"/>
      <c r="AB249" s="99"/>
      <c r="AC249" s="99"/>
      <c r="AD249" s="99"/>
      <c r="AE249" s="99"/>
      <c r="AF249" s="99"/>
      <c r="AG249" s="99"/>
      <c r="AH249" s="99"/>
      <c r="AI249" s="99"/>
      <c r="AJ249" s="99"/>
      <c r="AK249" s="99"/>
      <c r="AL249" s="99"/>
      <c r="AM249" s="99"/>
      <c r="AN249" s="99"/>
      <c r="AO249" s="99"/>
      <c r="AP249" s="99"/>
      <c r="AQ249" s="99"/>
      <c r="AR249" s="99"/>
      <c r="AS249" s="100">
        <f>+'40 SEMANA'!F12</f>
        <v>0</v>
      </c>
      <c r="AT249" s="100">
        <f>+'40 SEMANA'!G11</f>
        <v>0</v>
      </c>
      <c r="AU249" s="100">
        <f>+'40 SEMANA'!H11</f>
        <v>0</v>
      </c>
      <c r="AV249" s="100">
        <f>+'40 SEMANA'!I11</f>
        <v>0</v>
      </c>
      <c r="AW249" s="100">
        <f>+'40 SEMANA'!J11</f>
        <v>0</v>
      </c>
      <c r="AX249" s="100">
        <f>+'40 SEMANA'!K11</f>
        <v>0</v>
      </c>
      <c r="AY249" s="99"/>
      <c r="AZ249" s="99"/>
      <c r="BA249" s="99"/>
      <c r="BB249" s="99"/>
      <c r="BC249" s="99"/>
      <c r="BD249" s="99"/>
    </row>
    <row r="250" spans="1:56" x14ac:dyDescent="0.25">
      <c r="A250" s="37">
        <f>'40 SEMANA'!A12</f>
        <v>0</v>
      </c>
      <c r="B250" s="38">
        <f>'40 SEMANA'!B12</f>
        <v>0</v>
      </c>
      <c r="C250" s="38">
        <f>'40 SEMANA'!C12</f>
        <v>0</v>
      </c>
      <c r="D250" s="38">
        <f>'40 SEMANA'!D12</f>
        <v>0</v>
      </c>
      <c r="E250" s="100"/>
      <c r="F250" s="100"/>
      <c r="G250" s="99"/>
      <c r="H250" s="101"/>
      <c r="I250" s="102"/>
      <c r="J250" s="103"/>
      <c r="K250" s="99"/>
      <c r="L250" s="99"/>
      <c r="M250" s="99"/>
      <c r="N250" s="99"/>
      <c r="O250" s="99"/>
      <c r="P250" s="99"/>
      <c r="Q250" s="99"/>
      <c r="R250" s="99"/>
      <c r="S250" s="99"/>
      <c r="T250" s="99"/>
      <c r="U250" s="99"/>
      <c r="V250" s="99"/>
      <c r="W250" s="99"/>
      <c r="X250" s="99"/>
      <c r="Y250" s="99"/>
      <c r="Z250" s="99"/>
      <c r="AA250" s="99"/>
      <c r="AB250" s="99"/>
      <c r="AC250" s="99"/>
      <c r="AD250" s="99"/>
      <c r="AE250" s="99"/>
      <c r="AF250" s="99"/>
      <c r="AG250" s="99"/>
      <c r="AH250" s="99"/>
      <c r="AI250" s="99"/>
      <c r="AJ250" s="99"/>
      <c r="AK250" s="99"/>
      <c r="AL250" s="99"/>
      <c r="AM250" s="99"/>
      <c r="AN250" s="99"/>
      <c r="AO250" s="99"/>
      <c r="AP250" s="99"/>
      <c r="AQ250" s="99"/>
      <c r="AR250" s="99"/>
      <c r="AS250" s="100" t="e">
        <f>+'40 SEMANA'!#REF!</f>
        <v>#REF!</v>
      </c>
      <c r="AT250" s="100">
        <f>+'40 SEMANA'!G12</f>
        <v>0</v>
      </c>
      <c r="AU250" s="100">
        <f>+'40 SEMANA'!H12</f>
        <v>0</v>
      </c>
      <c r="AV250" s="100">
        <f>+'40 SEMANA'!I12</f>
        <v>0</v>
      </c>
      <c r="AW250" s="100">
        <f>+'40 SEMANA'!J12</f>
        <v>0</v>
      </c>
      <c r="AX250" s="100">
        <f>+'40 SEMANA'!K12</f>
        <v>0</v>
      </c>
      <c r="AY250" s="99"/>
      <c r="AZ250" s="99"/>
      <c r="BA250" s="99"/>
      <c r="BB250" s="99"/>
      <c r="BC250" s="99"/>
      <c r="BD250" s="99"/>
    </row>
    <row r="251" spans="1:56" x14ac:dyDescent="0.25">
      <c r="A251" s="37">
        <f>'40 SEMANA'!A13</f>
        <v>0</v>
      </c>
      <c r="B251" s="38">
        <f>'40 SEMANA'!B13</f>
        <v>0</v>
      </c>
      <c r="C251" s="38">
        <f>'40 SEMANA'!C13</f>
        <v>0</v>
      </c>
      <c r="D251" s="38">
        <f>'40 SEMANA'!D13</f>
        <v>0</v>
      </c>
      <c r="E251" s="100"/>
      <c r="F251" s="100"/>
      <c r="G251" s="99"/>
      <c r="H251" s="101"/>
      <c r="I251" s="102"/>
      <c r="J251" s="103"/>
      <c r="K251" s="99"/>
      <c r="L251" s="99"/>
      <c r="M251" s="99"/>
      <c r="N251" s="99"/>
      <c r="O251" s="99"/>
      <c r="P251" s="99"/>
      <c r="Q251" s="99"/>
      <c r="R251" s="99"/>
      <c r="S251" s="99"/>
      <c r="T251" s="99"/>
      <c r="U251" s="99"/>
      <c r="V251" s="99"/>
      <c r="W251" s="99"/>
      <c r="X251" s="99"/>
      <c r="Y251" s="99"/>
      <c r="Z251" s="99"/>
      <c r="AA251" s="99"/>
      <c r="AB251" s="99"/>
      <c r="AC251" s="99"/>
      <c r="AD251" s="99"/>
      <c r="AE251" s="99"/>
      <c r="AF251" s="99"/>
      <c r="AG251" s="99"/>
      <c r="AH251" s="99"/>
      <c r="AI251" s="99"/>
      <c r="AJ251" s="99"/>
      <c r="AK251" s="99"/>
      <c r="AL251" s="99"/>
      <c r="AM251" s="99"/>
      <c r="AN251" s="99"/>
      <c r="AO251" s="99"/>
      <c r="AP251" s="99"/>
      <c r="AQ251" s="99"/>
      <c r="AR251" s="99"/>
      <c r="AS251" s="100">
        <f>+'40 SEMANA'!F13</f>
        <v>0</v>
      </c>
      <c r="AT251" s="100">
        <f>+'40 SEMANA'!G13</f>
        <v>0</v>
      </c>
      <c r="AU251" s="100">
        <f>+'40 SEMANA'!H13</f>
        <v>0</v>
      </c>
      <c r="AV251" s="100">
        <f>+'40 SEMANA'!I13</f>
        <v>0</v>
      </c>
      <c r="AW251" s="100">
        <f>+'40 SEMANA'!J13</f>
        <v>0</v>
      </c>
      <c r="AX251" s="100">
        <f>+'40 SEMANA'!K13</f>
        <v>0</v>
      </c>
      <c r="AY251" s="99"/>
      <c r="AZ251" s="99"/>
      <c r="BA251" s="99"/>
      <c r="BB251" s="99"/>
      <c r="BC251" s="99"/>
      <c r="BD251" s="99"/>
    </row>
    <row r="252" spans="1:56" x14ac:dyDescent="0.25">
      <c r="A252" s="37">
        <f>'40 SEMANA'!A14</f>
        <v>0</v>
      </c>
      <c r="B252" s="38">
        <f>'40 SEMANA'!B14</f>
        <v>0</v>
      </c>
      <c r="C252" s="38">
        <f>'40 SEMANA'!C14</f>
        <v>0</v>
      </c>
      <c r="D252" s="38">
        <f>'40 SEMANA'!D14</f>
        <v>0</v>
      </c>
      <c r="E252" s="100"/>
      <c r="F252" s="100"/>
      <c r="G252" s="99"/>
      <c r="H252" s="101"/>
      <c r="I252" s="102"/>
      <c r="J252" s="103"/>
      <c r="K252" s="99"/>
      <c r="L252" s="99"/>
      <c r="M252" s="99"/>
      <c r="N252" s="99"/>
      <c r="O252" s="99"/>
      <c r="P252" s="99"/>
      <c r="Q252" s="99"/>
      <c r="R252" s="99"/>
      <c r="S252" s="99"/>
      <c r="T252" s="99"/>
      <c r="U252" s="99"/>
      <c r="V252" s="99"/>
      <c r="W252" s="99"/>
      <c r="X252" s="99"/>
      <c r="Y252" s="99"/>
      <c r="Z252" s="99"/>
      <c r="AA252" s="99"/>
      <c r="AB252" s="99"/>
      <c r="AC252" s="99"/>
      <c r="AD252" s="99"/>
      <c r="AE252" s="99"/>
      <c r="AF252" s="99"/>
      <c r="AG252" s="99"/>
      <c r="AH252" s="99"/>
      <c r="AI252" s="99"/>
      <c r="AJ252" s="99"/>
      <c r="AK252" s="99"/>
      <c r="AL252" s="99"/>
      <c r="AM252" s="99"/>
      <c r="AN252" s="99"/>
      <c r="AO252" s="99"/>
      <c r="AP252" s="99"/>
      <c r="AQ252" s="99"/>
      <c r="AR252" s="99"/>
      <c r="AS252" s="100">
        <f>+'40 SEMANA'!F14</f>
        <v>0</v>
      </c>
      <c r="AT252" s="100">
        <f>+'40 SEMANA'!G14</f>
        <v>0</v>
      </c>
      <c r="AU252" s="100">
        <f>+'40 SEMANA'!H14</f>
        <v>0</v>
      </c>
      <c r="AV252" s="100">
        <f>+'40 SEMANA'!I14</f>
        <v>0</v>
      </c>
      <c r="AW252" s="100">
        <f>+'40 SEMANA'!J14</f>
        <v>0</v>
      </c>
      <c r="AX252" s="100">
        <f>+'40 SEMANA'!K14</f>
        <v>0</v>
      </c>
      <c r="AY252" s="99"/>
      <c r="AZ252" s="99"/>
      <c r="BA252" s="99"/>
      <c r="BB252" s="99"/>
      <c r="BC252" s="99"/>
      <c r="BD252" s="99"/>
    </row>
    <row r="253" spans="1:56" x14ac:dyDescent="0.25">
      <c r="A253" s="37">
        <f>'41 SEMANA'!A9</f>
        <v>0</v>
      </c>
      <c r="B253" s="38">
        <f>'41 SEMANA'!B9</f>
        <v>0</v>
      </c>
      <c r="C253" s="38">
        <f>'41 SEMANA'!C9</f>
        <v>0</v>
      </c>
      <c r="D253" s="38">
        <f>'41 SEMANA'!D9</f>
        <v>0</v>
      </c>
      <c r="E253" s="100"/>
      <c r="F253" s="100"/>
      <c r="G253" s="99"/>
      <c r="H253" s="101"/>
      <c r="I253" s="102"/>
      <c r="J253" s="103"/>
      <c r="K253" s="99"/>
      <c r="L253" s="99"/>
      <c r="M253" s="99"/>
      <c r="N253" s="99"/>
      <c r="O253" s="99"/>
      <c r="P253" s="99"/>
      <c r="Q253" s="99"/>
      <c r="R253" s="99"/>
      <c r="S253" s="99"/>
      <c r="T253" s="99"/>
      <c r="U253" s="99"/>
      <c r="V253" s="99"/>
      <c r="W253" s="99"/>
      <c r="X253" s="99"/>
      <c r="Y253" s="99"/>
      <c r="Z253" s="99"/>
      <c r="AA253" s="99"/>
      <c r="AB253" s="99"/>
      <c r="AC253" s="99"/>
      <c r="AD253" s="99"/>
      <c r="AE253" s="99"/>
      <c r="AF253" s="99"/>
      <c r="AG253" s="99"/>
      <c r="AH253" s="99"/>
      <c r="AI253" s="99"/>
      <c r="AJ253" s="99"/>
      <c r="AK253" s="99"/>
      <c r="AL253" s="99"/>
      <c r="AM253" s="99"/>
      <c r="AN253" s="99"/>
      <c r="AO253" s="99"/>
      <c r="AP253" s="99"/>
      <c r="AQ253" s="99"/>
      <c r="AR253" s="99"/>
      <c r="AS253" s="99"/>
      <c r="AT253" s="100">
        <f>+'41 SEMANA'!F9</f>
        <v>0</v>
      </c>
      <c r="AU253" s="100">
        <f>+'41 SEMANA'!G9</f>
        <v>0</v>
      </c>
      <c r="AV253" s="100">
        <f>+'41 SEMANA'!H9</f>
        <v>0</v>
      </c>
      <c r="AW253" s="100">
        <f>+'41 SEMANA'!I9</f>
        <v>0</v>
      </c>
      <c r="AX253" s="100">
        <f>+'41 SEMANA'!J9</f>
        <v>0</v>
      </c>
      <c r="AY253" s="100">
        <f>+'41 SEMANA'!K9</f>
        <v>0</v>
      </c>
      <c r="AZ253" s="99"/>
      <c r="BA253" s="99"/>
      <c r="BB253" s="99"/>
      <c r="BC253" s="99"/>
      <c r="BD253" s="99"/>
    </row>
    <row r="254" spans="1:56" x14ac:dyDescent="0.25">
      <c r="A254" s="37">
        <f>'41 SEMANA'!A10</f>
        <v>0</v>
      </c>
      <c r="B254" s="38">
        <f>'41 SEMANA'!B10</f>
        <v>0</v>
      </c>
      <c r="C254" s="38">
        <f>'41 SEMANA'!C10</f>
        <v>0</v>
      </c>
      <c r="D254" s="38">
        <f>'41 SEMANA'!D10</f>
        <v>0</v>
      </c>
      <c r="E254" s="100"/>
      <c r="F254" s="100"/>
      <c r="G254" s="99"/>
      <c r="H254" s="101"/>
      <c r="I254" s="102"/>
      <c r="J254" s="103"/>
      <c r="K254" s="99"/>
      <c r="L254" s="99"/>
      <c r="M254" s="99"/>
      <c r="N254" s="99"/>
      <c r="O254" s="99"/>
      <c r="P254" s="99"/>
      <c r="Q254" s="99"/>
      <c r="R254" s="99"/>
      <c r="S254" s="99"/>
      <c r="T254" s="99"/>
      <c r="U254" s="99"/>
      <c r="V254" s="99"/>
      <c r="W254" s="99"/>
      <c r="X254" s="99"/>
      <c r="Y254" s="99"/>
      <c r="Z254" s="99"/>
      <c r="AA254" s="99"/>
      <c r="AB254" s="99"/>
      <c r="AC254" s="99"/>
      <c r="AD254" s="99"/>
      <c r="AE254" s="99"/>
      <c r="AF254" s="99"/>
      <c r="AG254" s="99"/>
      <c r="AH254" s="99"/>
      <c r="AI254" s="99"/>
      <c r="AJ254" s="99"/>
      <c r="AK254" s="99"/>
      <c r="AL254" s="99"/>
      <c r="AM254" s="99"/>
      <c r="AN254" s="99"/>
      <c r="AO254" s="99"/>
      <c r="AP254" s="99"/>
      <c r="AQ254" s="99"/>
      <c r="AR254" s="99"/>
      <c r="AS254" s="99"/>
      <c r="AT254" s="100">
        <f>+'41 SEMANA'!F10</f>
        <v>0</v>
      </c>
      <c r="AU254" s="100">
        <f>+'41 SEMANA'!G10</f>
        <v>0</v>
      </c>
      <c r="AV254" s="100">
        <f>+'41 SEMANA'!H10</f>
        <v>0</v>
      </c>
      <c r="AW254" s="100">
        <f>+'41 SEMANA'!I10</f>
        <v>0</v>
      </c>
      <c r="AX254" s="100">
        <f>+'41 SEMANA'!J10</f>
        <v>0</v>
      </c>
      <c r="AY254" s="100">
        <f>+'41 SEMANA'!K10</f>
        <v>0</v>
      </c>
      <c r="AZ254" s="99"/>
      <c r="BA254" s="99"/>
      <c r="BB254" s="99"/>
      <c r="BC254" s="99"/>
      <c r="BD254" s="99"/>
    </row>
    <row r="255" spans="1:56" x14ac:dyDescent="0.25">
      <c r="A255" s="37">
        <f>'41 SEMANA'!A11</f>
        <v>0</v>
      </c>
      <c r="B255" s="38">
        <f>'41 SEMANA'!B11</f>
        <v>0</v>
      </c>
      <c r="C255" s="38">
        <f>'41 SEMANA'!C11</f>
        <v>0</v>
      </c>
      <c r="D255" s="38">
        <f>'41 SEMANA'!D11</f>
        <v>0</v>
      </c>
      <c r="E255" s="100"/>
      <c r="F255" s="100"/>
      <c r="G255" s="99"/>
      <c r="H255" s="101"/>
      <c r="I255" s="102"/>
      <c r="J255" s="103"/>
      <c r="K255" s="99"/>
      <c r="L255" s="99"/>
      <c r="M255" s="99"/>
      <c r="N255" s="99"/>
      <c r="O255" s="99"/>
      <c r="P255" s="99"/>
      <c r="Q255" s="99"/>
      <c r="R255" s="99"/>
      <c r="S255" s="99"/>
      <c r="T255" s="99"/>
      <c r="U255" s="99"/>
      <c r="V255" s="99"/>
      <c r="W255" s="99"/>
      <c r="X255" s="99"/>
      <c r="Y255" s="99"/>
      <c r="Z255" s="99"/>
      <c r="AA255" s="99"/>
      <c r="AB255" s="99"/>
      <c r="AC255" s="99"/>
      <c r="AD255" s="99"/>
      <c r="AE255" s="99"/>
      <c r="AF255" s="99"/>
      <c r="AG255" s="99"/>
      <c r="AH255" s="99"/>
      <c r="AI255" s="99"/>
      <c r="AJ255" s="99"/>
      <c r="AK255" s="99"/>
      <c r="AL255" s="99"/>
      <c r="AM255" s="99"/>
      <c r="AN255" s="99"/>
      <c r="AO255" s="99"/>
      <c r="AP255" s="99"/>
      <c r="AQ255" s="99"/>
      <c r="AR255" s="99"/>
      <c r="AS255" s="99"/>
      <c r="AT255" s="100">
        <f>+'41 SEMANA'!F11</f>
        <v>0</v>
      </c>
      <c r="AU255" s="100">
        <f>+'41 SEMANA'!G11</f>
        <v>0</v>
      </c>
      <c r="AV255" s="100">
        <f>+'41 SEMANA'!H11</f>
        <v>0</v>
      </c>
      <c r="AW255" s="100">
        <f>+'41 SEMANA'!I11</f>
        <v>0</v>
      </c>
      <c r="AX255" s="100">
        <f>+'41 SEMANA'!J11</f>
        <v>0</v>
      </c>
      <c r="AY255" s="100">
        <f>+'41 SEMANA'!K11</f>
        <v>0</v>
      </c>
      <c r="AZ255" s="99"/>
      <c r="BA255" s="99"/>
      <c r="BB255" s="99"/>
      <c r="BC255" s="99"/>
      <c r="BD255" s="99"/>
    </row>
    <row r="256" spans="1:56" x14ac:dyDescent="0.25">
      <c r="A256" s="37">
        <f>'41 SEMANA'!A12</f>
        <v>0</v>
      </c>
      <c r="B256" s="38">
        <f>'41 SEMANA'!B12</f>
        <v>0</v>
      </c>
      <c r="C256" s="38">
        <f>'41 SEMANA'!C12</f>
        <v>0</v>
      </c>
      <c r="D256" s="38">
        <f>'41 SEMANA'!D12</f>
        <v>0</v>
      </c>
      <c r="E256" s="100"/>
      <c r="F256" s="100"/>
      <c r="G256" s="99"/>
      <c r="H256" s="101"/>
      <c r="I256" s="102"/>
      <c r="J256" s="103"/>
      <c r="K256" s="99"/>
      <c r="L256" s="99"/>
      <c r="M256" s="99"/>
      <c r="N256" s="99"/>
      <c r="O256" s="99"/>
      <c r="P256" s="99"/>
      <c r="Q256" s="99"/>
      <c r="R256" s="99"/>
      <c r="S256" s="99"/>
      <c r="T256" s="99"/>
      <c r="U256" s="99"/>
      <c r="V256" s="99"/>
      <c r="W256" s="99"/>
      <c r="X256" s="99"/>
      <c r="Y256" s="99"/>
      <c r="Z256" s="99"/>
      <c r="AA256" s="99"/>
      <c r="AB256" s="99"/>
      <c r="AC256" s="99"/>
      <c r="AD256" s="99"/>
      <c r="AE256" s="99"/>
      <c r="AF256" s="99"/>
      <c r="AG256" s="99"/>
      <c r="AH256" s="99"/>
      <c r="AI256" s="99"/>
      <c r="AJ256" s="99"/>
      <c r="AK256" s="99"/>
      <c r="AL256" s="99"/>
      <c r="AM256" s="99"/>
      <c r="AN256" s="99"/>
      <c r="AO256" s="99"/>
      <c r="AP256" s="99"/>
      <c r="AQ256" s="99"/>
      <c r="AR256" s="99"/>
      <c r="AS256" s="99"/>
      <c r="AT256" s="100">
        <f>+'41 SEMANA'!F12</f>
        <v>0</v>
      </c>
      <c r="AU256" s="100">
        <f>+'41 SEMANA'!G12</f>
        <v>0</v>
      </c>
      <c r="AV256" s="100">
        <f>+'41 SEMANA'!H12</f>
        <v>0</v>
      </c>
      <c r="AW256" s="100">
        <f>+'41 SEMANA'!I12</f>
        <v>0</v>
      </c>
      <c r="AX256" s="100">
        <f>+'41 SEMANA'!J12</f>
        <v>0</v>
      </c>
      <c r="AY256" s="100">
        <f>+'41 SEMANA'!K12</f>
        <v>0</v>
      </c>
      <c r="AZ256" s="99"/>
      <c r="BA256" s="99"/>
      <c r="BB256" s="99"/>
      <c r="BC256" s="99"/>
      <c r="BD256" s="99"/>
    </row>
    <row r="257" spans="1:56" x14ac:dyDescent="0.25">
      <c r="A257" s="37">
        <f>'41 SEMANA'!A13</f>
        <v>0</v>
      </c>
      <c r="B257" s="38">
        <f>'41 SEMANA'!B13</f>
        <v>0</v>
      </c>
      <c r="C257" s="38">
        <f>'41 SEMANA'!C13</f>
        <v>0</v>
      </c>
      <c r="D257" s="38">
        <f>'41 SEMANA'!D13</f>
        <v>0</v>
      </c>
      <c r="E257" s="100"/>
      <c r="F257" s="100"/>
      <c r="G257" s="99"/>
      <c r="H257" s="101"/>
      <c r="I257" s="102"/>
      <c r="J257" s="103"/>
      <c r="K257" s="99"/>
      <c r="L257" s="99"/>
      <c r="M257" s="99"/>
      <c r="N257" s="99"/>
      <c r="O257" s="99"/>
      <c r="P257" s="99"/>
      <c r="Q257" s="99"/>
      <c r="R257" s="99"/>
      <c r="S257" s="99"/>
      <c r="T257" s="99"/>
      <c r="U257" s="99"/>
      <c r="V257" s="99"/>
      <c r="W257" s="99"/>
      <c r="X257" s="99"/>
      <c r="Y257" s="99"/>
      <c r="Z257" s="99"/>
      <c r="AA257" s="99"/>
      <c r="AB257" s="99"/>
      <c r="AC257" s="99"/>
      <c r="AD257" s="99"/>
      <c r="AE257" s="99"/>
      <c r="AF257" s="99"/>
      <c r="AG257" s="99"/>
      <c r="AH257" s="99"/>
      <c r="AI257" s="99"/>
      <c r="AJ257" s="99"/>
      <c r="AK257" s="99"/>
      <c r="AL257" s="99"/>
      <c r="AM257" s="99"/>
      <c r="AN257" s="99"/>
      <c r="AO257" s="99"/>
      <c r="AP257" s="99"/>
      <c r="AQ257" s="99"/>
      <c r="AR257" s="99"/>
      <c r="AS257" s="99"/>
      <c r="AT257" s="100">
        <f>+'41 SEMANA'!F13</f>
        <v>0</v>
      </c>
      <c r="AU257" s="100">
        <f>+'41 SEMANA'!G13</f>
        <v>0</v>
      </c>
      <c r="AV257" s="100">
        <f>+'41 SEMANA'!H13</f>
        <v>0</v>
      </c>
      <c r="AW257" s="100">
        <f>+'41 SEMANA'!I13</f>
        <v>0</v>
      </c>
      <c r="AX257" s="100">
        <f>+'41 SEMANA'!J13</f>
        <v>0</v>
      </c>
      <c r="AY257" s="100">
        <f>+'41 SEMANA'!K13</f>
        <v>0</v>
      </c>
      <c r="AZ257" s="99"/>
      <c r="BA257" s="99"/>
      <c r="BB257" s="99"/>
      <c r="BC257" s="99"/>
      <c r="BD257" s="99"/>
    </row>
    <row r="258" spans="1:56" x14ac:dyDescent="0.25">
      <c r="A258" s="37">
        <f>'41 SEMANA'!A14</f>
        <v>0</v>
      </c>
      <c r="B258" s="38">
        <f>'41 SEMANA'!B14</f>
        <v>0</v>
      </c>
      <c r="C258" s="38">
        <f>'41 SEMANA'!C14</f>
        <v>0</v>
      </c>
      <c r="D258" s="38">
        <f>'41 SEMANA'!D14</f>
        <v>0</v>
      </c>
      <c r="E258" s="100"/>
      <c r="F258" s="100"/>
      <c r="G258" s="99"/>
      <c r="H258" s="101"/>
      <c r="I258" s="102"/>
      <c r="J258" s="103"/>
      <c r="K258" s="99"/>
      <c r="L258" s="99"/>
      <c r="M258" s="99"/>
      <c r="N258" s="99"/>
      <c r="O258" s="99"/>
      <c r="P258" s="99"/>
      <c r="Q258" s="99"/>
      <c r="R258" s="99"/>
      <c r="S258" s="99"/>
      <c r="T258" s="99"/>
      <c r="U258" s="99"/>
      <c r="V258" s="99"/>
      <c r="W258" s="99"/>
      <c r="X258" s="99"/>
      <c r="Y258" s="99"/>
      <c r="Z258" s="99"/>
      <c r="AA258" s="99"/>
      <c r="AB258" s="99"/>
      <c r="AC258" s="99"/>
      <c r="AD258" s="99"/>
      <c r="AE258" s="99"/>
      <c r="AF258" s="99"/>
      <c r="AG258" s="99"/>
      <c r="AH258" s="99"/>
      <c r="AI258" s="99"/>
      <c r="AJ258" s="99"/>
      <c r="AK258" s="99"/>
      <c r="AL258" s="99"/>
      <c r="AM258" s="99"/>
      <c r="AN258" s="99"/>
      <c r="AO258" s="99"/>
      <c r="AP258" s="99"/>
      <c r="AQ258" s="99"/>
      <c r="AR258" s="99"/>
      <c r="AS258" s="99"/>
      <c r="AT258" s="100">
        <f>+'41 SEMANA'!F14</f>
        <v>0</v>
      </c>
      <c r="AU258" s="100">
        <f>+'41 SEMANA'!G14</f>
        <v>0</v>
      </c>
      <c r="AV258" s="100">
        <f>+'41 SEMANA'!H14</f>
        <v>0</v>
      </c>
      <c r="AW258" s="100">
        <f>+'41 SEMANA'!I14</f>
        <v>0</v>
      </c>
      <c r="AX258" s="100">
        <f>+'41 SEMANA'!J14</f>
        <v>0</v>
      </c>
      <c r="AY258" s="100">
        <f>+'41 SEMANA'!K14</f>
        <v>0</v>
      </c>
      <c r="AZ258" s="99"/>
      <c r="BA258" s="99"/>
      <c r="BB258" s="99"/>
      <c r="BC258" s="99"/>
      <c r="BD258" s="99"/>
    </row>
    <row r="259" spans="1:56" x14ac:dyDescent="0.25">
      <c r="A259" s="37">
        <f>'42 SEMANA '!A9</f>
        <v>0</v>
      </c>
      <c r="B259" s="38">
        <f>'42 SEMANA '!B9</f>
        <v>0</v>
      </c>
      <c r="C259" s="38">
        <f>'42 SEMANA '!C9</f>
        <v>0</v>
      </c>
      <c r="D259" s="38">
        <f>'42 SEMANA '!D9</f>
        <v>0</v>
      </c>
      <c r="E259" s="100"/>
      <c r="F259" s="100"/>
      <c r="G259" s="99"/>
      <c r="H259" s="101"/>
      <c r="I259" s="102"/>
      <c r="J259" s="103"/>
      <c r="K259" s="99"/>
      <c r="L259" s="99"/>
      <c r="M259" s="99"/>
      <c r="N259" s="99"/>
      <c r="O259" s="99"/>
      <c r="P259" s="99"/>
      <c r="Q259" s="99"/>
      <c r="R259" s="99"/>
      <c r="S259" s="99"/>
      <c r="T259" s="99"/>
      <c r="U259" s="99"/>
      <c r="V259" s="99"/>
      <c r="W259" s="99"/>
      <c r="X259" s="99"/>
      <c r="Y259" s="99"/>
      <c r="Z259" s="99"/>
      <c r="AA259" s="99"/>
      <c r="AB259" s="99"/>
      <c r="AC259" s="99"/>
      <c r="AD259" s="99"/>
      <c r="AE259" s="99"/>
      <c r="AF259" s="99"/>
      <c r="AG259" s="99"/>
      <c r="AH259" s="99"/>
      <c r="AI259" s="99"/>
      <c r="AJ259" s="99"/>
      <c r="AK259" s="99"/>
      <c r="AL259" s="99"/>
      <c r="AM259" s="99"/>
      <c r="AN259" s="99"/>
      <c r="AO259" s="99"/>
      <c r="AP259" s="99"/>
      <c r="AQ259" s="99"/>
      <c r="AR259" s="99"/>
      <c r="AS259" s="99"/>
      <c r="AT259" s="99"/>
      <c r="AU259" s="100">
        <f>+'42 SEMANA '!F9</f>
        <v>0</v>
      </c>
      <c r="AV259" s="100">
        <f>+'42 SEMANA '!G9</f>
        <v>0</v>
      </c>
      <c r="AW259" s="100">
        <f>+'42 SEMANA '!H9</f>
        <v>0</v>
      </c>
      <c r="AX259" s="100">
        <f>+'42 SEMANA '!I9</f>
        <v>0</v>
      </c>
      <c r="AY259" s="100">
        <f>+'42 SEMANA '!J9</f>
        <v>0</v>
      </c>
      <c r="AZ259" s="100">
        <f>+'42 SEMANA '!K9</f>
        <v>0</v>
      </c>
      <c r="BA259" s="99"/>
      <c r="BB259" s="99"/>
      <c r="BC259" s="99"/>
      <c r="BD259" s="99"/>
    </row>
    <row r="260" spans="1:56" x14ac:dyDescent="0.25">
      <c r="A260" s="37">
        <f>'42 SEMANA '!A10</f>
        <v>0</v>
      </c>
      <c r="B260" s="38">
        <f>'42 SEMANA '!B10</f>
        <v>0</v>
      </c>
      <c r="C260" s="38">
        <f>'42 SEMANA '!C10</f>
        <v>0</v>
      </c>
      <c r="D260" s="38">
        <f>'42 SEMANA '!D10</f>
        <v>0</v>
      </c>
      <c r="E260" s="100"/>
      <c r="F260" s="100"/>
      <c r="G260" s="99"/>
      <c r="H260" s="101"/>
      <c r="I260" s="102"/>
      <c r="J260" s="103"/>
      <c r="K260" s="99"/>
      <c r="L260" s="99"/>
      <c r="M260" s="99"/>
      <c r="N260" s="99"/>
      <c r="O260" s="99"/>
      <c r="P260" s="99"/>
      <c r="Q260" s="99"/>
      <c r="R260" s="99"/>
      <c r="S260" s="99"/>
      <c r="T260" s="99"/>
      <c r="U260" s="99"/>
      <c r="V260" s="99"/>
      <c r="W260" s="99"/>
      <c r="X260" s="99"/>
      <c r="Y260" s="99"/>
      <c r="Z260" s="99"/>
      <c r="AA260" s="99"/>
      <c r="AB260" s="99"/>
      <c r="AC260" s="99"/>
      <c r="AD260" s="99"/>
      <c r="AE260" s="99"/>
      <c r="AF260" s="99"/>
      <c r="AG260" s="99"/>
      <c r="AH260" s="99"/>
      <c r="AI260" s="99"/>
      <c r="AJ260" s="99"/>
      <c r="AK260" s="99"/>
      <c r="AL260" s="99"/>
      <c r="AM260" s="99"/>
      <c r="AN260" s="99"/>
      <c r="AO260" s="99"/>
      <c r="AP260" s="99"/>
      <c r="AQ260" s="99"/>
      <c r="AR260" s="99"/>
      <c r="AS260" s="99"/>
      <c r="AT260" s="99"/>
      <c r="AU260" s="100">
        <f>+'42 SEMANA '!F10</f>
        <v>0</v>
      </c>
      <c r="AV260" s="100">
        <f>+'42 SEMANA '!G10</f>
        <v>0</v>
      </c>
      <c r="AW260" s="100">
        <f>+'42 SEMANA '!H10</f>
        <v>0</v>
      </c>
      <c r="AX260" s="100">
        <f>+'42 SEMANA '!I10</f>
        <v>0</v>
      </c>
      <c r="AY260" s="100">
        <f>+'42 SEMANA '!J10</f>
        <v>0</v>
      </c>
      <c r="AZ260" s="100">
        <f>+'42 SEMANA '!K10</f>
        <v>0</v>
      </c>
      <c r="BA260" s="99"/>
      <c r="BB260" s="99"/>
      <c r="BC260" s="99"/>
      <c r="BD260" s="99"/>
    </row>
    <row r="261" spans="1:56" x14ac:dyDescent="0.25">
      <c r="A261" s="37">
        <f>'42 SEMANA '!A11</f>
        <v>0</v>
      </c>
      <c r="B261" s="38">
        <f>'42 SEMANA '!B11</f>
        <v>0</v>
      </c>
      <c r="C261" s="38">
        <f>'42 SEMANA '!C11</f>
        <v>0</v>
      </c>
      <c r="D261" s="38">
        <f>'42 SEMANA '!D11</f>
        <v>0</v>
      </c>
      <c r="E261" s="100"/>
      <c r="F261" s="100"/>
      <c r="G261" s="99"/>
      <c r="H261" s="101"/>
      <c r="I261" s="102"/>
      <c r="J261" s="103"/>
      <c r="K261" s="99"/>
      <c r="L261" s="99"/>
      <c r="M261" s="99"/>
      <c r="N261" s="99"/>
      <c r="O261" s="99"/>
      <c r="P261" s="99"/>
      <c r="Q261" s="99"/>
      <c r="R261" s="99"/>
      <c r="S261" s="99"/>
      <c r="T261" s="99"/>
      <c r="U261" s="99"/>
      <c r="V261" s="99"/>
      <c r="W261" s="99"/>
      <c r="X261" s="99"/>
      <c r="Y261" s="99"/>
      <c r="Z261" s="99"/>
      <c r="AA261" s="99"/>
      <c r="AB261" s="99"/>
      <c r="AC261" s="99"/>
      <c r="AD261" s="99"/>
      <c r="AE261" s="99"/>
      <c r="AF261" s="99"/>
      <c r="AG261" s="99"/>
      <c r="AH261" s="99"/>
      <c r="AI261" s="99"/>
      <c r="AJ261" s="99"/>
      <c r="AK261" s="99"/>
      <c r="AL261" s="99"/>
      <c r="AM261" s="99"/>
      <c r="AN261" s="99"/>
      <c r="AO261" s="99"/>
      <c r="AP261" s="99"/>
      <c r="AQ261" s="99"/>
      <c r="AR261" s="99"/>
      <c r="AS261" s="99"/>
      <c r="AT261" s="99"/>
      <c r="AU261" s="100">
        <f>+'42 SEMANA '!F11</f>
        <v>0</v>
      </c>
      <c r="AV261" s="100">
        <f>+'42 SEMANA '!G11</f>
        <v>0</v>
      </c>
      <c r="AW261" s="100">
        <f>+'42 SEMANA '!H11</f>
        <v>0</v>
      </c>
      <c r="AX261" s="100">
        <f>+'42 SEMANA '!I11</f>
        <v>0</v>
      </c>
      <c r="AY261" s="100">
        <f>+'42 SEMANA '!J11</f>
        <v>0</v>
      </c>
      <c r="AZ261" s="100">
        <f>+'42 SEMANA '!K11</f>
        <v>0</v>
      </c>
      <c r="BA261" s="99"/>
      <c r="BB261" s="99"/>
      <c r="BC261" s="99"/>
      <c r="BD261" s="99"/>
    </row>
    <row r="262" spans="1:56" x14ac:dyDescent="0.25">
      <c r="A262" s="37">
        <f>'42 SEMANA '!A12</f>
        <v>0</v>
      </c>
      <c r="B262" s="38">
        <f>'42 SEMANA '!B12</f>
        <v>0</v>
      </c>
      <c r="C262" s="38">
        <f>'42 SEMANA '!C12</f>
        <v>0</v>
      </c>
      <c r="D262" s="38">
        <f>'42 SEMANA '!D12</f>
        <v>0</v>
      </c>
      <c r="E262" s="100"/>
      <c r="F262" s="100"/>
      <c r="G262" s="99"/>
      <c r="H262" s="101"/>
      <c r="I262" s="102"/>
      <c r="J262" s="103"/>
      <c r="K262" s="99"/>
      <c r="L262" s="99"/>
      <c r="M262" s="99"/>
      <c r="N262" s="99"/>
      <c r="O262" s="99"/>
      <c r="P262" s="99"/>
      <c r="Q262" s="99"/>
      <c r="R262" s="99"/>
      <c r="S262" s="99"/>
      <c r="T262" s="99"/>
      <c r="U262" s="99"/>
      <c r="V262" s="99"/>
      <c r="W262" s="99"/>
      <c r="X262" s="99"/>
      <c r="Y262" s="99"/>
      <c r="Z262" s="99"/>
      <c r="AA262" s="99"/>
      <c r="AB262" s="99"/>
      <c r="AC262" s="99"/>
      <c r="AD262" s="99"/>
      <c r="AE262" s="99"/>
      <c r="AF262" s="99"/>
      <c r="AG262" s="99"/>
      <c r="AH262" s="99"/>
      <c r="AI262" s="99"/>
      <c r="AJ262" s="99"/>
      <c r="AK262" s="99"/>
      <c r="AL262" s="99"/>
      <c r="AM262" s="99"/>
      <c r="AN262" s="99"/>
      <c r="AO262" s="99"/>
      <c r="AP262" s="99"/>
      <c r="AQ262" s="99"/>
      <c r="AR262" s="99"/>
      <c r="AS262" s="99"/>
      <c r="AT262" s="99"/>
      <c r="AU262" s="100">
        <f>+'42 SEMANA '!F12</f>
        <v>0</v>
      </c>
      <c r="AV262" s="100">
        <f>+'42 SEMANA '!G12</f>
        <v>0</v>
      </c>
      <c r="AW262" s="100">
        <f>+'42 SEMANA '!H12</f>
        <v>0</v>
      </c>
      <c r="AX262" s="100">
        <f>+'42 SEMANA '!I12</f>
        <v>0</v>
      </c>
      <c r="AY262" s="100">
        <f>+'42 SEMANA '!J12</f>
        <v>0</v>
      </c>
      <c r="AZ262" s="100">
        <f>+'42 SEMANA '!K12</f>
        <v>0</v>
      </c>
      <c r="BA262" s="99"/>
      <c r="BB262" s="99"/>
      <c r="BC262" s="99"/>
      <c r="BD262" s="99"/>
    </row>
    <row r="263" spans="1:56" x14ac:dyDescent="0.25">
      <c r="A263" s="37">
        <f>'42 SEMANA '!A13</f>
        <v>0</v>
      </c>
      <c r="B263" s="38">
        <f>'42 SEMANA '!B13</f>
        <v>0</v>
      </c>
      <c r="C263" s="38">
        <f>'42 SEMANA '!C13</f>
        <v>0</v>
      </c>
      <c r="D263" s="38">
        <f>'42 SEMANA '!D13</f>
        <v>0</v>
      </c>
      <c r="E263" s="100"/>
      <c r="F263" s="100"/>
      <c r="G263" s="99"/>
      <c r="H263" s="101"/>
      <c r="I263" s="102"/>
      <c r="J263" s="103"/>
      <c r="K263" s="99"/>
      <c r="L263" s="99"/>
      <c r="M263" s="99"/>
      <c r="N263" s="99"/>
      <c r="O263" s="99"/>
      <c r="P263" s="99"/>
      <c r="Q263" s="99"/>
      <c r="R263" s="99"/>
      <c r="S263" s="99"/>
      <c r="T263" s="99"/>
      <c r="U263" s="99"/>
      <c r="V263" s="99"/>
      <c r="W263" s="99"/>
      <c r="X263" s="99"/>
      <c r="Y263" s="99"/>
      <c r="Z263" s="99"/>
      <c r="AA263" s="99"/>
      <c r="AB263" s="99"/>
      <c r="AC263" s="99"/>
      <c r="AD263" s="99"/>
      <c r="AE263" s="99"/>
      <c r="AF263" s="99"/>
      <c r="AG263" s="99"/>
      <c r="AH263" s="99"/>
      <c r="AI263" s="99"/>
      <c r="AJ263" s="99"/>
      <c r="AK263" s="99"/>
      <c r="AL263" s="99"/>
      <c r="AM263" s="99"/>
      <c r="AN263" s="99"/>
      <c r="AO263" s="99"/>
      <c r="AP263" s="99"/>
      <c r="AQ263" s="99"/>
      <c r="AR263" s="99"/>
      <c r="AS263" s="99"/>
      <c r="AT263" s="99"/>
      <c r="AU263" s="100">
        <f>+'42 SEMANA '!F13</f>
        <v>0</v>
      </c>
      <c r="AV263" s="100">
        <f>+'42 SEMANA '!G13</f>
        <v>0</v>
      </c>
      <c r="AW263" s="100">
        <f>+'42 SEMANA '!H13</f>
        <v>0</v>
      </c>
      <c r="AX263" s="100">
        <f>+'42 SEMANA '!I13</f>
        <v>0</v>
      </c>
      <c r="AY263" s="100">
        <f>+'42 SEMANA '!J13</f>
        <v>0</v>
      </c>
      <c r="AZ263" s="100">
        <f>+'42 SEMANA '!K13</f>
        <v>0</v>
      </c>
      <c r="BA263" s="99"/>
      <c r="BB263" s="99"/>
      <c r="BC263" s="99"/>
      <c r="BD263" s="99"/>
    </row>
    <row r="264" spans="1:56" x14ac:dyDescent="0.25">
      <c r="A264" s="37">
        <f>'42 SEMANA '!A14</f>
        <v>0</v>
      </c>
      <c r="B264" s="38">
        <f>'42 SEMANA '!B14</f>
        <v>0</v>
      </c>
      <c r="C264" s="38">
        <f>'42 SEMANA '!C14</f>
        <v>0</v>
      </c>
      <c r="D264" s="38">
        <f>'42 SEMANA '!D14</f>
        <v>0</v>
      </c>
      <c r="E264" s="100"/>
      <c r="F264" s="100"/>
      <c r="G264" s="99"/>
      <c r="H264" s="101"/>
      <c r="I264" s="102"/>
      <c r="J264" s="103"/>
      <c r="K264" s="99"/>
      <c r="L264" s="99"/>
      <c r="M264" s="99"/>
      <c r="N264" s="99"/>
      <c r="O264" s="99"/>
      <c r="P264" s="99"/>
      <c r="Q264" s="99"/>
      <c r="R264" s="99"/>
      <c r="S264" s="99"/>
      <c r="T264" s="99"/>
      <c r="U264" s="99"/>
      <c r="V264" s="99"/>
      <c r="W264" s="99"/>
      <c r="X264" s="99"/>
      <c r="Y264" s="99"/>
      <c r="Z264" s="99"/>
      <c r="AA264" s="99"/>
      <c r="AB264" s="99"/>
      <c r="AC264" s="99"/>
      <c r="AD264" s="99"/>
      <c r="AE264" s="99"/>
      <c r="AF264" s="99"/>
      <c r="AG264" s="99"/>
      <c r="AH264" s="99"/>
      <c r="AI264" s="99"/>
      <c r="AJ264" s="99"/>
      <c r="AK264" s="99"/>
      <c r="AL264" s="99"/>
      <c r="AM264" s="99"/>
      <c r="AN264" s="99"/>
      <c r="AO264" s="99"/>
      <c r="AP264" s="99"/>
      <c r="AQ264" s="99"/>
      <c r="AR264" s="99"/>
      <c r="AS264" s="99"/>
      <c r="AT264" s="99"/>
      <c r="AU264" s="100">
        <f>+'42 SEMANA '!F14</f>
        <v>0</v>
      </c>
      <c r="AV264" s="100">
        <f>+'42 SEMANA '!G14</f>
        <v>0</v>
      </c>
      <c r="AW264" s="100">
        <f>+'42 SEMANA '!H14</f>
        <v>0</v>
      </c>
      <c r="AX264" s="100">
        <f>+'42 SEMANA '!I14</f>
        <v>0</v>
      </c>
      <c r="AY264" s="100">
        <f>+'42 SEMANA '!J14</f>
        <v>0</v>
      </c>
      <c r="AZ264" s="100">
        <f>+'42 SEMANA '!K14</f>
        <v>0</v>
      </c>
      <c r="BA264" s="99"/>
      <c r="BB264" s="99"/>
      <c r="BC264" s="99"/>
      <c r="BD264" s="99"/>
    </row>
    <row r="265" spans="1:56" x14ac:dyDescent="0.25">
      <c r="A265" s="37">
        <f>'43 SEMANA '!A9</f>
        <v>0</v>
      </c>
      <c r="B265" s="38">
        <f>'43 SEMANA '!B9</f>
        <v>0</v>
      </c>
      <c r="C265" s="38">
        <f>'43 SEMANA '!C9</f>
        <v>0</v>
      </c>
      <c r="D265" s="38">
        <f>'43 SEMANA '!D9</f>
        <v>0</v>
      </c>
      <c r="E265" s="100"/>
      <c r="F265" s="100"/>
      <c r="G265" s="99"/>
      <c r="H265" s="101"/>
      <c r="I265" s="102"/>
      <c r="J265" s="103"/>
      <c r="K265" s="99"/>
      <c r="L265" s="99"/>
      <c r="M265" s="99"/>
      <c r="N265" s="99"/>
      <c r="O265" s="99"/>
      <c r="P265" s="99"/>
      <c r="Q265" s="99"/>
      <c r="R265" s="99"/>
      <c r="S265" s="99"/>
      <c r="T265" s="99"/>
      <c r="U265" s="99"/>
      <c r="V265" s="99"/>
      <c r="W265" s="99"/>
      <c r="X265" s="99"/>
      <c r="Y265" s="99"/>
      <c r="Z265" s="99"/>
      <c r="AA265" s="99"/>
      <c r="AB265" s="99"/>
      <c r="AC265" s="99"/>
      <c r="AD265" s="99"/>
      <c r="AE265" s="99"/>
      <c r="AF265" s="99"/>
      <c r="AG265" s="99"/>
      <c r="AH265" s="99"/>
      <c r="AI265" s="99"/>
      <c r="AJ265" s="99"/>
      <c r="AK265" s="99"/>
      <c r="AL265" s="99"/>
      <c r="AM265" s="99"/>
      <c r="AN265" s="99"/>
      <c r="AO265" s="99"/>
      <c r="AP265" s="99"/>
      <c r="AQ265" s="99"/>
      <c r="AR265" s="99"/>
      <c r="AS265" s="99"/>
      <c r="AT265" s="99"/>
      <c r="AU265" s="99"/>
      <c r="AV265" s="100">
        <f>+'43 SEMANA '!F9</f>
        <v>0</v>
      </c>
      <c r="AW265" s="100">
        <f>+'43 SEMANA '!G9</f>
        <v>0</v>
      </c>
      <c r="AX265" s="100">
        <f>+'43 SEMANA '!H9</f>
        <v>0</v>
      </c>
      <c r="AY265" s="100">
        <f>+'43 SEMANA '!I9</f>
        <v>0</v>
      </c>
      <c r="AZ265" s="100">
        <f>+'43 SEMANA '!J9</f>
        <v>0</v>
      </c>
      <c r="BA265" s="99"/>
      <c r="BB265" s="99"/>
      <c r="BC265" s="99"/>
      <c r="BD265" s="99"/>
    </row>
    <row r="266" spans="1:56" x14ac:dyDescent="0.25">
      <c r="A266" s="37">
        <f>'43 SEMANA '!A10</f>
        <v>0</v>
      </c>
      <c r="B266" s="38">
        <f>'43 SEMANA '!B10</f>
        <v>0</v>
      </c>
      <c r="C266" s="38">
        <f>'43 SEMANA '!C10</f>
        <v>0</v>
      </c>
      <c r="D266" s="38">
        <f>'43 SEMANA '!D10</f>
        <v>0</v>
      </c>
      <c r="E266" s="100"/>
      <c r="F266" s="100"/>
      <c r="G266" s="99"/>
      <c r="H266" s="101"/>
      <c r="I266" s="102"/>
      <c r="J266" s="103"/>
      <c r="K266" s="99"/>
      <c r="L266" s="99"/>
      <c r="M266" s="99"/>
      <c r="N266" s="99"/>
      <c r="O266" s="99"/>
      <c r="P266" s="99"/>
      <c r="Q266" s="99"/>
      <c r="R266" s="99"/>
      <c r="S266" s="99"/>
      <c r="T266" s="99"/>
      <c r="U266" s="99"/>
      <c r="V266" s="99"/>
      <c r="W266" s="99"/>
      <c r="X266" s="99"/>
      <c r="Y266" s="99"/>
      <c r="Z266" s="99"/>
      <c r="AA266" s="99"/>
      <c r="AB266" s="99"/>
      <c r="AC266" s="99"/>
      <c r="AD266" s="99"/>
      <c r="AE266" s="99"/>
      <c r="AF266" s="99"/>
      <c r="AG266" s="99"/>
      <c r="AH266" s="99"/>
      <c r="AI266" s="99"/>
      <c r="AJ266" s="99"/>
      <c r="AK266" s="99"/>
      <c r="AL266" s="99"/>
      <c r="AM266" s="99"/>
      <c r="AN266" s="99"/>
      <c r="AO266" s="99"/>
      <c r="AP266" s="99"/>
      <c r="AQ266" s="99"/>
      <c r="AR266" s="99"/>
      <c r="AS266" s="99"/>
      <c r="AT266" s="99"/>
      <c r="AU266" s="99"/>
      <c r="AV266" s="100">
        <f>+'43 SEMANA '!F10</f>
        <v>0</v>
      </c>
      <c r="AW266" s="100">
        <f>+'43 SEMANA '!G10</f>
        <v>0</v>
      </c>
      <c r="AX266" s="100">
        <f>+'43 SEMANA '!H10</f>
        <v>0</v>
      </c>
      <c r="AY266" s="100">
        <f>+'43 SEMANA '!I10</f>
        <v>0</v>
      </c>
      <c r="AZ266" s="100">
        <f>+'43 SEMANA '!J10</f>
        <v>0</v>
      </c>
      <c r="BA266" s="99"/>
      <c r="BB266" s="99"/>
      <c r="BC266" s="99"/>
      <c r="BD266" s="99"/>
    </row>
    <row r="267" spans="1:56" x14ac:dyDescent="0.25">
      <c r="A267" s="37">
        <f>'43 SEMANA '!A11</f>
        <v>0</v>
      </c>
      <c r="B267" s="38">
        <f>'43 SEMANA '!B11</f>
        <v>0</v>
      </c>
      <c r="C267" s="38">
        <f>'43 SEMANA '!C11</f>
        <v>0</v>
      </c>
      <c r="D267" s="38">
        <f>'43 SEMANA '!D11</f>
        <v>0</v>
      </c>
      <c r="E267" s="100"/>
      <c r="F267" s="100"/>
      <c r="G267" s="99"/>
      <c r="H267" s="101"/>
      <c r="I267" s="102"/>
      <c r="J267" s="103"/>
      <c r="K267" s="99"/>
      <c r="L267" s="99"/>
      <c r="M267" s="99"/>
      <c r="N267" s="99"/>
      <c r="O267" s="99"/>
      <c r="P267" s="99"/>
      <c r="Q267" s="99"/>
      <c r="R267" s="99"/>
      <c r="S267" s="99"/>
      <c r="T267" s="99"/>
      <c r="U267" s="99"/>
      <c r="V267" s="99"/>
      <c r="W267" s="99"/>
      <c r="X267" s="99"/>
      <c r="Y267" s="99"/>
      <c r="Z267" s="99"/>
      <c r="AA267" s="99"/>
      <c r="AB267" s="99"/>
      <c r="AC267" s="99"/>
      <c r="AD267" s="99"/>
      <c r="AE267" s="99"/>
      <c r="AF267" s="99"/>
      <c r="AG267" s="99"/>
      <c r="AH267" s="99"/>
      <c r="AI267" s="99"/>
      <c r="AJ267" s="99"/>
      <c r="AK267" s="99"/>
      <c r="AL267" s="99"/>
      <c r="AM267" s="99"/>
      <c r="AN267" s="99"/>
      <c r="AO267" s="99"/>
      <c r="AP267" s="99"/>
      <c r="AQ267" s="99"/>
      <c r="AR267" s="99"/>
      <c r="AS267" s="99"/>
      <c r="AT267" s="99"/>
      <c r="AU267" s="99"/>
      <c r="AV267" s="100">
        <f>+'43 SEMANA '!F11</f>
        <v>0</v>
      </c>
      <c r="AW267" s="100">
        <f>+'43 SEMANA '!G11</f>
        <v>0</v>
      </c>
      <c r="AX267" s="100">
        <f>+'43 SEMANA '!H11</f>
        <v>0</v>
      </c>
      <c r="AY267" s="100">
        <f>+'43 SEMANA '!I11</f>
        <v>0</v>
      </c>
      <c r="AZ267" s="100">
        <f>+'43 SEMANA '!J11</f>
        <v>0</v>
      </c>
      <c r="BA267" s="99"/>
      <c r="BB267" s="99"/>
      <c r="BC267" s="99"/>
      <c r="BD267" s="99"/>
    </row>
    <row r="268" spans="1:56" x14ac:dyDescent="0.25">
      <c r="A268" s="37">
        <f>'43 SEMANA '!A12</f>
        <v>0</v>
      </c>
      <c r="B268" s="38">
        <f>'43 SEMANA '!B12</f>
        <v>0</v>
      </c>
      <c r="C268" s="38">
        <f>'43 SEMANA '!C12</f>
        <v>0</v>
      </c>
      <c r="D268" s="38">
        <f>'43 SEMANA '!D12</f>
        <v>0</v>
      </c>
      <c r="E268" s="100"/>
      <c r="F268" s="100"/>
      <c r="G268" s="99"/>
      <c r="H268" s="101"/>
      <c r="I268" s="102"/>
      <c r="J268" s="103"/>
      <c r="K268" s="99"/>
      <c r="L268" s="99"/>
      <c r="M268" s="99"/>
      <c r="N268" s="99"/>
      <c r="O268" s="99"/>
      <c r="P268" s="99"/>
      <c r="Q268" s="99"/>
      <c r="R268" s="99"/>
      <c r="S268" s="99"/>
      <c r="T268" s="99"/>
      <c r="U268" s="99"/>
      <c r="V268" s="99"/>
      <c r="W268" s="99"/>
      <c r="X268" s="99"/>
      <c r="Y268" s="99"/>
      <c r="Z268" s="99"/>
      <c r="AA268" s="99"/>
      <c r="AB268" s="99"/>
      <c r="AC268" s="99"/>
      <c r="AD268" s="99"/>
      <c r="AE268" s="99"/>
      <c r="AF268" s="99"/>
      <c r="AG268" s="99"/>
      <c r="AH268" s="99"/>
      <c r="AI268" s="99"/>
      <c r="AJ268" s="99"/>
      <c r="AK268" s="99"/>
      <c r="AL268" s="99"/>
      <c r="AM268" s="99"/>
      <c r="AN268" s="99"/>
      <c r="AO268" s="99"/>
      <c r="AP268" s="99"/>
      <c r="AQ268" s="99"/>
      <c r="AR268" s="99"/>
      <c r="AS268" s="99"/>
      <c r="AT268" s="99"/>
      <c r="AU268" s="99"/>
      <c r="AV268" s="100">
        <f>+'43 SEMANA '!F12</f>
        <v>0</v>
      </c>
      <c r="AW268" s="100">
        <f>+'43 SEMANA '!G12</f>
        <v>0</v>
      </c>
      <c r="AX268" s="100">
        <f>+'43 SEMANA '!H12</f>
        <v>0</v>
      </c>
      <c r="AY268" s="100">
        <f>+'43 SEMANA '!I12</f>
        <v>0</v>
      </c>
      <c r="AZ268" s="100">
        <f>+'43 SEMANA '!J12</f>
        <v>0</v>
      </c>
      <c r="BA268" s="99"/>
      <c r="BB268" s="99"/>
      <c r="BC268" s="99"/>
      <c r="BD268" s="99"/>
    </row>
    <row r="269" spans="1:56" x14ac:dyDescent="0.25">
      <c r="A269" s="37">
        <f>'43 SEMANA '!A13</f>
        <v>0</v>
      </c>
      <c r="B269" s="38">
        <f>'43 SEMANA '!B13</f>
        <v>0</v>
      </c>
      <c r="C269" s="38">
        <f>'43 SEMANA '!C13</f>
        <v>0</v>
      </c>
      <c r="D269" s="38">
        <f>'43 SEMANA '!D13</f>
        <v>0</v>
      </c>
      <c r="E269" s="100"/>
      <c r="F269" s="100"/>
      <c r="G269" s="99"/>
      <c r="H269" s="101"/>
      <c r="I269" s="102"/>
      <c r="J269" s="103"/>
      <c r="K269" s="99"/>
      <c r="L269" s="99"/>
      <c r="M269" s="99"/>
      <c r="N269" s="99"/>
      <c r="O269" s="99"/>
      <c r="P269" s="99"/>
      <c r="Q269" s="99"/>
      <c r="R269" s="99"/>
      <c r="S269" s="99"/>
      <c r="T269" s="99"/>
      <c r="U269" s="99"/>
      <c r="V269" s="99"/>
      <c r="W269" s="99"/>
      <c r="X269" s="99"/>
      <c r="Y269" s="99"/>
      <c r="Z269" s="99"/>
      <c r="AA269" s="99"/>
      <c r="AB269" s="99"/>
      <c r="AC269" s="99"/>
      <c r="AD269" s="99"/>
      <c r="AE269" s="99"/>
      <c r="AF269" s="99"/>
      <c r="AG269" s="99"/>
      <c r="AH269" s="99"/>
      <c r="AI269" s="99"/>
      <c r="AJ269" s="99"/>
      <c r="AK269" s="99"/>
      <c r="AL269" s="99"/>
      <c r="AM269" s="99"/>
      <c r="AN269" s="99"/>
      <c r="AO269" s="99"/>
      <c r="AP269" s="99"/>
      <c r="AQ269" s="99"/>
      <c r="AR269" s="99"/>
      <c r="AS269" s="99"/>
      <c r="AT269" s="99"/>
      <c r="AU269" s="99"/>
      <c r="AV269" s="100">
        <f>+'43 SEMANA '!F13</f>
        <v>0</v>
      </c>
      <c r="AW269" s="100">
        <f>+'43 SEMANA '!G13</f>
        <v>0</v>
      </c>
      <c r="AX269" s="100">
        <f>+'43 SEMANA '!H13</f>
        <v>0</v>
      </c>
      <c r="AY269" s="100">
        <f>+'43 SEMANA '!I13</f>
        <v>0</v>
      </c>
      <c r="AZ269" s="100">
        <f>+'43 SEMANA '!J13</f>
        <v>0</v>
      </c>
      <c r="BA269" s="99"/>
      <c r="BB269" s="99"/>
      <c r="BC269" s="99"/>
      <c r="BD269" s="99"/>
    </row>
    <row r="270" spans="1:56" x14ac:dyDescent="0.25">
      <c r="A270" s="37">
        <f>'43 SEMANA '!A14</f>
        <v>0</v>
      </c>
      <c r="B270" s="38">
        <f>'43 SEMANA '!B14</f>
        <v>0</v>
      </c>
      <c r="C270" s="38">
        <f>'43 SEMANA '!C14</f>
        <v>0</v>
      </c>
      <c r="D270" s="38">
        <f>'43 SEMANA '!D14</f>
        <v>0</v>
      </c>
      <c r="E270" s="100"/>
      <c r="F270" s="100"/>
      <c r="G270" s="99"/>
      <c r="H270" s="101"/>
      <c r="I270" s="102"/>
      <c r="J270" s="103"/>
      <c r="K270" s="99"/>
      <c r="L270" s="99"/>
      <c r="M270" s="99"/>
      <c r="N270" s="99"/>
      <c r="O270" s="99"/>
      <c r="P270" s="99"/>
      <c r="Q270" s="99"/>
      <c r="R270" s="99"/>
      <c r="S270" s="99"/>
      <c r="T270" s="99"/>
      <c r="U270" s="99"/>
      <c r="V270" s="99"/>
      <c r="W270" s="99"/>
      <c r="X270" s="99"/>
      <c r="Y270" s="99"/>
      <c r="Z270" s="99"/>
      <c r="AA270" s="99"/>
      <c r="AB270" s="99"/>
      <c r="AC270" s="99"/>
      <c r="AD270" s="99"/>
      <c r="AE270" s="99"/>
      <c r="AF270" s="99"/>
      <c r="AG270" s="99"/>
      <c r="AH270" s="99"/>
      <c r="AI270" s="99"/>
      <c r="AJ270" s="99"/>
      <c r="AK270" s="99"/>
      <c r="AL270" s="99"/>
      <c r="AM270" s="99"/>
      <c r="AN270" s="99"/>
      <c r="AO270" s="99"/>
      <c r="AP270" s="99"/>
      <c r="AQ270" s="99"/>
      <c r="AR270" s="99"/>
      <c r="AS270" s="99"/>
      <c r="AT270" s="99"/>
      <c r="AU270" s="99"/>
      <c r="AV270" s="100">
        <f>+'43 SEMANA '!F14</f>
        <v>0</v>
      </c>
      <c r="AW270" s="100">
        <f>+'43 SEMANA '!G14</f>
        <v>0</v>
      </c>
      <c r="AX270" s="100">
        <f>+'43 SEMANA '!H14</f>
        <v>0</v>
      </c>
      <c r="AY270" s="100">
        <f>+'43 SEMANA '!I14</f>
        <v>0</v>
      </c>
      <c r="AZ270" s="100">
        <f>+'43 SEMANA '!J14</f>
        <v>0</v>
      </c>
      <c r="BA270" s="99"/>
      <c r="BB270" s="99"/>
      <c r="BC270" s="99"/>
      <c r="BD270" s="99"/>
    </row>
    <row r="271" spans="1:56" x14ac:dyDescent="0.25">
      <c r="A271" s="37">
        <f>'44 SEMANA'!A9</f>
        <v>0</v>
      </c>
      <c r="B271" s="38">
        <f>'44 SEMANA'!B9</f>
        <v>0</v>
      </c>
      <c r="C271" s="38">
        <f>'44 SEMANA'!C9</f>
        <v>0</v>
      </c>
      <c r="D271" s="38">
        <f>'44 SEMANA'!D9</f>
        <v>0</v>
      </c>
      <c r="E271" s="100"/>
      <c r="F271" s="100"/>
      <c r="G271" s="99"/>
      <c r="H271" s="101"/>
      <c r="I271" s="102"/>
      <c r="J271" s="103"/>
      <c r="K271" s="99"/>
      <c r="L271" s="99"/>
      <c r="M271" s="99"/>
      <c r="N271" s="99"/>
      <c r="O271" s="99"/>
      <c r="P271" s="99"/>
      <c r="Q271" s="99"/>
      <c r="R271" s="99"/>
      <c r="S271" s="99"/>
      <c r="T271" s="99"/>
      <c r="U271" s="99"/>
      <c r="V271" s="99"/>
      <c r="W271" s="99"/>
      <c r="X271" s="99"/>
      <c r="Y271" s="99"/>
      <c r="Z271" s="99"/>
      <c r="AA271" s="99"/>
      <c r="AB271" s="99"/>
      <c r="AC271" s="99"/>
      <c r="AD271" s="99"/>
      <c r="AE271" s="99"/>
      <c r="AF271" s="99"/>
      <c r="AG271" s="99"/>
      <c r="AH271" s="99"/>
      <c r="AI271" s="99"/>
      <c r="AJ271" s="99"/>
      <c r="AK271" s="99"/>
      <c r="AL271" s="99"/>
      <c r="AM271" s="99"/>
      <c r="AN271" s="99"/>
      <c r="AO271" s="99"/>
      <c r="AP271" s="99"/>
      <c r="AQ271" s="99"/>
      <c r="AR271" s="99"/>
      <c r="AS271" s="99"/>
      <c r="AT271" s="99"/>
      <c r="AU271" s="99"/>
      <c r="AV271" s="99"/>
      <c r="AW271" s="100">
        <f>+'44 SEMANA'!F9</f>
        <v>0</v>
      </c>
      <c r="AX271" s="100">
        <f>+'44 SEMANA'!G9</f>
        <v>0</v>
      </c>
      <c r="AY271" s="100">
        <f>+'44 SEMANA'!H9</f>
        <v>0</v>
      </c>
      <c r="AZ271" s="100">
        <f>+'44 SEMANA'!I9</f>
        <v>0</v>
      </c>
      <c r="BA271" s="100">
        <f>+'44 SEMANA'!J9</f>
        <v>0</v>
      </c>
      <c r="BB271" s="100">
        <f>+'44 SEMANA'!K9</f>
        <v>0</v>
      </c>
      <c r="BC271" s="99"/>
      <c r="BD271" s="99"/>
    </row>
    <row r="272" spans="1:56" x14ac:dyDescent="0.25">
      <c r="A272" s="37">
        <f>'44 SEMANA'!A10</f>
        <v>0</v>
      </c>
      <c r="B272" s="38">
        <f>'44 SEMANA'!B10</f>
        <v>0</v>
      </c>
      <c r="C272" s="38">
        <f>'44 SEMANA'!C10</f>
        <v>0</v>
      </c>
      <c r="D272" s="38">
        <f>'44 SEMANA'!D10</f>
        <v>0</v>
      </c>
      <c r="E272" s="100"/>
      <c r="F272" s="100"/>
      <c r="G272" s="99"/>
      <c r="H272" s="101"/>
      <c r="I272" s="102"/>
      <c r="J272" s="103"/>
      <c r="K272" s="99"/>
      <c r="L272" s="99"/>
      <c r="M272" s="99"/>
      <c r="N272" s="99"/>
      <c r="O272" s="99"/>
      <c r="P272" s="99"/>
      <c r="Q272" s="99"/>
      <c r="R272" s="99"/>
      <c r="S272" s="99"/>
      <c r="T272" s="99"/>
      <c r="U272" s="99"/>
      <c r="V272" s="99"/>
      <c r="W272" s="99"/>
      <c r="X272" s="99"/>
      <c r="Y272" s="99"/>
      <c r="Z272" s="99"/>
      <c r="AA272" s="99"/>
      <c r="AB272" s="99"/>
      <c r="AC272" s="99"/>
      <c r="AD272" s="99"/>
      <c r="AE272" s="99"/>
      <c r="AF272" s="99"/>
      <c r="AG272" s="99"/>
      <c r="AH272" s="99"/>
      <c r="AI272" s="99"/>
      <c r="AJ272" s="99"/>
      <c r="AK272" s="99"/>
      <c r="AL272" s="99"/>
      <c r="AM272" s="99"/>
      <c r="AN272" s="99"/>
      <c r="AO272" s="99"/>
      <c r="AP272" s="99"/>
      <c r="AQ272" s="99"/>
      <c r="AR272" s="99"/>
      <c r="AS272" s="99"/>
      <c r="AT272" s="99"/>
      <c r="AU272" s="99"/>
      <c r="AV272" s="99"/>
      <c r="AW272" s="100">
        <f>+'44 SEMANA'!F10</f>
        <v>0</v>
      </c>
      <c r="AX272" s="100">
        <f>+'44 SEMANA'!G10</f>
        <v>0</v>
      </c>
      <c r="AY272" s="100">
        <f>+'44 SEMANA'!H10</f>
        <v>0</v>
      </c>
      <c r="AZ272" s="100">
        <f>+'44 SEMANA'!I10</f>
        <v>0</v>
      </c>
      <c r="BA272" s="100">
        <f>+'44 SEMANA'!J10</f>
        <v>0</v>
      </c>
      <c r="BB272" s="100">
        <f>+'44 SEMANA'!K10</f>
        <v>0</v>
      </c>
      <c r="BC272" s="99"/>
      <c r="BD272" s="99"/>
    </row>
    <row r="273" spans="1:56" x14ac:dyDescent="0.25">
      <c r="A273" s="37">
        <f>'44 SEMANA'!A11</f>
        <v>0</v>
      </c>
      <c r="B273" s="38">
        <f>'44 SEMANA'!B11</f>
        <v>0</v>
      </c>
      <c r="C273" s="38">
        <f>'44 SEMANA'!C11</f>
        <v>0</v>
      </c>
      <c r="D273" s="38">
        <f>'44 SEMANA'!D11</f>
        <v>0</v>
      </c>
      <c r="E273" s="100"/>
      <c r="F273" s="100"/>
      <c r="G273" s="99"/>
      <c r="H273" s="101"/>
      <c r="I273" s="102"/>
      <c r="J273" s="103"/>
      <c r="K273" s="99"/>
      <c r="L273" s="99"/>
      <c r="M273" s="99"/>
      <c r="N273" s="99"/>
      <c r="O273" s="99"/>
      <c r="P273" s="99"/>
      <c r="Q273" s="99"/>
      <c r="R273" s="99"/>
      <c r="S273" s="99"/>
      <c r="T273" s="99"/>
      <c r="U273" s="99"/>
      <c r="V273" s="99"/>
      <c r="W273" s="99"/>
      <c r="X273" s="99"/>
      <c r="Y273" s="99"/>
      <c r="Z273" s="99"/>
      <c r="AA273" s="99"/>
      <c r="AB273" s="99"/>
      <c r="AC273" s="99"/>
      <c r="AD273" s="99"/>
      <c r="AE273" s="99"/>
      <c r="AF273" s="99"/>
      <c r="AG273" s="99"/>
      <c r="AH273" s="99"/>
      <c r="AI273" s="99"/>
      <c r="AJ273" s="99"/>
      <c r="AK273" s="99"/>
      <c r="AL273" s="99"/>
      <c r="AM273" s="99"/>
      <c r="AN273" s="99"/>
      <c r="AO273" s="99"/>
      <c r="AP273" s="99"/>
      <c r="AQ273" s="99"/>
      <c r="AR273" s="99"/>
      <c r="AS273" s="99"/>
      <c r="AT273" s="99"/>
      <c r="AU273" s="99"/>
      <c r="AV273" s="99"/>
      <c r="AW273" s="100">
        <f>+'44 SEMANA'!F11</f>
        <v>0</v>
      </c>
      <c r="AX273" s="100">
        <f>+'44 SEMANA'!G11</f>
        <v>0</v>
      </c>
      <c r="AY273" s="100">
        <f>+'44 SEMANA'!H11</f>
        <v>0</v>
      </c>
      <c r="AZ273" s="100">
        <f>+'44 SEMANA'!I11</f>
        <v>0</v>
      </c>
      <c r="BA273" s="100">
        <f>+'44 SEMANA'!J11</f>
        <v>0</v>
      </c>
      <c r="BB273" s="100">
        <f>+'44 SEMANA'!K11</f>
        <v>0</v>
      </c>
      <c r="BC273" s="99"/>
      <c r="BD273" s="99"/>
    </row>
    <row r="274" spans="1:56" x14ac:dyDescent="0.25">
      <c r="A274" s="37">
        <f>'44 SEMANA'!A12</f>
        <v>0</v>
      </c>
      <c r="B274" s="38">
        <f>'44 SEMANA'!B12</f>
        <v>0</v>
      </c>
      <c r="C274" s="38">
        <f>'44 SEMANA'!C12</f>
        <v>0</v>
      </c>
      <c r="D274" s="38">
        <f>'44 SEMANA'!D12</f>
        <v>0</v>
      </c>
      <c r="E274" s="100"/>
      <c r="F274" s="100"/>
      <c r="G274" s="99"/>
      <c r="H274" s="101"/>
      <c r="I274" s="102"/>
      <c r="J274" s="103"/>
      <c r="K274" s="99"/>
      <c r="L274" s="99"/>
      <c r="M274" s="99"/>
      <c r="N274" s="99"/>
      <c r="O274" s="99"/>
      <c r="P274" s="99"/>
      <c r="Q274" s="99"/>
      <c r="R274" s="99"/>
      <c r="S274" s="99"/>
      <c r="T274" s="99"/>
      <c r="U274" s="99"/>
      <c r="V274" s="99"/>
      <c r="W274" s="99"/>
      <c r="X274" s="99"/>
      <c r="Y274" s="99"/>
      <c r="Z274" s="99"/>
      <c r="AA274" s="99"/>
      <c r="AB274" s="99"/>
      <c r="AC274" s="99"/>
      <c r="AD274" s="99"/>
      <c r="AE274" s="99"/>
      <c r="AF274" s="99"/>
      <c r="AG274" s="99"/>
      <c r="AH274" s="99"/>
      <c r="AI274" s="99"/>
      <c r="AJ274" s="99"/>
      <c r="AK274" s="99"/>
      <c r="AL274" s="99"/>
      <c r="AM274" s="99"/>
      <c r="AN274" s="99"/>
      <c r="AO274" s="99"/>
      <c r="AP274" s="99"/>
      <c r="AQ274" s="99"/>
      <c r="AR274" s="99"/>
      <c r="AS274" s="99"/>
      <c r="AT274" s="99"/>
      <c r="AU274" s="99"/>
      <c r="AV274" s="99"/>
      <c r="AW274" s="100">
        <f>+'44 SEMANA'!F12</f>
        <v>0</v>
      </c>
      <c r="AX274" s="100">
        <f>+'44 SEMANA'!G12</f>
        <v>0</v>
      </c>
      <c r="AY274" s="100">
        <f>+'44 SEMANA'!H12</f>
        <v>0</v>
      </c>
      <c r="AZ274" s="100">
        <f>+'44 SEMANA'!I12</f>
        <v>0</v>
      </c>
      <c r="BA274" s="100">
        <f>+'44 SEMANA'!J12</f>
        <v>0</v>
      </c>
      <c r="BB274" s="100">
        <f>+'44 SEMANA'!K12</f>
        <v>0</v>
      </c>
      <c r="BC274" s="99"/>
      <c r="BD274" s="99"/>
    </row>
    <row r="275" spans="1:56" x14ac:dyDescent="0.25">
      <c r="A275" s="37">
        <f>'44 SEMANA'!A13</f>
        <v>0</v>
      </c>
      <c r="B275" s="38">
        <f>'44 SEMANA'!B13</f>
        <v>0</v>
      </c>
      <c r="C275" s="38">
        <f>'44 SEMANA'!C13</f>
        <v>0</v>
      </c>
      <c r="D275" s="38">
        <f>'44 SEMANA'!D13</f>
        <v>0</v>
      </c>
      <c r="E275" s="100"/>
      <c r="F275" s="100"/>
      <c r="G275" s="99"/>
      <c r="H275" s="101"/>
      <c r="I275" s="102"/>
      <c r="J275" s="103"/>
      <c r="K275" s="99"/>
      <c r="L275" s="99"/>
      <c r="M275" s="99"/>
      <c r="N275" s="99"/>
      <c r="O275" s="99"/>
      <c r="P275" s="99"/>
      <c r="Q275" s="99"/>
      <c r="R275" s="99"/>
      <c r="S275" s="99"/>
      <c r="T275" s="99"/>
      <c r="U275" s="99"/>
      <c r="V275" s="99"/>
      <c r="W275" s="99"/>
      <c r="X275" s="99"/>
      <c r="Y275" s="99"/>
      <c r="Z275" s="99"/>
      <c r="AA275" s="99"/>
      <c r="AB275" s="99"/>
      <c r="AC275" s="99"/>
      <c r="AD275" s="99"/>
      <c r="AE275" s="99"/>
      <c r="AF275" s="99"/>
      <c r="AG275" s="99"/>
      <c r="AH275" s="99"/>
      <c r="AI275" s="99"/>
      <c r="AJ275" s="99"/>
      <c r="AK275" s="99"/>
      <c r="AL275" s="99"/>
      <c r="AM275" s="99"/>
      <c r="AN275" s="99"/>
      <c r="AO275" s="99"/>
      <c r="AP275" s="99"/>
      <c r="AQ275" s="99"/>
      <c r="AR275" s="99"/>
      <c r="AS275" s="99"/>
      <c r="AT275" s="99"/>
      <c r="AU275" s="99"/>
      <c r="AV275" s="99"/>
      <c r="AW275" s="100">
        <f>+'44 SEMANA'!F13</f>
        <v>0</v>
      </c>
      <c r="AX275" s="100">
        <f>+'44 SEMANA'!G13</f>
        <v>0</v>
      </c>
      <c r="AY275" s="100">
        <f>+'44 SEMANA'!H13</f>
        <v>0</v>
      </c>
      <c r="AZ275" s="100">
        <f>+'44 SEMANA'!I13</f>
        <v>0</v>
      </c>
      <c r="BA275" s="100">
        <f>+'44 SEMANA'!J13</f>
        <v>0</v>
      </c>
      <c r="BB275" s="100">
        <f>+'44 SEMANA'!K13</f>
        <v>0</v>
      </c>
      <c r="BC275" s="99"/>
      <c r="BD275" s="99"/>
    </row>
    <row r="276" spans="1:56" x14ac:dyDescent="0.25">
      <c r="A276" s="37">
        <f>'44 SEMANA'!A14</f>
        <v>0</v>
      </c>
      <c r="B276" s="38">
        <f>'44 SEMANA'!B14</f>
        <v>0</v>
      </c>
      <c r="C276" s="38">
        <f>'44 SEMANA'!C14</f>
        <v>0</v>
      </c>
      <c r="D276" s="38">
        <f>'44 SEMANA'!D14</f>
        <v>0</v>
      </c>
      <c r="E276" s="100"/>
      <c r="F276" s="100"/>
      <c r="G276" s="99"/>
      <c r="H276" s="101"/>
      <c r="I276" s="102"/>
      <c r="J276" s="103"/>
      <c r="K276" s="99"/>
      <c r="L276" s="99"/>
      <c r="M276" s="99"/>
      <c r="N276" s="99"/>
      <c r="O276" s="99"/>
      <c r="P276" s="99"/>
      <c r="Q276" s="99"/>
      <c r="R276" s="99"/>
      <c r="S276" s="99"/>
      <c r="T276" s="99"/>
      <c r="U276" s="99"/>
      <c r="V276" s="99"/>
      <c r="W276" s="99"/>
      <c r="X276" s="99"/>
      <c r="Y276" s="99"/>
      <c r="Z276" s="99"/>
      <c r="AA276" s="99"/>
      <c r="AB276" s="99"/>
      <c r="AC276" s="99"/>
      <c r="AD276" s="99"/>
      <c r="AE276" s="99"/>
      <c r="AF276" s="99"/>
      <c r="AG276" s="99"/>
      <c r="AH276" s="99"/>
      <c r="AI276" s="99"/>
      <c r="AJ276" s="99"/>
      <c r="AK276" s="99"/>
      <c r="AL276" s="99"/>
      <c r="AM276" s="99"/>
      <c r="AN276" s="99"/>
      <c r="AO276" s="99"/>
      <c r="AP276" s="99"/>
      <c r="AQ276" s="99"/>
      <c r="AR276" s="99"/>
      <c r="AS276" s="99"/>
      <c r="AT276" s="99"/>
      <c r="AU276" s="99"/>
      <c r="AV276" s="99"/>
      <c r="AW276" s="100">
        <f>+'44 SEMANA'!F14</f>
        <v>0</v>
      </c>
      <c r="AX276" s="100">
        <f>+'44 SEMANA'!G14</f>
        <v>0</v>
      </c>
      <c r="AY276" s="100">
        <f>+'44 SEMANA'!H14</f>
        <v>0</v>
      </c>
      <c r="AZ276" s="100">
        <f>+'44 SEMANA'!I14</f>
        <v>0</v>
      </c>
      <c r="BA276" s="100">
        <f>+'44 SEMANA'!J14</f>
        <v>0</v>
      </c>
      <c r="BB276" s="100">
        <f>+'44 SEMANA'!K14</f>
        <v>0</v>
      </c>
      <c r="BC276" s="99"/>
      <c r="BD276" s="99"/>
    </row>
    <row r="277" spans="1:56" x14ac:dyDescent="0.25">
      <c r="A277" s="37">
        <f>'45 SEMANA'!A9</f>
        <v>0</v>
      </c>
      <c r="B277" s="38">
        <f>'45 SEMANA'!B9</f>
        <v>0</v>
      </c>
      <c r="C277" s="38">
        <f>'45 SEMANA'!C9</f>
        <v>0</v>
      </c>
      <c r="D277" s="38">
        <f>'45 SEMANA'!D9</f>
        <v>0</v>
      </c>
      <c r="E277" s="100"/>
      <c r="F277" s="100"/>
      <c r="G277" s="99"/>
      <c r="H277" s="101"/>
      <c r="I277" s="102"/>
      <c r="J277" s="103"/>
      <c r="K277" s="99"/>
      <c r="L277" s="99"/>
      <c r="M277" s="99"/>
      <c r="N277" s="99"/>
      <c r="O277" s="99"/>
      <c r="P277" s="99"/>
      <c r="Q277" s="99"/>
      <c r="R277" s="99"/>
      <c r="S277" s="99"/>
      <c r="T277" s="99"/>
      <c r="U277" s="99"/>
      <c r="V277" s="99"/>
      <c r="W277" s="99"/>
      <c r="X277" s="99"/>
      <c r="Y277" s="99"/>
      <c r="Z277" s="99"/>
      <c r="AA277" s="99"/>
      <c r="AB277" s="99"/>
      <c r="AC277" s="99"/>
      <c r="AD277" s="99"/>
      <c r="AE277" s="99"/>
      <c r="AF277" s="99"/>
      <c r="AG277" s="99"/>
      <c r="AH277" s="99"/>
      <c r="AI277" s="99"/>
      <c r="AJ277" s="99"/>
      <c r="AK277" s="99"/>
      <c r="AL277" s="99"/>
      <c r="AM277" s="99"/>
      <c r="AN277" s="99"/>
      <c r="AO277" s="99"/>
      <c r="AP277" s="99"/>
      <c r="AQ277" s="99"/>
      <c r="AR277" s="99"/>
      <c r="AS277" s="99"/>
      <c r="AT277" s="99"/>
      <c r="AU277" s="99"/>
      <c r="AV277" s="99"/>
      <c r="AW277" s="99"/>
      <c r="AX277" s="100">
        <f>+'45 SEMANA'!F9</f>
        <v>0</v>
      </c>
      <c r="AY277" s="100">
        <f>+'45 SEMANA'!G9</f>
        <v>0</v>
      </c>
      <c r="AZ277" s="100">
        <f>+'45 SEMANA'!H9</f>
        <v>0</v>
      </c>
      <c r="BA277" s="100">
        <f>+'45 SEMANA'!I9</f>
        <v>0</v>
      </c>
      <c r="BB277" s="100">
        <f>+'45 SEMANA'!J9</f>
        <v>0</v>
      </c>
      <c r="BC277" s="100">
        <f>+'45 SEMANA'!K9</f>
        <v>0</v>
      </c>
      <c r="BD277" s="99"/>
    </row>
    <row r="278" spans="1:56" x14ac:dyDescent="0.25">
      <c r="A278" s="37">
        <f>'45 SEMANA'!A10</f>
        <v>0</v>
      </c>
      <c r="B278" s="38">
        <f>'45 SEMANA'!B10</f>
        <v>0</v>
      </c>
      <c r="C278" s="38">
        <f>'45 SEMANA'!C10</f>
        <v>0</v>
      </c>
      <c r="D278" s="38">
        <f>'45 SEMANA'!D10</f>
        <v>0</v>
      </c>
      <c r="E278" s="100"/>
      <c r="F278" s="100"/>
      <c r="G278" s="99"/>
      <c r="H278" s="101"/>
      <c r="I278" s="102"/>
      <c r="J278" s="103"/>
      <c r="K278" s="99"/>
      <c r="L278" s="99"/>
      <c r="M278" s="99"/>
      <c r="N278" s="99"/>
      <c r="O278" s="99"/>
      <c r="P278" s="99"/>
      <c r="Q278" s="99"/>
      <c r="R278" s="99"/>
      <c r="S278" s="99"/>
      <c r="T278" s="99"/>
      <c r="U278" s="99"/>
      <c r="V278" s="99"/>
      <c r="W278" s="99"/>
      <c r="X278" s="99"/>
      <c r="Y278" s="99"/>
      <c r="Z278" s="99"/>
      <c r="AA278" s="99"/>
      <c r="AB278" s="99"/>
      <c r="AC278" s="99"/>
      <c r="AD278" s="99"/>
      <c r="AE278" s="99"/>
      <c r="AF278" s="99"/>
      <c r="AG278" s="99"/>
      <c r="AH278" s="99"/>
      <c r="AI278" s="99"/>
      <c r="AJ278" s="99"/>
      <c r="AK278" s="99"/>
      <c r="AL278" s="99"/>
      <c r="AM278" s="99"/>
      <c r="AN278" s="99"/>
      <c r="AO278" s="99"/>
      <c r="AP278" s="99"/>
      <c r="AQ278" s="99"/>
      <c r="AR278" s="99"/>
      <c r="AS278" s="99"/>
      <c r="AT278" s="99"/>
      <c r="AU278" s="99"/>
      <c r="AV278" s="99"/>
      <c r="AW278" s="99"/>
      <c r="AX278" s="100">
        <f>+'45 SEMANA'!F10</f>
        <v>0</v>
      </c>
      <c r="AY278" s="100">
        <f>+'45 SEMANA'!G10</f>
        <v>0</v>
      </c>
      <c r="AZ278" s="100">
        <f>+'45 SEMANA'!H10</f>
        <v>0</v>
      </c>
      <c r="BA278" s="100">
        <f>+'45 SEMANA'!I10</f>
        <v>0</v>
      </c>
      <c r="BB278" s="100">
        <f>+'45 SEMANA'!J10</f>
        <v>0</v>
      </c>
      <c r="BC278" s="100">
        <f>+'45 SEMANA'!K10</f>
        <v>0</v>
      </c>
      <c r="BD278" s="99"/>
    </row>
    <row r="279" spans="1:56" x14ac:dyDescent="0.25">
      <c r="A279" s="37">
        <f>'45 SEMANA'!A11</f>
        <v>0</v>
      </c>
      <c r="B279" s="38">
        <f>'45 SEMANA'!B11</f>
        <v>0</v>
      </c>
      <c r="C279" s="38">
        <f>'45 SEMANA'!C11</f>
        <v>0</v>
      </c>
      <c r="D279" s="38">
        <f>'45 SEMANA'!D11</f>
        <v>0</v>
      </c>
      <c r="E279" s="100"/>
      <c r="F279" s="100"/>
      <c r="G279" s="99"/>
      <c r="H279" s="101"/>
      <c r="I279" s="102"/>
      <c r="J279" s="103"/>
      <c r="K279" s="99"/>
      <c r="L279" s="99"/>
      <c r="M279" s="99"/>
      <c r="N279" s="99"/>
      <c r="O279" s="99"/>
      <c r="P279" s="99"/>
      <c r="Q279" s="99"/>
      <c r="R279" s="99"/>
      <c r="S279" s="99"/>
      <c r="T279" s="99"/>
      <c r="U279" s="99"/>
      <c r="V279" s="99"/>
      <c r="W279" s="99"/>
      <c r="X279" s="99"/>
      <c r="Y279" s="99"/>
      <c r="Z279" s="99"/>
      <c r="AA279" s="99"/>
      <c r="AB279" s="99"/>
      <c r="AC279" s="99"/>
      <c r="AD279" s="99"/>
      <c r="AE279" s="99"/>
      <c r="AF279" s="99"/>
      <c r="AG279" s="99"/>
      <c r="AH279" s="99"/>
      <c r="AI279" s="99"/>
      <c r="AJ279" s="99"/>
      <c r="AK279" s="99"/>
      <c r="AL279" s="99"/>
      <c r="AM279" s="99"/>
      <c r="AN279" s="99"/>
      <c r="AO279" s="99"/>
      <c r="AP279" s="99"/>
      <c r="AQ279" s="99"/>
      <c r="AR279" s="99"/>
      <c r="AS279" s="99"/>
      <c r="AT279" s="99"/>
      <c r="AU279" s="99"/>
      <c r="AV279" s="99"/>
      <c r="AW279" s="99"/>
      <c r="AX279" s="100">
        <f>+'45 SEMANA'!F11</f>
        <v>0</v>
      </c>
      <c r="AY279" s="100">
        <f>+'45 SEMANA'!G11</f>
        <v>0</v>
      </c>
      <c r="AZ279" s="100">
        <f>+'45 SEMANA'!H11</f>
        <v>0</v>
      </c>
      <c r="BA279" s="100">
        <f>+'45 SEMANA'!I11</f>
        <v>0</v>
      </c>
      <c r="BB279" s="100">
        <f>+'45 SEMANA'!J11</f>
        <v>0</v>
      </c>
      <c r="BC279" s="100">
        <f>+'45 SEMANA'!K11</f>
        <v>0</v>
      </c>
      <c r="BD279" s="99"/>
    </row>
    <row r="280" spans="1:56" x14ac:dyDescent="0.25">
      <c r="A280" s="37">
        <f>'45 SEMANA'!A12</f>
        <v>0</v>
      </c>
      <c r="B280" s="38">
        <f>'45 SEMANA'!B12</f>
        <v>0</v>
      </c>
      <c r="C280" s="38">
        <f>'45 SEMANA'!C12</f>
        <v>0</v>
      </c>
      <c r="D280" s="38">
        <f>'45 SEMANA'!D12</f>
        <v>0</v>
      </c>
      <c r="E280" s="100"/>
      <c r="F280" s="100"/>
      <c r="G280" s="99"/>
      <c r="H280" s="101"/>
      <c r="I280" s="102"/>
      <c r="J280" s="103"/>
      <c r="K280" s="99"/>
      <c r="L280" s="99"/>
      <c r="M280" s="99"/>
      <c r="N280" s="99"/>
      <c r="O280" s="99"/>
      <c r="P280" s="99"/>
      <c r="Q280" s="99"/>
      <c r="R280" s="99"/>
      <c r="S280" s="99"/>
      <c r="T280" s="99"/>
      <c r="U280" s="99"/>
      <c r="V280" s="99"/>
      <c r="W280" s="99"/>
      <c r="X280" s="99"/>
      <c r="Y280" s="99"/>
      <c r="Z280" s="99"/>
      <c r="AA280" s="99"/>
      <c r="AB280" s="99"/>
      <c r="AC280" s="99"/>
      <c r="AD280" s="99"/>
      <c r="AE280" s="99"/>
      <c r="AF280" s="99"/>
      <c r="AG280" s="99"/>
      <c r="AH280" s="99"/>
      <c r="AI280" s="99"/>
      <c r="AJ280" s="99"/>
      <c r="AK280" s="99"/>
      <c r="AL280" s="99"/>
      <c r="AM280" s="99"/>
      <c r="AN280" s="99"/>
      <c r="AO280" s="99"/>
      <c r="AP280" s="99"/>
      <c r="AQ280" s="99"/>
      <c r="AR280" s="99"/>
      <c r="AS280" s="99"/>
      <c r="AT280" s="99"/>
      <c r="AU280" s="99"/>
      <c r="AV280" s="99"/>
      <c r="AW280" s="99"/>
      <c r="AX280" s="100">
        <f>+'45 SEMANA'!F12</f>
        <v>0</v>
      </c>
      <c r="AY280" s="100">
        <f>+'45 SEMANA'!G12</f>
        <v>0</v>
      </c>
      <c r="AZ280" s="100">
        <f>+'45 SEMANA'!H12</f>
        <v>0</v>
      </c>
      <c r="BA280" s="100">
        <f>+'45 SEMANA'!I12</f>
        <v>0</v>
      </c>
      <c r="BB280" s="100">
        <f>+'45 SEMANA'!J12</f>
        <v>0</v>
      </c>
      <c r="BC280" s="100">
        <f>+'45 SEMANA'!K12</f>
        <v>0</v>
      </c>
      <c r="BD280" s="99"/>
    </row>
    <row r="281" spans="1:56" x14ac:dyDescent="0.25">
      <c r="A281" s="37">
        <f>'45 SEMANA'!A13</f>
        <v>0</v>
      </c>
      <c r="B281" s="38">
        <f>'45 SEMANA'!B13</f>
        <v>0</v>
      </c>
      <c r="C281" s="38">
        <f>'45 SEMANA'!C13</f>
        <v>0</v>
      </c>
      <c r="D281" s="38">
        <f>'45 SEMANA'!D13</f>
        <v>0</v>
      </c>
      <c r="E281" s="100"/>
      <c r="F281" s="100"/>
      <c r="G281" s="99"/>
      <c r="H281" s="101"/>
      <c r="I281" s="102"/>
      <c r="J281" s="103"/>
      <c r="K281" s="99"/>
      <c r="L281" s="99"/>
      <c r="M281" s="99"/>
      <c r="N281" s="99"/>
      <c r="O281" s="99"/>
      <c r="P281" s="99"/>
      <c r="Q281" s="99"/>
      <c r="R281" s="99"/>
      <c r="S281" s="99"/>
      <c r="T281" s="99"/>
      <c r="U281" s="99"/>
      <c r="V281" s="99"/>
      <c r="W281" s="99"/>
      <c r="X281" s="99"/>
      <c r="Y281" s="99"/>
      <c r="Z281" s="99"/>
      <c r="AA281" s="99"/>
      <c r="AB281" s="99"/>
      <c r="AC281" s="99"/>
      <c r="AD281" s="99"/>
      <c r="AE281" s="99"/>
      <c r="AF281" s="99"/>
      <c r="AG281" s="99"/>
      <c r="AH281" s="99"/>
      <c r="AI281" s="99"/>
      <c r="AJ281" s="99"/>
      <c r="AK281" s="99"/>
      <c r="AL281" s="99"/>
      <c r="AM281" s="99"/>
      <c r="AN281" s="99"/>
      <c r="AO281" s="99"/>
      <c r="AP281" s="99"/>
      <c r="AQ281" s="99"/>
      <c r="AR281" s="99"/>
      <c r="AS281" s="99"/>
      <c r="AT281" s="99"/>
      <c r="AU281" s="99"/>
      <c r="AV281" s="99"/>
      <c r="AW281" s="99"/>
      <c r="AX281" s="100">
        <f>+'45 SEMANA'!F13</f>
        <v>0</v>
      </c>
      <c r="AY281" s="100">
        <f>+'45 SEMANA'!G13</f>
        <v>0</v>
      </c>
      <c r="AZ281" s="100">
        <f>+'45 SEMANA'!H13</f>
        <v>0</v>
      </c>
      <c r="BA281" s="100">
        <f>+'45 SEMANA'!I13</f>
        <v>0</v>
      </c>
      <c r="BB281" s="100">
        <f>+'45 SEMANA'!J13</f>
        <v>0</v>
      </c>
      <c r="BC281" s="100">
        <f>+'45 SEMANA'!K13</f>
        <v>0</v>
      </c>
      <c r="BD281" s="99"/>
    </row>
    <row r="282" spans="1:56" x14ac:dyDescent="0.25">
      <c r="A282" s="37">
        <f>'45 SEMANA'!A14</f>
        <v>0</v>
      </c>
      <c r="B282" s="38">
        <f>'45 SEMANA'!B14</f>
        <v>0</v>
      </c>
      <c r="C282" s="38">
        <f>'45 SEMANA'!C14</f>
        <v>0</v>
      </c>
      <c r="D282" s="38">
        <f>'45 SEMANA'!D14</f>
        <v>0</v>
      </c>
      <c r="E282" s="100"/>
      <c r="F282" s="100"/>
      <c r="G282" s="99"/>
      <c r="H282" s="101"/>
      <c r="I282" s="102"/>
      <c r="J282" s="103"/>
      <c r="K282" s="99"/>
      <c r="L282" s="99"/>
      <c r="M282" s="99"/>
      <c r="N282" s="99"/>
      <c r="O282" s="99"/>
      <c r="P282" s="99"/>
      <c r="Q282" s="99"/>
      <c r="R282" s="99"/>
      <c r="S282" s="99"/>
      <c r="T282" s="99"/>
      <c r="U282" s="99"/>
      <c r="V282" s="99"/>
      <c r="W282" s="99"/>
      <c r="X282" s="99"/>
      <c r="Y282" s="99"/>
      <c r="Z282" s="99"/>
      <c r="AA282" s="99"/>
      <c r="AB282" s="99"/>
      <c r="AC282" s="99"/>
      <c r="AD282" s="99"/>
      <c r="AE282" s="99"/>
      <c r="AF282" s="99"/>
      <c r="AG282" s="99"/>
      <c r="AH282" s="99"/>
      <c r="AI282" s="99"/>
      <c r="AJ282" s="99"/>
      <c r="AK282" s="99"/>
      <c r="AL282" s="99"/>
      <c r="AM282" s="99"/>
      <c r="AN282" s="99"/>
      <c r="AO282" s="99"/>
      <c r="AP282" s="99"/>
      <c r="AQ282" s="99"/>
      <c r="AR282" s="99"/>
      <c r="AS282" s="99"/>
      <c r="AT282" s="99"/>
      <c r="AU282" s="99"/>
      <c r="AV282" s="99"/>
      <c r="AW282" s="99"/>
      <c r="AX282" s="100">
        <f>+'45 SEMANA'!F14</f>
        <v>0</v>
      </c>
      <c r="AY282" s="100">
        <f>+'45 SEMANA'!G14</f>
        <v>0</v>
      </c>
      <c r="AZ282" s="100">
        <f>+'45 SEMANA'!H14</f>
        <v>0</v>
      </c>
      <c r="BA282" s="100">
        <f>+'45 SEMANA'!I14</f>
        <v>0</v>
      </c>
      <c r="BB282" s="100">
        <f>+'45 SEMANA'!J14</f>
        <v>0</v>
      </c>
      <c r="BC282" s="100">
        <f>+'45 SEMANA'!K14</f>
        <v>0</v>
      </c>
      <c r="BD282" s="99"/>
    </row>
    <row r="283" spans="1:56" x14ac:dyDescent="0.25">
      <c r="A283" s="37">
        <f>'46 SEMANA '!A9</f>
        <v>0</v>
      </c>
      <c r="B283" s="38">
        <f>'46 SEMANA '!B9</f>
        <v>0</v>
      </c>
      <c r="C283" s="38">
        <f>'46 SEMANA '!C9</f>
        <v>0</v>
      </c>
      <c r="D283" s="38">
        <f>'46 SEMANA '!D9</f>
        <v>0</v>
      </c>
      <c r="E283" s="100"/>
      <c r="F283" s="100"/>
      <c r="G283" s="99"/>
      <c r="H283" s="101"/>
      <c r="I283" s="102"/>
      <c r="J283" s="103"/>
      <c r="K283" s="99"/>
      <c r="L283" s="99"/>
      <c r="M283" s="99"/>
      <c r="N283" s="99"/>
      <c r="O283" s="99"/>
      <c r="P283" s="99"/>
      <c r="Q283" s="99"/>
      <c r="R283" s="99"/>
      <c r="S283" s="99"/>
      <c r="T283" s="99"/>
      <c r="U283" s="99"/>
      <c r="V283" s="99"/>
      <c r="W283" s="99"/>
      <c r="X283" s="99"/>
      <c r="Y283" s="99"/>
      <c r="Z283" s="99"/>
      <c r="AA283" s="99"/>
      <c r="AB283" s="99"/>
      <c r="AC283" s="99"/>
      <c r="AD283" s="99"/>
      <c r="AE283" s="99"/>
      <c r="AF283" s="99"/>
      <c r="AG283" s="99"/>
      <c r="AH283" s="99"/>
      <c r="AI283" s="99"/>
      <c r="AJ283" s="99"/>
      <c r="AK283" s="99"/>
      <c r="AL283" s="99"/>
      <c r="AM283" s="99"/>
      <c r="AN283" s="99"/>
      <c r="AO283" s="99"/>
      <c r="AP283" s="99"/>
      <c r="AQ283" s="99"/>
      <c r="AR283" s="99"/>
      <c r="AS283" s="99"/>
      <c r="AT283" s="99"/>
      <c r="AU283" s="99"/>
      <c r="AV283" s="100">
        <f>+'46 SEMANA '!F9</f>
        <v>0</v>
      </c>
      <c r="AW283" s="100">
        <f>+'46 SEMANA '!G9</f>
        <v>0</v>
      </c>
      <c r="AX283" s="100">
        <f>+'46 SEMANA '!H9</f>
        <v>0</v>
      </c>
      <c r="AY283" s="100">
        <f>+'46 SEMANA '!I9</f>
        <v>0</v>
      </c>
      <c r="AZ283" s="100">
        <f>+'46 SEMANA '!J9</f>
        <v>0</v>
      </c>
      <c r="BA283" s="99"/>
      <c r="BB283" s="99"/>
      <c r="BC283" s="99"/>
      <c r="BD283" s="99"/>
    </row>
    <row r="284" spans="1:56" x14ac:dyDescent="0.25">
      <c r="A284" s="37">
        <f>'46 SEMANA '!A10</f>
        <v>0</v>
      </c>
      <c r="B284" s="38">
        <f>'46 SEMANA '!B10</f>
        <v>0</v>
      </c>
      <c r="C284" s="38">
        <f>'46 SEMANA '!C10</f>
        <v>0</v>
      </c>
      <c r="D284" s="38">
        <f>'46 SEMANA '!D10</f>
        <v>0</v>
      </c>
      <c r="E284" s="100"/>
      <c r="F284" s="100"/>
      <c r="G284" s="99"/>
      <c r="H284" s="101"/>
      <c r="I284" s="102"/>
      <c r="J284" s="103"/>
      <c r="K284" s="99"/>
      <c r="L284" s="99"/>
      <c r="M284" s="99"/>
      <c r="N284" s="99"/>
      <c r="O284" s="99"/>
      <c r="P284" s="99"/>
      <c r="Q284" s="99"/>
      <c r="R284" s="99"/>
      <c r="S284" s="99"/>
      <c r="T284" s="99"/>
      <c r="U284" s="99"/>
      <c r="V284" s="99"/>
      <c r="W284" s="99"/>
      <c r="X284" s="99"/>
      <c r="Y284" s="99"/>
      <c r="Z284" s="99"/>
      <c r="AA284" s="99"/>
      <c r="AB284" s="99"/>
      <c r="AC284" s="99"/>
      <c r="AD284" s="99"/>
      <c r="AE284" s="99"/>
      <c r="AF284" s="99"/>
      <c r="AG284" s="99"/>
      <c r="AH284" s="99"/>
      <c r="AI284" s="99"/>
      <c r="AJ284" s="99"/>
      <c r="AK284" s="99"/>
      <c r="AL284" s="99"/>
      <c r="AM284" s="99"/>
      <c r="AN284" s="99"/>
      <c r="AO284" s="99"/>
      <c r="AP284" s="99"/>
      <c r="AQ284" s="99"/>
      <c r="AR284" s="99"/>
      <c r="AS284" s="99"/>
      <c r="AT284" s="99"/>
      <c r="AU284" s="99"/>
      <c r="AV284" s="100">
        <f>+'46 SEMANA '!F10</f>
        <v>0</v>
      </c>
      <c r="AW284" s="100">
        <f>+'46 SEMANA '!G10</f>
        <v>0</v>
      </c>
      <c r="AX284" s="100">
        <f>+'46 SEMANA '!H10</f>
        <v>0</v>
      </c>
      <c r="AY284" s="100">
        <f>+'46 SEMANA '!I10</f>
        <v>0</v>
      </c>
      <c r="AZ284" s="100">
        <f>+'46 SEMANA '!J10</f>
        <v>0</v>
      </c>
      <c r="BA284" s="99"/>
      <c r="BB284" s="99"/>
      <c r="BC284" s="99"/>
      <c r="BD284" s="99"/>
    </row>
    <row r="285" spans="1:56" x14ac:dyDescent="0.25">
      <c r="A285" s="37">
        <f>'46 SEMANA '!A11</f>
        <v>0</v>
      </c>
      <c r="B285" s="38">
        <f>'46 SEMANA '!B11</f>
        <v>0</v>
      </c>
      <c r="C285" s="38">
        <f>'46 SEMANA '!C11</f>
        <v>0</v>
      </c>
      <c r="D285" s="38">
        <f>'46 SEMANA '!D11</f>
        <v>0</v>
      </c>
      <c r="E285" s="100"/>
      <c r="F285" s="100"/>
      <c r="G285" s="99"/>
      <c r="H285" s="101"/>
      <c r="I285" s="102"/>
      <c r="J285" s="103"/>
      <c r="K285" s="99"/>
      <c r="L285" s="99"/>
      <c r="M285" s="99"/>
      <c r="N285" s="99"/>
      <c r="O285" s="99"/>
      <c r="P285" s="99"/>
      <c r="Q285" s="99"/>
      <c r="R285" s="99"/>
      <c r="S285" s="99"/>
      <c r="T285" s="99"/>
      <c r="U285" s="99"/>
      <c r="V285" s="99"/>
      <c r="W285" s="99"/>
      <c r="X285" s="99"/>
      <c r="Y285" s="99"/>
      <c r="Z285" s="99"/>
      <c r="AA285" s="99"/>
      <c r="AB285" s="99"/>
      <c r="AC285" s="99"/>
      <c r="AD285" s="99"/>
      <c r="AE285" s="99"/>
      <c r="AF285" s="99"/>
      <c r="AG285" s="99"/>
      <c r="AH285" s="99"/>
      <c r="AI285" s="99"/>
      <c r="AJ285" s="99"/>
      <c r="AK285" s="99"/>
      <c r="AL285" s="99"/>
      <c r="AM285" s="99"/>
      <c r="AN285" s="99"/>
      <c r="AO285" s="99"/>
      <c r="AP285" s="99"/>
      <c r="AQ285" s="99"/>
      <c r="AR285" s="99"/>
      <c r="AS285" s="99"/>
      <c r="AT285" s="99"/>
      <c r="AU285" s="99"/>
      <c r="AV285" s="100">
        <f>+'46 SEMANA '!F11</f>
        <v>0</v>
      </c>
      <c r="AW285" s="100">
        <f>+'46 SEMANA '!G11</f>
        <v>0</v>
      </c>
      <c r="AX285" s="100">
        <f>+'46 SEMANA '!H11</f>
        <v>0</v>
      </c>
      <c r="AY285" s="100">
        <f>+'46 SEMANA '!I11</f>
        <v>0</v>
      </c>
      <c r="AZ285" s="100">
        <f>+'46 SEMANA '!J11</f>
        <v>0</v>
      </c>
      <c r="BA285" s="99"/>
      <c r="BB285" s="99"/>
      <c r="BC285" s="99"/>
      <c r="BD285" s="99"/>
    </row>
    <row r="286" spans="1:56" x14ac:dyDescent="0.25">
      <c r="A286" s="37">
        <f>'46 SEMANA '!A12</f>
        <v>0</v>
      </c>
      <c r="B286" s="38">
        <f>'46 SEMANA '!B12</f>
        <v>0</v>
      </c>
      <c r="C286" s="38">
        <f>'46 SEMANA '!C12</f>
        <v>0</v>
      </c>
      <c r="D286" s="38">
        <f>'46 SEMANA '!D12</f>
        <v>0</v>
      </c>
      <c r="E286" s="100"/>
      <c r="F286" s="100"/>
      <c r="G286" s="99"/>
      <c r="H286" s="101"/>
      <c r="I286" s="102"/>
      <c r="J286" s="103"/>
      <c r="K286" s="99"/>
      <c r="L286" s="99"/>
      <c r="M286" s="99"/>
      <c r="N286" s="99"/>
      <c r="O286" s="99"/>
      <c r="P286" s="99"/>
      <c r="Q286" s="99"/>
      <c r="R286" s="99"/>
      <c r="S286" s="99"/>
      <c r="T286" s="99"/>
      <c r="U286" s="99"/>
      <c r="V286" s="99"/>
      <c r="W286" s="99"/>
      <c r="X286" s="99"/>
      <c r="Y286" s="99"/>
      <c r="Z286" s="99"/>
      <c r="AA286" s="99"/>
      <c r="AB286" s="99"/>
      <c r="AC286" s="99"/>
      <c r="AD286" s="99"/>
      <c r="AE286" s="99"/>
      <c r="AF286" s="99"/>
      <c r="AG286" s="99"/>
      <c r="AH286" s="99"/>
      <c r="AI286" s="99"/>
      <c r="AJ286" s="99"/>
      <c r="AK286" s="99"/>
      <c r="AL286" s="99"/>
      <c r="AM286" s="99"/>
      <c r="AN286" s="99"/>
      <c r="AO286" s="99"/>
      <c r="AP286" s="99"/>
      <c r="AQ286" s="99"/>
      <c r="AR286" s="99"/>
      <c r="AS286" s="99"/>
      <c r="AT286" s="99"/>
      <c r="AU286" s="99"/>
      <c r="AV286" s="100">
        <f>+'46 SEMANA '!F12</f>
        <v>0</v>
      </c>
      <c r="AW286" s="100">
        <f>+'46 SEMANA '!G12</f>
        <v>0</v>
      </c>
      <c r="AX286" s="100">
        <f>+'46 SEMANA '!H12</f>
        <v>0</v>
      </c>
      <c r="AY286" s="100">
        <f>+'46 SEMANA '!I12</f>
        <v>0</v>
      </c>
      <c r="AZ286" s="100">
        <f>+'46 SEMANA '!J12</f>
        <v>0</v>
      </c>
      <c r="BA286" s="99"/>
      <c r="BB286" s="99"/>
      <c r="BC286" s="99"/>
      <c r="BD286" s="99"/>
    </row>
    <row r="287" spans="1:56" x14ac:dyDescent="0.25">
      <c r="A287" s="37">
        <f>'46 SEMANA '!A13</f>
        <v>0</v>
      </c>
      <c r="B287" s="38">
        <f>'46 SEMANA '!B13</f>
        <v>0</v>
      </c>
      <c r="C287" s="38">
        <f>'46 SEMANA '!C13</f>
        <v>0</v>
      </c>
      <c r="D287" s="38">
        <f>'46 SEMANA '!D13</f>
        <v>0</v>
      </c>
      <c r="E287" s="100"/>
      <c r="F287" s="100"/>
      <c r="G287" s="99"/>
      <c r="H287" s="101"/>
      <c r="I287" s="102"/>
      <c r="J287" s="103"/>
      <c r="K287" s="99"/>
      <c r="L287" s="99"/>
      <c r="M287" s="99"/>
      <c r="N287" s="99"/>
      <c r="O287" s="99"/>
      <c r="P287" s="99"/>
      <c r="Q287" s="99"/>
      <c r="R287" s="99"/>
      <c r="S287" s="99"/>
      <c r="T287" s="99"/>
      <c r="U287" s="99"/>
      <c r="V287" s="99"/>
      <c r="W287" s="99"/>
      <c r="X287" s="99"/>
      <c r="Y287" s="99"/>
      <c r="Z287" s="99"/>
      <c r="AA287" s="99"/>
      <c r="AB287" s="99"/>
      <c r="AC287" s="99"/>
      <c r="AD287" s="99"/>
      <c r="AE287" s="99"/>
      <c r="AF287" s="99"/>
      <c r="AG287" s="99"/>
      <c r="AH287" s="99"/>
      <c r="AI287" s="99"/>
      <c r="AJ287" s="99"/>
      <c r="AK287" s="99"/>
      <c r="AL287" s="99"/>
      <c r="AM287" s="99"/>
      <c r="AN287" s="99"/>
      <c r="AO287" s="99"/>
      <c r="AP287" s="99"/>
      <c r="AQ287" s="99"/>
      <c r="AR287" s="99"/>
      <c r="AS287" s="99"/>
      <c r="AT287" s="99"/>
      <c r="AU287" s="99"/>
      <c r="AV287" s="100">
        <f>+'46 SEMANA '!F13</f>
        <v>0</v>
      </c>
      <c r="AW287" s="100">
        <f>+'46 SEMANA '!G13</f>
        <v>0</v>
      </c>
      <c r="AX287" s="100">
        <f>+'46 SEMANA '!H13</f>
        <v>0</v>
      </c>
      <c r="AY287" s="100">
        <f>+'46 SEMANA '!I13</f>
        <v>0</v>
      </c>
      <c r="AZ287" s="100">
        <f>+'46 SEMANA '!J13</f>
        <v>0</v>
      </c>
      <c r="BA287" s="99"/>
      <c r="BB287" s="99"/>
      <c r="BC287" s="99"/>
      <c r="BD287" s="99"/>
    </row>
    <row r="288" spans="1:56" x14ac:dyDescent="0.25">
      <c r="A288" s="37">
        <f>'46 SEMANA '!A14</f>
        <v>0</v>
      </c>
      <c r="B288" s="38">
        <f>'46 SEMANA '!B14</f>
        <v>0</v>
      </c>
      <c r="C288" s="38">
        <f>'46 SEMANA '!C14</f>
        <v>0</v>
      </c>
      <c r="D288" s="38">
        <f>'46 SEMANA '!D14</f>
        <v>0</v>
      </c>
      <c r="E288" s="100"/>
      <c r="F288" s="100"/>
      <c r="G288" s="99"/>
      <c r="H288" s="101"/>
      <c r="I288" s="102"/>
      <c r="J288" s="103"/>
      <c r="K288" s="99"/>
      <c r="L288" s="99"/>
      <c r="M288" s="99"/>
      <c r="N288" s="99"/>
      <c r="O288" s="99"/>
      <c r="P288" s="99"/>
      <c r="Q288" s="99"/>
      <c r="R288" s="99"/>
      <c r="S288" s="99"/>
      <c r="T288" s="99"/>
      <c r="U288" s="99"/>
      <c r="V288" s="99"/>
      <c r="W288" s="99"/>
      <c r="X288" s="99"/>
      <c r="Y288" s="99"/>
      <c r="Z288" s="99"/>
      <c r="AA288" s="99"/>
      <c r="AB288" s="99"/>
      <c r="AC288" s="99"/>
      <c r="AD288" s="99"/>
      <c r="AE288" s="99"/>
      <c r="AF288" s="99"/>
      <c r="AG288" s="99"/>
      <c r="AH288" s="99"/>
      <c r="AI288" s="99"/>
      <c r="AJ288" s="99"/>
      <c r="AK288" s="99"/>
      <c r="AL288" s="99"/>
      <c r="AM288" s="99"/>
      <c r="AN288" s="99"/>
      <c r="AO288" s="99"/>
      <c r="AP288" s="99"/>
      <c r="AQ288" s="99"/>
      <c r="AR288" s="99"/>
      <c r="AS288" s="99"/>
      <c r="AT288" s="99"/>
      <c r="AU288" s="99"/>
      <c r="AV288" s="100">
        <f>+'46 SEMANA '!F14</f>
        <v>0</v>
      </c>
      <c r="AW288" s="100">
        <f>+'46 SEMANA '!G14</f>
        <v>0</v>
      </c>
      <c r="AX288" s="100">
        <f>+'46 SEMANA '!H14</f>
        <v>0</v>
      </c>
      <c r="AY288" s="100">
        <f>+'46 SEMANA '!I14</f>
        <v>0</v>
      </c>
      <c r="AZ288" s="100">
        <f>+'46 SEMANA '!J14</f>
        <v>0</v>
      </c>
      <c r="BA288" s="99"/>
      <c r="BB288" s="99"/>
      <c r="BC288" s="99"/>
      <c r="BD288" s="99"/>
    </row>
    <row r="289" spans="1:56" x14ac:dyDescent="0.25">
      <c r="A289" s="37">
        <f>'47 SEMANA '!A9</f>
        <v>0</v>
      </c>
      <c r="B289" s="38">
        <f>'47 SEMANA '!B9</f>
        <v>0</v>
      </c>
      <c r="C289" s="38">
        <f>'47 SEMANA '!C9</f>
        <v>0</v>
      </c>
      <c r="D289" s="38">
        <f>'47 SEMANA '!D9</f>
        <v>0</v>
      </c>
      <c r="E289" s="100"/>
      <c r="F289" s="100"/>
      <c r="G289" s="99"/>
      <c r="H289" s="101"/>
      <c r="I289" s="102"/>
      <c r="J289" s="103"/>
      <c r="K289" s="99"/>
      <c r="L289" s="99"/>
      <c r="M289" s="99"/>
      <c r="N289" s="99"/>
      <c r="O289" s="99"/>
      <c r="P289" s="99"/>
      <c r="Q289" s="99"/>
      <c r="R289" s="99"/>
      <c r="S289" s="99"/>
      <c r="T289" s="99"/>
      <c r="U289" s="99"/>
      <c r="V289" s="99"/>
      <c r="W289" s="99"/>
      <c r="X289" s="99"/>
      <c r="Y289" s="99"/>
      <c r="Z289" s="99"/>
      <c r="AA289" s="99"/>
      <c r="AB289" s="99"/>
      <c r="AC289" s="99"/>
      <c r="AD289" s="99"/>
      <c r="AE289" s="99"/>
      <c r="AF289" s="99"/>
      <c r="AG289" s="99"/>
      <c r="AH289" s="99"/>
      <c r="AI289" s="99"/>
      <c r="AJ289" s="99"/>
      <c r="AK289" s="99"/>
      <c r="AL289" s="99"/>
      <c r="AM289" s="99"/>
      <c r="AN289" s="99"/>
      <c r="AO289" s="99"/>
      <c r="AP289" s="99"/>
      <c r="AQ289" s="99"/>
      <c r="AR289" s="99"/>
      <c r="AS289" s="99"/>
      <c r="AT289" s="99"/>
      <c r="AU289" s="99"/>
      <c r="AV289" s="100">
        <f>+'47 SEMANA '!F9</f>
        <v>0</v>
      </c>
      <c r="AW289" s="100">
        <f>+'47 SEMANA '!G9</f>
        <v>0</v>
      </c>
      <c r="AX289" s="100">
        <f>+'47 SEMANA '!H9</f>
        <v>0</v>
      </c>
      <c r="AY289" s="100">
        <f>+'47 SEMANA '!I9</f>
        <v>0</v>
      </c>
      <c r="AZ289" s="100">
        <f>+'47 SEMANA '!J9</f>
        <v>0</v>
      </c>
      <c r="BA289" s="99"/>
      <c r="BB289" s="99"/>
      <c r="BC289" s="99"/>
      <c r="BD289" s="99"/>
    </row>
    <row r="290" spans="1:56" x14ac:dyDescent="0.25">
      <c r="A290" s="37">
        <f>'47 SEMANA '!A11</f>
        <v>0</v>
      </c>
      <c r="B290" s="38">
        <f>'47 SEMANA '!B11</f>
        <v>0</v>
      </c>
      <c r="C290" s="38">
        <f>'47 SEMANA '!C11</f>
        <v>0</v>
      </c>
      <c r="D290" s="38">
        <f>'47 SEMANA '!D11</f>
        <v>0</v>
      </c>
      <c r="E290" s="100"/>
      <c r="F290" s="100"/>
      <c r="G290" s="99"/>
      <c r="H290" s="101"/>
      <c r="I290" s="102"/>
      <c r="J290" s="103"/>
      <c r="K290" s="99"/>
      <c r="L290" s="99"/>
      <c r="M290" s="99"/>
      <c r="N290" s="99"/>
      <c r="O290" s="99"/>
      <c r="P290" s="99"/>
      <c r="Q290" s="99"/>
      <c r="R290" s="99"/>
      <c r="S290" s="99"/>
      <c r="T290" s="99"/>
      <c r="U290" s="99"/>
      <c r="V290" s="99"/>
      <c r="W290" s="99"/>
      <c r="X290" s="99"/>
      <c r="Y290" s="99"/>
      <c r="Z290" s="99"/>
      <c r="AA290" s="99"/>
      <c r="AB290" s="99"/>
      <c r="AC290" s="99"/>
      <c r="AD290" s="99"/>
      <c r="AE290" s="99"/>
      <c r="AF290" s="99"/>
      <c r="AG290" s="99"/>
      <c r="AH290" s="99"/>
      <c r="AI290" s="99"/>
      <c r="AJ290" s="99"/>
      <c r="AK290" s="99"/>
      <c r="AL290" s="99"/>
      <c r="AM290" s="99"/>
      <c r="AN290" s="99"/>
      <c r="AO290" s="99"/>
      <c r="AP290" s="99"/>
      <c r="AQ290" s="99"/>
      <c r="AR290" s="99"/>
      <c r="AS290" s="99"/>
      <c r="AT290" s="99"/>
      <c r="AU290" s="99"/>
      <c r="AV290" s="100">
        <f>+'47 SEMANA '!F11</f>
        <v>0</v>
      </c>
      <c r="AW290" s="100">
        <f>+'47 SEMANA '!G11</f>
        <v>0</v>
      </c>
      <c r="AX290" s="100">
        <f>+'47 SEMANA '!H11</f>
        <v>0</v>
      </c>
      <c r="AY290" s="100">
        <f>+'47 SEMANA '!I11</f>
        <v>0</v>
      </c>
      <c r="AZ290" s="100">
        <f>+'47 SEMANA '!J11</f>
        <v>0</v>
      </c>
      <c r="BA290" s="99"/>
      <c r="BB290" s="99"/>
      <c r="BC290" s="99"/>
      <c r="BD290" s="99"/>
    </row>
    <row r="291" spans="1:56" x14ac:dyDescent="0.25">
      <c r="A291" s="37">
        <f>'47 SEMANA '!A12</f>
        <v>0</v>
      </c>
      <c r="B291" s="38">
        <f>'47 SEMANA '!B12</f>
        <v>0</v>
      </c>
      <c r="C291" s="38">
        <f>'47 SEMANA '!C12</f>
        <v>0</v>
      </c>
      <c r="D291" s="38">
        <f>'47 SEMANA '!D12</f>
        <v>0</v>
      </c>
      <c r="E291" s="100"/>
      <c r="F291" s="100"/>
      <c r="G291" s="99"/>
      <c r="H291" s="101"/>
      <c r="I291" s="102"/>
      <c r="J291" s="103"/>
      <c r="K291" s="99"/>
      <c r="L291" s="99"/>
      <c r="M291" s="99"/>
      <c r="N291" s="99"/>
      <c r="O291" s="99"/>
      <c r="P291" s="99"/>
      <c r="Q291" s="99"/>
      <c r="R291" s="99"/>
      <c r="S291" s="99"/>
      <c r="T291" s="99"/>
      <c r="U291" s="99"/>
      <c r="V291" s="99"/>
      <c r="W291" s="99"/>
      <c r="X291" s="99"/>
      <c r="Y291" s="99"/>
      <c r="Z291" s="99"/>
      <c r="AA291" s="99"/>
      <c r="AB291" s="99"/>
      <c r="AC291" s="99"/>
      <c r="AD291" s="99"/>
      <c r="AE291" s="99"/>
      <c r="AF291" s="99"/>
      <c r="AG291" s="99"/>
      <c r="AH291" s="99"/>
      <c r="AI291" s="99"/>
      <c r="AJ291" s="99"/>
      <c r="AK291" s="99"/>
      <c r="AL291" s="99"/>
      <c r="AM291" s="99"/>
      <c r="AN291" s="99"/>
      <c r="AO291" s="99"/>
      <c r="AP291" s="99"/>
      <c r="AQ291" s="99"/>
      <c r="AR291" s="99"/>
      <c r="AS291" s="99"/>
      <c r="AT291" s="99"/>
      <c r="AU291" s="99"/>
      <c r="AV291" s="100">
        <f>+'47 SEMANA '!F12</f>
        <v>0</v>
      </c>
      <c r="AW291" s="100">
        <f>+'47 SEMANA '!G12</f>
        <v>0</v>
      </c>
      <c r="AX291" s="100">
        <f>+'47 SEMANA '!H12</f>
        <v>0</v>
      </c>
      <c r="AY291" s="100">
        <f>+'47 SEMANA '!I12</f>
        <v>0</v>
      </c>
      <c r="AZ291" s="100">
        <f>+'47 SEMANA '!J12</f>
        <v>0</v>
      </c>
      <c r="BA291" s="99"/>
      <c r="BB291" s="99"/>
      <c r="BC291" s="99"/>
      <c r="BD291" s="99"/>
    </row>
    <row r="292" spans="1:56" x14ac:dyDescent="0.25">
      <c r="A292" s="37">
        <f>'47 SEMANA '!A13</f>
        <v>0</v>
      </c>
      <c r="B292" s="38">
        <f>'47 SEMANA '!B13</f>
        <v>0</v>
      </c>
      <c r="C292" s="38">
        <f>'47 SEMANA '!C13</f>
        <v>0</v>
      </c>
      <c r="D292" s="38">
        <f>'47 SEMANA '!D13</f>
        <v>0</v>
      </c>
      <c r="E292" s="100"/>
      <c r="F292" s="100"/>
      <c r="G292" s="99"/>
      <c r="H292" s="101"/>
      <c r="I292" s="102"/>
      <c r="J292" s="103"/>
      <c r="K292" s="99"/>
      <c r="L292" s="99"/>
      <c r="M292" s="99"/>
      <c r="N292" s="99"/>
      <c r="O292" s="99"/>
      <c r="P292" s="99"/>
      <c r="Q292" s="99"/>
      <c r="R292" s="99"/>
      <c r="S292" s="99"/>
      <c r="T292" s="99"/>
      <c r="U292" s="99"/>
      <c r="V292" s="99"/>
      <c r="W292" s="99"/>
      <c r="X292" s="99"/>
      <c r="Y292" s="99"/>
      <c r="Z292" s="99"/>
      <c r="AA292" s="99"/>
      <c r="AB292" s="99"/>
      <c r="AC292" s="99"/>
      <c r="AD292" s="99"/>
      <c r="AE292" s="99"/>
      <c r="AF292" s="99"/>
      <c r="AG292" s="99"/>
      <c r="AH292" s="99"/>
      <c r="AI292" s="99"/>
      <c r="AJ292" s="99"/>
      <c r="AK292" s="99"/>
      <c r="AL292" s="99"/>
      <c r="AM292" s="99"/>
      <c r="AN292" s="99"/>
      <c r="AO292" s="99"/>
      <c r="AP292" s="99"/>
      <c r="AQ292" s="99"/>
      <c r="AR292" s="99"/>
      <c r="AS292" s="99"/>
      <c r="AT292" s="99"/>
      <c r="AU292" s="99"/>
      <c r="AV292" s="100">
        <f>+'47 SEMANA '!F13</f>
        <v>0</v>
      </c>
      <c r="AW292" s="100">
        <f>+'47 SEMANA '!G13</f>
        <v>0</v>
      </c>
      <c r="AX292" s="100">
        <f>+'47 SEMANA '!H13</f>
        <v>0</v>
      </c>
      <c r="AY292" s="100">
        <f>+'47 SEMANA '!I13</f>
        <v>0</v>
      </c>
      <c r="AZ292" s="100">
        <f>+'47 SEMANA '!J13</f>
        <v>0</v>
      </c>
      <c r="BA292" s="99"/>
      <c r="BB292" s="99"/>
      <c r="BC292" s="99"/>
      <c r="BD292" s="99"/>
    </row>
    <row r="293" spans="1:56" x14ac:dyDescent="0.25">
      <c r="A293" s="37">
        <f>'47 SEMANA '!A14</f>
        <v>0</v>
      </c>
      <c r="B293" s="38">
        <f>'47 SEMANA '!B14</f>
        <v>0</v>
      </c>
      <c r="C293" s="38">
        <f>'47 SEMANA '!C14</f>
        <v>0</v>
      </c>
      <c r="D293" s="38">
        <f>'47 SEMANA '!D14</f>
        <v>0</v>
      </c>
      <c r="E293" s="100"/>
      <c r="F293" s="100"/>
      <c r="G293" s="99"/>
      <c r="H293" s="101"/>
      <c r="I293" s="102"/>
      <c r="J293" s="103"/>
      <c r="K293" s="99"/>
      <c r="L293" s="99"/>
      <c r="M293" s="99"/>
      <c r="N293" s="99"/>
      <c r="O293" s="99"/>
      <c r="P293" s="99"/>
      <c r="Q293" s="99"/>
      <c r="R293" s="99"/>
      <c r="S293" s="99"/>
      <c r="T293" s="99"/>
      <c r="U293" s="99"/>
      <c r="V293" s="99"/>
      <c r="W293" s="99"/>
      <c r="X293" s="99"/>
      <c r="Y293" s="99"/>
      <c r="Z293" s="99"/>
      <c r="AA293" s="99"/>
      <c r="AB293" s="99"/>
      <c r="AC293" s="99"/>
      <c r="AD293" s="99"/>
      <c r="AE293" s="99"/>
      <c r="AF293" s="99"/>
      <c r="AG293" s="99"/>
      <c r="AH293" s="99"/>
      <c r="AI293" s="99"/>
      <c r="AJ293" s="99"/>
      <c r="AK293" s="99"/>
      <c r="AL293" s="99"/>
      <c r="AM293" s="99"/>
      <c r="AN293" s="99"/>
      <c r="AO293" s="99"/>
      <c r="AP293" s="99"/>
      <c r="AQ293" s="99"/>
      <c r="AR293" s="99"/>
      <c r="AS293" s="99"/>
      <c r="AT293" s="99"/>
      <c r="AU293" s="99"/>
      <c r="AV293" s="100">
        <f>+'47 SEMANA '!F14</f>
        <v>0</v>
      </c>
      <c r="AW293" s="100">
        <f>+'47 SEMANA '!G14</f>
        <v>0</v>
      </c>
      <c r="AX293" s="100">
        <f>+'47 SEMANA '!H14</f>
        <v>0</v>
      </c>
      <c r="AY293" s="100">
        <f>+'47 SEMANA '!I14</f>
        <v>0</v>
      </c>
      <c r="AZ293" s="100">
        <f>+'47 SEMANA '!J14</f>
        <v>0</v>
      </c>
      <c r="BA293" s="99"/>
      <c r="BB293" s="99"/>
      <c r="BC293" s="99"/>
      <c r="BD293" s="99"/>
    </row>
    <row r="294" spans="1:56" x14ac:dyDescent="0.25">
      <c r="A294" s="37">
        <f>'47 SEMANA '!A15</f>
        <v>0</v>
      </c>
      <c r="B294" s="38">
        <f>'47 SEMANA '!B15</f>
        <v>0</v>
      </c>
      <c r="C294" s="38">
        <f>'47 SEMANA '!C15</f>
        <v>0</v>
      </c>
      <c r="D294" s="38">
        <f>'47 SEMANA '!D15</f>
        <v>0</v>
      </c>
      <c r="E294" s="100"/>
      <c r="F294" s="100"/>
      <c r="G294" s="99"/>
      <c r="H294" s="101"/>
      <c r="I294" s="102"/>
      <c r="J294" s="103"/>
      <c r="K294" s="99"/>
      <c r="L294" s="99"/>
      <c r="M294" s="99"/>
      <c r="N294" s="99"/>
      <c r="O294" s="99"/>
      <c r="P294" s="99"/>
      <c r="Q294" s="99"/>
      <c r="R294" s="99"/>
      <c r="S294" s="99"/>
      <c r="T294" s="99"/>
      <c r="U294" s="99"/>
      <c r="V294" s="99"/>
      <c r="W294" s="99"/>
      <c r="X294" s="99"/>
      <c r="Y294" s="99"/>
      <c r="Z294" s="99"/>
      <c r="AA294" s="99"/>
      <c r="AB294" s="99"/>
      <c r="AC294" s="99"/>
      <c r="AD294" s="99"/>
      <c r="AE294" s="99"/>
      <c r="AF294" s="99"/>
      <c r="AG294" s="99"/>
      <c r="AH294" s="99"/>
      <c r="AI294" s="99"/>
      <c r="AJ294" s="99"/>
      <c r="AK294" s="99"/>
      <c r="AL294" s="99"/>
      <c r="AM294" s="99"/>
      <c r="AN294" s="99"/>
      <c r="AO294" s="99"/>
      <c r="AP294" s="99"/>
      <c r="AQ294" s="99"/>
      <c r="AR294" s="99"/>
      <c r="AS294" s="99"/>
      <c r="AT294" s="99"/>
      <c r="AU294" s="99"/>
      <c r="AV294" s="100">
        <f>+'47 SEMANA '!F15</f>
        <v>0</v>
      </c>
      <c r="AW294" s="100">
        <f>+'47 SEMANA '!G15</f>
        <v>0</v>
      </c>
      <c r="AX294" s="100">
        <f>+'47 SEMANA '!H15</f>
        <v>0</v>
      </c>
      <c r="AY294" s="100">
        <f>+'47 SEMANA '!I15</f>
        <v>0</v>
      </c>
      <c r="AZ294" s="100">
        <f>+'47 SEMANA '!J15</f>
        <v>0</v>
      </c>
      <c r="BA294" s="99"/>
      <c r="BB294" s="99"/>
      <c r="BC294" s="99"/>
      <c r="BD294" s="99"/>
    </row>
    <row r="295" spans="1:56" x14ac:dyDescent="0.25">
      <c r="A295" s="37">
        <f>'48 SEMANA '!A9</f>
        <v>0</v>
      </c>
      <c r="B295" s="38">
        <f>'48 SEMANA '!B9</f>
        <v>0</v>
      </c>
      <c r="C295" s="38">
        <f>'48 SEMANA '!C9</f>
        <v>0</v>
      </c>
      <c r="D295" s="38">
        <f>'48 SEMANA '!D9</f>
        <v>0</v>
      </c>
      <c r="E295" s="100"/>
      <c r="F295" s="100"/>
      <c r="G295" s="99"/>
      <c r="H295" s="101"/>
      <c r="I295" s="102"/>
      <c r="J295" s="103"/>
      <c r="K295" s="99"/>
      <c r="L295" s="99"/>
      <c r="M295" s="99"/>
      <c r="N295" s="99"/>
      <c r="O295" s="99"/>
      <c r="P295" s="99"/>
      <c r="Q295" s="99"/>
      <c r="R295" s="99"/>
      <c r="S295" s="99"/>
      <c r="T295" s="99"/>
      <c r="U295" s="99"/>
      <c r="V295" s="99"/>
      <c r="W295" s="99"/>
      <c r="X295" s="99"/>
      <c r="Y295" s="99"/>
      <c r="Z295" s="99"/>
      <c r="AA295" s="99"/>
      <c r="AB295" s="99"/>
      <c r="AC295" s="99"/>
      <c r="AD295" s="99"/>
      <c r="AE295" s="99"/>
      <c r="AF295" s="99"/>
      <c r="AG295" s="99"/>
      <c r="AH295" s="99"/>
      <c r="AI295" s="99"/>
      <c r="AJ295" s="99"/>
      <c r="AK295" s="99"/>
      <c r="AL295" s="99"/>
      <c r="AM295" s="99"/>
      <c r="AN295" s="99"/>
      <c r="AO295" s="99"/>
      <c r="AP295" s="99"/>
      <c r="AQ295" s="99"/>
      <c r="AR295" s="99"/>
      <c r="AS295" s="99"/>
      <c r="AT295" s="99"/>
      <c r="AU295" s="99"/>
      <c r="AV295" s="100">
        <f>+'48 SEMANA '!F9</f>
        <v>0</v>
      </c>
      <c r="AW295" s="100">
        <f>+'48 SEMANA '!G9</f>
        <v>0</v>
      </c>
      <c r="AX295" s="100">
        <f>+'48 SEMANA '!H9</f>
        <v>0</v>
      </c>
      <c r="AY295" s="100">
        <f>+'48 SEMANA '!I9</f>
        <v>0</v>
      </c>
      <c r="AZ295" s="100">
        <f>+'48 SEMANA '!J9</f>
        <v>0</v>
      </c>
      <c r="BA295" s="99"/>
      <c r="BB295" s="99"/>
      <c r="BC295" s="99"/>
      <c r="BD295" s="99"/>
    </row>
    <row r="296" spans="1:56" x14ac:dyDescent="0.25">
      <c r="A296" s="37">
        <f>'48 SEMANA '!A10</f>
        <v>0</v>
      </c>
      <c r="B296" s="38">
        <f>'48 SEMANA '!B10</f>
        <v>0</v>
      </c>
      <c r="C296" s="38">
        <f>'48 SEMANA '!C10</f>
        <v>0</v>
      </c>
      <c r="D296" s="38">
        <f>'48 SEMANA '!D10</f>
        <v>0</v>
      </c>
      <c r="E296" s="100"/>
      <c r="F296" s="100"/>
      <c r="G296" s="99"/>
      <c r="H296" s="101"/>
      <c r="I296" s="102"/>
      <c r="J296" s="103"/>
      <c r="K296" s="99"/>
      <c r="L296" s="99"/>
      <c r="M296" s="99"/>
      <c r="N296" s="99"/>
      <c r="O296" s="99"/>
      <c r="P296" s="99"/>
      <c r="Q296" s="99"/>
      <c r="R296" s="99"/>
      <c r="S296" s="99"/>
      <c r="T296" s="99"/>
      <c r="U296" s="99"/>
      <c r="V296" s="99"/>
      <c r="W296" s="99"/>
      <c r="X296" s="99"/>
      <c r="Y296" s="99"/>
      <c r="Z296" s="99"/>
      <c r="AA296" s="99"/>
      <c r="AB296" s="99"/>
      <c r="AC296" s="99"/>
      <c r="AD296" s="99"/>
      <c r="AE296" s="99"/>
      <c r="AF296" s="99"/>
      <c r="AG296" s="99"/>
      <c r="AH296" s="99"/>
      <c r="AI296" s="99"/>
      <c r="AJ296" s="99"/>
      <c r="AK296" s="99"/>
      <c r="AL296" s="99"/>
      <c r="AM296" s="99"/>
      <c r="AN296" s="99"/>
      <c r="AO296" s="99"/>
      <c r="AP296" s="99"/>
      <c r="AQ296" s="99"/>
      <c r="AR296" s="99"/>
      <c r="AS296" s="99"/>
      <c r="AT296" s="99"/>
      <c r="AU296" s="99"/>
      <c r="AV296" s="100">
        <f>+'48 SEMANA '!F10</f>
        <v>0</v>
      </c>
      <c r="AW296" s="100">
        <f>+'48 SEMANA '!G10</f>
        <v>0</v>
      </c>
      <c r="AX296" s="100">
        <f>+'48 SEMANA '!H10</f>
        <v>0</v>
      </c>
      <c r="AY296" s="100">
        <f>+'48 SEMANA '!I10</f>
        <v>0</v>
      </c>
      <c r="AZ296" s="100">
        <f>+'48 SEMANA '!J10</f>
        <v>0</v>
      </c>
      <c r="BA296" s="99"/>
      <c r="BB296" s="99"/>
      <c r="BC296" s="99"/>
      <c r="BD296" s="99"/>
    </row>
    <row r="297" spans="1:56" x14ac:dyDescent="0.25">
      <c r="A297" s="37">
        <f>'48 SEMANA '!A11</f>
        <v>0</v>
      </c>
      <c r="B297" s="38">
        <f>'48 SEMANA '!B11</f>
        <v>0</v>
      </c>
      <c r="C297" s="38">
        <f>'48 SEMANA '!C11</f>
        <v>0</v>
      </c>
      <c r="D297" s="38">
        <f>'48 SEMANA '!D11</f>
        <v>0</v>
      </c>
      <c r="E297" s="100"/>
      <c r="F297" s="100"/>
      <c r="G297" s="99"/>
      <c r="H297" s="101"/>
      <c r="I297" s="102"/>
      <c r="J297" s="103"/>
      <c r="K297" s="99"/>
      <c r="L297" s="99"/>
      <c r="M297" s="99"/>
      <c r="N297" s="99"/>
      <c r="O297" s="99"/>
      <c r="P297" s="99"/>
      <c r="Q297" s="99"/>
      <c r="R297" s="99"/>
      <c r="S297" s="99"/>
      <c r="T297" s="99"/>
      <c r="U297" s="99"/>
      <c r="V297" s="99"/>
      <c r="W297" s="99"/>
      <c r="X297" s="99"/>
      <c r="Y297" s="99"/>
      <c r="Z297" s="99"/>
      <c r="AA297" s="99"/>
      <c r="AB297" s="99"/>
      <c r="AC297" s="99"/>
      <c r="AD297" s="99"/>
      <c r="AE297" s="99"/>
      <c r="AF297" s="99"/>
      <c r="AG297" s="99"/>
      <c r="AH297" s="99"/>
      <c r="AI297" s="99"/>
      <c r="AJ297" s="99"/>
      <c r="AK297" s="99"/>
      <c r="AL297" s="99"/>
      <c r="AM297" s="99"/>
      <c r="AN297" s="99"/>
      <c r="AO297" s="99"/>
      <c r="AP297" s="99"/>
      <c r="AQ297" s="99"/>
      <c r="AR297" s="99"/>
      <c r="AS297" s="99"/>
      <c r="AT297" s="99"/>
      <c r="AU297" s="99"/>
      <c r="AV297" s="100">
        <f>+'48 SEMANA '!F11</f>
        <v>0</v>
      </c>
      <c r="AW297" s="100">
        <f>+'48 SEMANA '!G11</f>
        <v>0</v>
      </c>
      <c r="AX297" s="100">
        <f>+'48 SEMANA '!H11</f>
        <v>0</v>
      </c>
      <c r="AY297" s="100">
        <f>+'48 SEMANA '!I11</f>
        <v>0</v>
      </c>
      <c r="AZ297" s="100">
        <f>+'48 SEMANA '!J11</f>
        <v>0</v>
      </c>
      <c r="BA297" s="99"/>
      <c r="BB297" s="99"/>
      <c r="BC297" s="99"/>
      <c r="BD297" s="99"/>
    </row>
    <row r="298" spans="1:56" x14ac:dyDescent="0.25">
      <c r="A298" s="37">
        <f>'48 SEMANA '!A12</f>
        <v>0</v>
      </c>
      <c r="B298" s="38">
        <f>'48 SEMANA '!B12</f>
        <v>0</v>
      </c>
      <c r="C298" s="38">
        <f>'48 SEMANA '!C12</f>
        <v>0</v>
      </c>
      <c r="D298" s="38">
        <f>'48 SEMANA '!D12</f>
        <v>0</v>
      </c>
      <c r="E298" s="100"/>
      <c r="F298" s="100"/>
      <c r="G298" s="99"/>
      <c r="H298" s="101"/>
      <c r="I298" s="102"/>
      <c r="J298" s="103"/>
      <c r="K298" s="99"/>
      <c r="L298" s="99"/>
      <c r="M298" s="99"/>
      <c r="N298" s="99"/>
      <c r="O298" s="99"/>
      <c r="P298" s="99"/>
      <c r="Q298" s="99"/>
      <c r="R298" s="99"/>
      <c r="S298" s="99"/>
      <c r="T298" s="99"/>
      <c r="U298" s="99"/>
      <c r="V298" s="99"/>
      <c r="W298" s="99"/>
      <c r="X298" s="99"/>
      <c r="Y298" s="99"/>
      <c r="Z298" s="99"/>
      <c r="AA298" s="99"/>
      <c r="AB298" s="99"/>
      <c r="AC298" s="99"/>
      <c r="AD298" s="99"/>
      <c r="AE298" s="99"/>
      <c r="AF298" s="99"/>
      <c r="AG298" s="99"/>
      <c r="AH298" s="99"/>
      <c r="AI298" s="99"/>
      <c r="AJ298" s="99"/>
      <c r="AK298" s="99"/>
      <c r="AL298" s="99"/>
      <c r="AM298" s="99"/>
      <c r="AN298" s="99"/>
      <c r="AO298" s="99"/>
      <c r="AP298" s="99"/>
      <c r="AQ298" s="99"/>
      <c r="AR298" s="99"/>
      <c r="AS298" s="99"/>
      <c r="AT298" s="99"/>
      <c r="AU298" s="99"/>
      <c r="AV298" s="100">
        <f>+'48 SEMANA '!F12</f>
        <v>0</v>
      </c>
      <c r="AW298" s="100">
        <f>+'48 SEMANA '!G12</f>
        <v>0</v>
      </c>
      <c r="AX298" s="100">
        <f>+'48 SEMANA '!H12</f>
        <v>0</v>
      </c>
      <c r="AY298" s="100">
        <f>+'48 SEMANA '!I12</f>
        <v>0</v>
      </c>
      <c r="AZ298" s="100">
        <f>+'48 SEMANA '!J12</f>
        <v>0</v>
      </c>
      <c r="BA298" s="99"/>
      <c r="BB298" s="99"/>
      <c r="BC298" s="99"/>
      <c r="BD298" s="99"/>
    </row>
    <row r="299" spans="1:56" x14ac:dyDescent="0.25">
      <c r="A299" s="37">
        <f>'48 SEMANA '!A13</f>
        <v>0</v>
      </c>
      <c r="B299" s="38">
        <f>'48 SEMANA '!B13</f>
        <v>0</v>
      </c>
      <c r="C299" s="38">
        <f>'48 SEMANA '!C13</f>
        <v>0</v>
      </c>
      <c r="D299" s="38">
        <f>'48 SEMANA '!D13</f>
        <v>0</v>
      </c>
      <c r="E299" s="100"/>
      <c r="F299" s="100"/>
      <c r="G299" s="99"/>
      <c r="H299" s="101"/>
      <c r="I299" s="102"/>
      <c r="J299" s="103"/>
      <c r="K299" s="99"/>
      <c r="L299" s="99"/>
      <c r="M299" s="99"/>
      <c r="N299" s="99"/>
      <c r="O299" s="99"/>
      <c r="P299" s="99"/>
      <c r="Q299" s="99"/>
      <c r="R299" s="99"/>
      <c r="S299" s="99"/>
      <c r="T299" s="99"/>
      <c r="U299" s="99"/>
      <c r="V299" s="99"/>
      <c r="W299" s="99"/>
      <c r="X299" s="99"/>
      <c r="Y299" s="99"/>
      <c r="Z299" s="99"/>
      <c r="AA299" s="99"/>
      <c r="AB299" s="99"/>
      <c r="AC299" s="99"/>
      <c r="AD299" s="99"/>
      <c r="AE299" s="99"/>
      <c r="AF299" s="99"/>
      <c r="AG299" s="99"/>
      <c r="AH299" s="99"/>
      <c r="AI299" s="99"/>
      <c r="AJ299" s="99"/>
      <c r="AK299" s="99"/>
      <c r="AL299" s="99"/>
      <c r="AM299" s="99"/>
      <c r="AN299" s="99"/>
      <c r="AO299" s="99"/>
      <c r="AP299" s="99"/>
      <c r="AQ299" s="99"/>
      <c r="AR299" s="99"/>
      <c r="AS299" s="99"/>
      <c r="AT299" s="99"/>
      <c r="AU299" s="99"/>
      <c r="AV299" s="100">
        <f>+'48 SEMANA '!F13</f>
        <v>0</v>
      </c>
      <c r="AW299" s="100">
        <f>+'48 SEMANA '!G13</f>
        <v>0</v>
      </c>
      <c r="AX299" s="100">
        <f>+'48 SEMANA '!H13</f>
        <v>0</v>
      </c>
      <c r="AY299" s="100">
        <f>+'48 SEMANA '!I13</f>
        <v>0</v>
      </c>
      <c r="AZ299" s="100">
        <f>+'48 SEMANA '!J13</f>
        <v>0</v>
      </c>
      <c r="BA299" s="99"/>
      <c r="BB299" s="99"/>
      <c r="BC299" s="99"/>
      <c r="BD299" s="99"/>
    </row>
    <row r="300" spans="1:56" x14ac:dyDescent="0.25">
      <c r="A300" s="37">
        <f>'48 SEMANA '!A14</f>
        <v>0</v>
      </c>
      <c r="B300" s="38">
        <f>'48 SEMANA '!B14</f>
        <v>0</v>
      </c>
      <c r="C300" s="38">
        <f>'48 SEMANA '!C14</f>
        <v>0</v>
      </c>
      <c r="D300" s="38">
        <f>'48 SEMANA '!D14</f>
        <v>0</v>
      </c>
      <c r="E300" s="100"/>
      <c r="F300" s="100"/>
      <c r="G300" s="99"/>
      <c r="H300" s="101"/>
      <c r="I300" s="102"/>
      <c r="J300" s="103"/>
      <c r="K300" s="99"/>
      <c r="L300" s="99"/>
      <c r="M300" s="99"/>
      <c r="N300" s="99"/>
      <c r="O300" s="99"/>
      <c r="P300" s="99"/>
      <c r="Q300" s="99"/>
      <c r="R300" s="99"/>
      <c r="S300" s="99"/>
      <c r="T300" s="99"/>
      <c r="U300" s="99"/>
      <c r="V300" s="99"/>
      <c r="W300" s="99"/>
      <c r="X300" s="99"/>
      <c r="Y300" s="99"/>
      <c r="Z300" s="99"/>
      <c r="AA300" s="99"/>
      <c r="AB300" s="99"/>
      <c r="AC300" s="99"/>
      <c r="AD300" s="99"/>
      <c r="AE300" s="99"/>
      <c r="AF300" s="99"/>
      <c r="AG300" s="99"/>
      <c r="AH300" s="99"/>
      <c r="AI300" s="99"/>
      <c r="AJ300" s="99"/>
      <c r="AK300" s="99"/>
      <c r="AL300" s="99"/>
      <c r="AM300" s="99"/>
      <c r="AN300" s="99"/>
      <c r="AO300" s="99"/>
      <c r="AP300" s="99"/>
      <c r="AQ300" s="99"/>
      <c r="AR300" s="99"/>
      <c r="AS300" s="99"/>
      <c r="AT300" s="99"/>
      <c r="AU300" s="99"/>
      <c r="AV300" s="100">
        <f>+'48 SEMANA '!F14</f>
        <v>0</v>
      </c>
      <c r="AW300" s="100">
        <f>+'48 SEMANA '!G14</f>
        <v>0</v>
      </c>
      <c r="AX300" s="100">
        <f>+'48 SEMANA '!H14</f>
        <v>0</v>
      </c>
      <c r="AY300" s="100">
        <f>+'48 SEMANA '!I14</f>
        <v>0</v>
      </c>
      <c r="AZ300" s="100">
        <f>+'48 SEMANA '!J14</f>
        <v>0</v>
      </c>
      <c r="BA300" s="99"/>
      <c r="BB300" s="99"/>
      <c r="BC300" s="99"/>
      <c r="BD300" s="99"/>
    </row>
    <row r="301" spans="1:56" x14ac:dyDescent="0.25">
      <c r="A301" s="37">
        <f>'49 SEMANA'!A9</f>
        <v>0</v>
      </c>
      <c r="B301" s="38">
        <f>'49 SEMANA'!B9</f>
        <v>0</v>
      </c>
      <c r="C301" s="38">
        <f>'49 SEMANA'!C9</f>
        <v>0</v>
      </c>
      <c r="D301" s="38">
        <f>'49 SEMANA'!D9</f>
        <v>0</v>
      </c>
      <c r="E301" s="100"/>
      <c r="F301" s="100"/>
      <c r="G301" s="99"/>
      <c r="H301" s="101"/>
      <c r="I301" s="102"/>
      <c r="J301" s="103"/>
      <c r="K301" s="99"/>
      <c r="L301" s="99"/>
      <c r="M301" s="99"/>
      <c r="N301" s="99"/>
      <c r="O301" s="99"/>
      <c r="P301" s="99"/>
      <c r="Q301" s="99"/>
      <c r="R301" s="99"/>
      <c r="S301" s="99"/>
      <c r="T301" s="99"/>
      <c r="U301" s="99"/>
      <c r="V301" s="99"/>
      <c r="W301" s="99"/>
      <c r="X301" s="99"/>
      <c r="Y301" s="99"/>
      <c r="Z301" s="99"/>
      <c r="AA301" s="99"/>
      <c r="AB301" s="99"/>
      <c r="AC301" s="99"/>
      <c r="AD301" s="99"/>
      <c r="AE301" s="99"/>
      <c r="AF301" s="99"/>
      <c r="AG301" s="99"/>
      <c r="AH301" s="99"/>
      <c r="AI301" s="99"/>
      <c r="AJ301" s="99"/>
      <c r="AK301" s="99"/>
      <c r="AL301" s="99"/>
      <c r="AM301" s="99"/>
      <c r="AN301" s="99"/>
      <c r="AO301" s="99"/>
      <c r="AP301" s="99"/>
      <c r="AQ301" s="99"/>
      <c r="AR301" s="99"/>
      <c r="AS301" s="99"/>
      <c r="AT301" s="99"/>
      <c r="AU301" s="99"/>
      <c r="AV301" s="99"/>
      <c r="AW301" s="99"/>
      <c r="AX301" s="99"/>
      <c r="AY301" s="99"/>
      <c r="AZ301" s="99"/>
      <c r="BA301" s="99"/>
      <c r="BB301" s="100">
        <f>+'49 SEMANA'!F9</f>
        <v>0</v>
      </c>
      <c r="BC301" s="100">
        <f>+'49 SEMANA'!G9</f>
        <v>0</v>
      </c>
      <c r="BD301" s="100">
        <f>+'49 SEMANA'!H9</f>
        <v>0</v>
      </c>
    </row>
    <row r="302" spans="1:56" x14ac:dyDescent="0.25">
      <c r="A302" s="37">
        <f>'49 SEMANA'!A10</f>
        <v>0</v>
      </c>
      <c r="B302" s="38">
        <f>'49 SEMANA'!B10</f>
        <v>0</v>
      </c>
      <c r="C302" s="38">
        <f>'49 SEMANA'!C10</f>
        <v>0</v>
      </c>
      <c r="D302" s="38">
        <f>'49 SEMANA'!D10</f>
        <v>0</v>
      </c>
      <c r="E302" s="100"/>
      <c r="F302" s="100"/>
      <c r="G302" s="99"/>
      <c r="H302" s="101"/>
      <c r="I302" s="102"/>
      <c r="J302" s="103"/>
      <c r="K302" s="99"/>
      <c r="L302" s="99"/>
      <c r="M302" s="99"/>
      <c r="N302" s="99"/>
      <c r="O302" s="99"/>
      <c r="P302" s="99"/>
      <c r="Q302" s="99"/>
      <c r="R302" s="99"/>
      <c r="S302" s="99"/>
      <c r="T302" s="99"/>
      <c r="U302" s="99"/>
      <c r="V302" s="99"/>
      <c r="W302" s="99"/>
      <c r="X302" s="99"/>
      <c r="Y302" s="99"/>
      <c r="Z302" s="99"/>
      <c r="AA302" s="99"/>
      <c r="AB302" s="99"/>
      <c r="AC302" s="99"/>
      <c r="AD302" s="99"/>
      <c r="AE302" s="99"/>
      <c r="AF302" s="99"/>
      <c r="AG302" s="99"/>
      <c r="AH302" s="99"/>
      <c r="AI302" s="99"/>
      <c r="AJ302" s="99"/>
      <c r="AK302" s="99"/>
      <c r="AL302" s="99"/>
      <c r="AM302" s="99"/>
      <c r="AN302" s="99"/>
      <c r="AO302" s="99"/>
      <c r="AP302" s="99"/>
      <c r="AQ302" s="99"/>
      <c r="AR302" s="99"/>
      <c r="AS302" s="99"/>
      <c r="AT302" s="99"/>
      <c r="AU302" s="99"/>
      <c r="AV302" s="99"/>
      <c r="AW302" s="99"/>
      <c r="AX302" s="99"/>
      <c r="AY302" s="99"/>
      <c r="AZ302" s="99"/>
      <c r="BA302" s="99"/>
      <c r="BB302" s="100">
        <f>+'49 SEMANA'!F10</f>
        <v>0</v>
      </c>
      <c r="BC302" s="100">
        <f>+'49 SEMANA'!G10</f>
        <v>0</v>
      </c>
      <c r="BD302" s="100">
        <f>+'49 SEMANA'!H10</f>
        <v>0</v>
      </c>
    </row>
    <row r="303" spans="1:56" x14ac:dyDescent="0.25">
      <c r="A303" s="37">
        <f>'49 SEMANA'!A11</f>
        <v>0</v>
      </c>
      <c r="B303" s="38">
        <f>'49 SEMANA'!B11</f>
        <v>0</v>
      </c>
      <c r="C303" s="38">
        <f>'49 SEMANA'!C11</f>
        <v>0</v>
      </c>
      <c r="D303" s="38">
        <f>'49 SEMANA'!D11</f>
        <v>0</v>
      </c>
      <c r="E303" s="100"/>
      <c r="F303" s="100"/>
      <c r="G303" s="99"/>
      <c r="H303" s="101"/>
      <c r="I303" s="102"/>
      <c r="J303" s="103"/>
      <c r="K303" s="99"/>
      <c r="L303" s="99"/>
      <c r="M303" s="99"/>
      <c r="N303" s="99"/>
      <c r="O303" s="99"/>
      <c r="P303" s="99"/>
      <c r="Q303" s="99"/>
      <c r="R303" s="99"/>
      <c r="S303" s="99"/>
      <c r="T303" s="99"/>
      <c r="U303" s="99"/>
      <c r="V303" s="99"/>
      <c r="W303" s="99"/>
      <c r="X303" s="99"/>
      <c r="Y303" s="99"/>
      <c r="Z303" s="99"/>
      <c r="AA303" s="99"/>
      <c r="AB303" s="99"/>
      <c r="AC303" s="99"/>
      <c r="AD303" s="99"/>
      <c r="AE303" s="99"/>
      <c r="AF303" s="99"/>
      <c r="AG303" s="99"/>
      <c r="AH303" s="99"/>
      <c r="AI303" s="99"/>
      <c r="AJ303" s="99"/>
      <c r="AK303" s="99"/>
      <c r="AL303" s="99"/>
      <c r="AM303" s="99"/>
      <c r="AN303" s="99"/>
      <c r="AO303" s="99"/>
      <c r="AP303" s="99"/>
      <c r="AQ303" s="99"/>
      <c r="AR303" s="99"/>
      <c r="AS303" s="99"/>
      <c r="AT303" s="99"/>
      <c r="AU303" s="99"/>
      <c r="AV303" s="99"/>
      <c r="AW303" s="99"/>
      <c r="AX303" s="99"/>
      <c r="AY303" s="99"/>
      <c r="AZ303" s="99"/>
      <c r="BA303" s="99"/>
      <c r="BB303" s="100">
        <f>+'49 SEMANA'!F11</f>
        <v>0</v>
      </c>
      <c r="BC303" s="100">
        <f>+'49 SEMANA'!G11</f>
        <v>0</v>
      </c>
      <c r="BD303" s="100">
        <f>+'49 SEMANA'!H11</f>
        <v>0</v>
      </c>
    </row>
    <row r="304" spans="1:56" x14ac:dyDescent="0.25">
      <c r="A304" s="37">
        <f>'49 SEMANA'!A12</f>
        <v>0</v>
      </c>
      <c r="B304" s="38">
        <f>'49 SEMANA'!B12</f>
        <v>0</v>
      </c>
      <c r="C304" s="38">
        <f>'49 SEMANA'!C12</f>
        <v>0</v>
      </c>
      <c r="D304" s="38">
        <f>'49 SEMANA'!D12</f>
        <v>0</v>
      </c>
      <c r="E304" s="100"/>
      <c r="F304" s="100"/>
      <c r="G304" s="99"/>
      <c r="H304" s="101"/>
      <c r="I304" s="102"/>
      <c r="J304" s="103"/>
      <c r="K304" s="99"/>
      <c r="L304" s="99"/>
      <c r="M304" s="99"/>
      <c r="N304" s="99"/>
      <c r="O304" s="99"/>
      <c r="P304" s="99"/>
      <c r="Q304" s="99"/>
      <c r="R304" s="99"/>
      <c r="S304" s="99"/>
      <c r="T304" s="99"/>
      <c r="U304" s="99"/>
      <c r="V304" s="99"/>
      <c r="W304" s="99"/>
      <c r="X304" s="99"/>
      <c r="Y304" s="99"/>
      <c r="Z304" s="99"/>
      <c r="AA304" s="99"/>
      <c r="AB304" s="99"/>
      <c r="AC304" s="99"/>
      <c r="AD304" s="99"/>
      <c r="AE304" s="99"/>
      <c r="AF304" s="99"/>
      <c r="AG304" s="99"/>
      <c r="AH304" s="99"/>
      <c r="AI304" s="99"/>
      <c r="AJ304" s="99"/>
      <c r="AK304" s="99"/>
      <c r="AL304" s="99"/>
      <c r="AM304" s="99"/>
      <c r="AN304" s="99"/>
      <c r="AO304" s="99"/>
      <c r="AP304" s="99"/>
      <c r="AQ304" s="99"/>
      <c r="AR304" s="99"/>
      <c r="AS304" s="99"/>
      <c r="AT304" s="99"/>
      <c r="AU304" s="99"/>
      <c r="AV304" s="99"/>
      <c r="AW304" s="99"/>
      <c r="AX304" s="99"/>
      <c r="AY304" s="99"/>
      <c r="AZ304" s="99"/>
      <c r="BA304" s="99"/>
      <c r="BB304" s="100">
        <f>+'49 SEMANA'!F12</f>
        <v>0</v>
      </c>
      <c r="BC304" s="100">
        <f>+'49 SEMANA'!G12</f>
        <v>0</v>
      </c>
      <c r="BD304" s="100">
        <f>+'49 SEMANA'!H12</f>
        <v>0</v>
      </c>
    </row>
    <row r="305" spans="1:56" x14ac:dyDescent="0.25">
      <c r="A305" s="37">
        <f>'49 SEMANA'!A13</f>
        <v>0</v>
      </c>
      <c r="B305" s="38">
        <f>'49 SEMANA'!B13</f>
        <v>0</v>
      </c>
      <c r="C305" s="38">
        <f>'49 SEMANA'!C13</f>
        <v>0</v>
      </c>
      <c r="D305" s="38">
        <f>'49 SEMANA'!D13</f>
        <v>0</v>
      </c>
      <c r="E305" s="100"/>
      <c r="F305" s="100"/>
      <c r="G305" s="99"/>
      <c r="H305" s="101"/>
      <c r="I305" s="102"/>
      <c r="J305" s="103"/>
      <c r="K305" s="99"/>
      <c r="L305" s="99"/>
      <c r="M305" s="99"/>
      <c r="N305" s="99"/>
      <c r="O305" s="99"/>
      <c r="P305" s="99"/>
      <c r="Q305" s="99"/>
      <c r="R305" s="99"/>
      <c r="S305" s="99"/>
      <c r="T305" s="99"/>
      <c r="U305" s="99"/>
      <c r="V305" s="99"/>
      <c r="W305" s="99"/>
      <c r="X305" s="99"/>
      <c r="Y305" s="99"/>
      <c r="Z305" s="99"/>
      <c r="AA305" s="99"/>
      <c r="AB305" s="99"/>
      <c r="AC305" s="99"/>
      <c r="AD305" s="99"/>
      <c r="AE305" s="99"/>
      <c r="AF305" s="99"/>
      <c r="AG305" s="99"/>
      <c r="AH305" s="99"/>
      <c r="AI305" s="99"/>
      <c r="AJ305" s="99"/>
      <c r="AK305" s="99"/>
      <c r="AL305" s="99"/>
      <c r="AM305" s="99"/>
      <c r="AN305" s="99"/>
      <c r="AO305" s="99"/>
      <c r="AP305" s="99"/>
      <c r="AQ305" s="99"/>
      <c r="AR305" s="99"/>
      <c r="AS305" s="99"/>
      <c r="AT305" s="99"/>
      <c r="AU305" s="99"/>
      <c r="AV305" s="99"/>
      <c r="AW305" s="99"/>
      <c r="AX305" s="99"/>
      <c r="AY305" s="99"/>
      <c r="AZ305" s="99"/>
      <c r="BA305" s="99"/>
      <c r="BB305" s="100">
        <f>+'49 SEMANA'!F13</f>
        <v>0</v>
      </c>
      <c r="BC305" s="100">
        <f>+'49 SEMANA'!G13</f>
        <v>0</v>
      </c>
      <c r="BD305" s="100">
        <f>+'49 SEMANA'!H13</f>
        <v>0</v>
      </c>
    </row>
    <row r="306" spans="1:56" x14ac:dyDescent="0.25">
      <c r="A306" s="37">
        <f>'49 SEMANA'!A14</f>
        <v>0</v>
      </c>
      <c r="B306" s="38">
        <f>'49 SEMANA'!B14</f>
        <v>0</v>
      </c>
      <c r="C306" s="38">
        <f>'49 SEMANA'!C14</f>
        <v>0</v>
      </c>
      <c r="D306" s="38">
        <f>'49 SEMANA'!D14</f>
        <v>0</v>
      </c>
      <c r="E306" s="100"/>
      <c r="F306" s="100"/>
      <c r="G306" s="99"/>
      <c r="H306" s="101"/>
      <c r="I306" s="102"/>
      <c r="J306" s="103"/>
      <c r="K306" s="99"/>
      <c r="L306" s="99"/>
      <c r="M306" s="99"/>
      <c r="N306" s="99"/>
      <c r="O306" s="99"/>
      <c r="P306" s="99"/>
      <c r="Q306" s="99"/>
      <c r="R306" s="99"/>
      <c r="S306" s="99"/>
      <c r="T306" s="99"/>
      <c r="U306" s="99"/>
      <c r="V306" s="99"/>
      <c r="W306" s="99"/>
      <c r="X306" s="99"/>
      <c r="Y306" s="99"/>
      <c r="Z306" s="99"/>
      <c r="AA306" s="99"/>
      <c r="AB306" s="99"/>
      <c r="AC306" s="99"/>
      <c r="AD306" s="99"/>
      <c r="AE306" s="99"/>
      <c r="AF306" s="99"/>
      <c r="AG306" s="99"/>
      <c r="AH306" s="99"/>
      <c r="AI306" s="99"/>
      <c r="AJ306" s="99"/>
      <c r="AK306" s="99"/>
      <c r="AL306" s="99"/>
      <c r="AM306" s="99"/>
      <c r="AN306" s="99"/>
      <c r="AO306" s="99"/>
      <c r="AP306" s="99"/>
      <c r="AQ306" s="99"/>
      <c r="AR306" s="99"/>
      <c r="AS306" s="99"/>
      <c r="AT306" s="99"/>
      <c r="AU306" s="99"/>
      <c r="AV306" s="99"/>
      <c r="AW306" s="99"/>
      <c r="AX306" s="99"/>
      <c r="AY306" s="99"/>
      <c r="AZ306" s="99"/>
      <c r="BA306" s="99"/>
      <c r="BB306" s="100">
        <f>+'49 SEMANA'!F14</f>
        <v>0</v>
      </c>
      <c r="BC306" s="100">
        <f>+'49 SEMANA'!G14</f>
        <v>0</v>
      </c>
      <c r="BD306" s="100">
        <f>+'49 SEMANA'!H14</f>
        <v>0</v>
      </c>
    </row>
    <row r="307" spans="1:56" x14ac:dyDescent="0.25">
      <c r="A307" s="37">
        <f>'50 SEMANA'!A9</f>
        <v>0</v>
      </c>
      <c r="B307" s="38">
        <f>'50 SEMANA'!B9</f>
        <v>0</v>
      </c>
      <c r="C307" s="38">
        <f>'50 SEMANA'!C9</f>
        <v>0</v>
      </c>
      <c r="D307" s="38">
        <f>'50 SEMANA'!D9</f>
        <v>0</v>
      </c>
      <c r="E307" s="100"/>
      <c r="F307" s="100"/>
      <c r="G307" s="99"/>
      <c r="H307" s="101"/>
      <c r="I307" s="102"/>
      <c r="J307" s="103"/>
      <c r="K307" s="99"/>
      <c r="L307" s="99"/>
      <c r="M307" s="99"/>
      <c r="N307" s="99"/>
      <c r="O307" s="99"/>
      <c r="P307" s="99"/>
      <c r="Q307" s="99"/>
      <c r="R307" s="99"/>
      <c r="S307" s="99"/>
      <c r="T307" s="99"/>
      <c r="U307" s="99"/>
      <c r="V307" s="99"/>
      <c r="W307" s="99"/>
      <c r="X307" s="99"/>
      <c r="Y307" s="99"/>
      <c r="Z307" s="99"/>
      <c r="AA307" s="99"/>
      <c r="AB307" s="99"/>
      <c r="AC307" s="99"/>
      <c r="AD307" s="99"/>
      <c r="AE307" s="99"/>
      <c r="AF307" s="99"/>
      <c r="AG307" s="99"/>
      <c r="AH307" s="99"/>
      <c r="AI307" s="99"/>
      <c r="AJ307" s="99"/>
      <c r="AK307" s="99"/>
      <c r="AL307" s="99"/>
      <c r="AM307" s="99"/>
      <c r="AN307" s="99"/>
      <c r="AO307" s="99"/>
      <c r="AP307" s="99"/>
      <c r="AQ307" s="99"/>
      <c r="AR307" s="99"/>
      <c r="AS307" s="99"/>
      <c r="AT307" s="99"/>
      <c r="AU307" s="99"/>
      <c r="AV307" s="99"/>
      <c r="AW307" s="99"/>
      <c r="AX307" s="99"/>
      <c r="AY307" s="99"/>
      <c r="AZ307" s="99"/>
      <c r="BA307" s="99"/>
      <c r="BB307" s="99"/>
      <c r="BC307" s="100">
        <f>+'50 SEMANA'!F9</f>
        <v>0</v>
      </c>
      <c r="BD307" s="100">
        <f>+'50 SEMANA'!G9</f>
        <v>0</v>
      </c>
    </row>
    <row r="308" spans="1:56" x14ac:dyDescent="0.25">
      <c r="A308" s="37">
        <f>'50 SEMANA'!A10</f>
        <v>0</v>
      </c>
      <c r="B308" s="38">
        <f>'50 SEMANA'!B10</f>
        <v>0</v>
      </c>
      <c r="C308" s="38">
        <f>'50 SEMANA'!C10</f>
        <v>0</v>
      </c>
      <c r="D308" s="38">
        <f>'50 SEMANA'!D10</f>
        <v>0</v>
      </c>
      <c r="E308" s="100"/>
      <c r="F308" s="100"/>
      <c r="G308" s="99"/>
      <c r="H308" s="101"/>
      <c r="I308" s="102"/>
      <c r="J308" s="103"/>
      <c r="K308" s="99"/>
      <c r="L308" s="99"/>
      <c r="M308" s="99"/>
      <c r="N308" s="99"/>
      <c r="O308" s="99"/>
      <c r="P308" s="99"/>
      <c r="Q308" s="99"/>
      <c r="R308" s="99"/>
      <c r="S308" s="99"/>
      <c r="T308" s="99"/>
      <c r="U308" s="99"/>
      <c r="V308" s="99"/>
      <c r="W308" s="99"/>
      <c r="X308" s="99"/>
      <c r="Y308" s="99"/>
      <c r="Z308" s="99"/>
      <c r="AA308" s="99"/>
      <c r="AB308" s="99"/>
      <c r="AC308" s="99"/>
      <c r="AD308" s="99"/>
      <c r="AE308" s="99"/>
      <c r="AF308" s="99"/>
      <c r="AG308" s="99"/>
      <c r="AH308" s="99"/>
      <c r="AI308" s="99"/>
      <c r="AJ308" s="99"/>
      <c r="AK308" s="99"/>
      <c r="AL308" s="99"/>
      <c r="AM308" s="99"/>
      <c r="AN308" s="99"/>
      <c r="AO308" s="99"/>
      <c r="AP308" s="99"/>
      <c r="AQ308" s="99"/>
      <c r="AR308" s="99"/>
      <c r="AS308" s="99"/>
      <c r="AT308" s="99"/>
      <c r="AU308" s="99"/>
      <c r="AV308" s="99"/>
      <c r="AW308" s="99"/>
      <c r="AX308" s="99"/>
      <c r="AY308" s="99"/>
      <c r="AZ308" s="99"/>
      <c r="BA308" s="99"/>
      <c r="BB308" s="99"/>
      <c r="BC308" s="100">
        <f>+'50 SEMANA'!F10</f>
        <v>0</v>
      </c>
      <c r="BD308" s="100">
        <f>+'50 SEMANA'!G10</f>
        <v>0</v>
      </c>
    </row>
    <row r="309" spans="1:56" x14ac:dyDescent="0.25">
      <c r="A309" s="37">
        <f>'50 SEMANA'!A11</f>
        <v>0</v>
      </c>
      <c r="B309" s="38">
        <f>'50 SEMANA'!B11</f>
        <v>0</v>
      </c>
      <c r="C309" s="38">
        <f>'50 SEMANA'!C11</f>
        <v>0</v>
      </c>
      <c r="D309" s="38">
        <f>'50 SEMANA'!D11</f>
        <v>0</v>
      </c>
      <c r="E309" s="100"/>
      <c r="F309" s="100"/>
      <c r="G309" s="99"/>
      <c r="H309" s="101"/>
      <c r="I309" s="102"/>
      <c r="J309" s="103"/>
      <c r="K309" s="99"/>
      <c r="L309" s="99"/>
      <c r="M309" s="99"/>
      <c r="N309" s="99"/>
      <c r="O309" s="99"/>
      <c r="P309" s="99"/>
      <c r="Q309" s="99"/>
      <c r="R309" s="99"/>
      <c r="S309" s="99"/>
      <c r="T309" s="99"/>
      <c r="U309" s="99"/>
      <c r="V309" s="99"/>
      <c r="W309" s="99"/>
      <c r="X309" s="99"/>
      <c r="Y309" s="99"/>
      <c r="Z309" s="99"/>
      <c r="AA309" s="99"/>
      <c r="AB309" s="99"/>
      <c r="AC309" s="99"/>
      <c r="AD309" s="99"/>
      <c r="AE309" s="99"/>
      <c r="AF309" s="99"/>
      <c r="AG309" s="99"/>
      <c r="AH309" s="99"/>
      <c r="AI309" s="99"/>
      <c r="AJ309" s="99"/>
      <c r="AK309" s="99"/>
      <c r="AL309" s="99"/>
      <c r="AM309" s="99"/>
      <c r="AN309" s="99"/>
      <c r="AO309" s="99"/>
      <c r="AP309" s="99"/>
      <c r="AQ309" s="99"/>
      <c r="AR309" s="99"/>
      <c r="AS309" s="99"/>
      <c r="AT309" s="99"/>
      <c r="AU309" s="99"/>
      <c r="AV309" s="99"/>
      <c r="AW309" s="99"/>
      <c r="AX309" s="99"/>
      <c r="AY309" s="99"/>
      <c r="AZ309" s="99"/>
      <c r="BA309" s="99"/>
      <c r="BB309" s="99"/>
      <c r="BC309" s="100">
        <f>+'50 SEMANA'!F11</f>
        <v>0</v>
      </c>
      <c r="BD309" s="100">
        <f>+'50 SEMANA'!G11</f>
        <v>0</v>
      </c>
    </row>
    <row r="310" spans="1:56" x14ac:dyDescent="0.25">
      <c r="A310" s="37">
        <f>'50 SEMANA'!A12</f>
        <v>0</v>
      </c>
      <c r="B310" s="38">
        <f>'50 SEMANA'!B12</f>
        <v>0</v>
      </c>
      <c r="C310" s="38">
        <f>'50 SEMANA'!C12</f>
        <v>0</v>
      </c>
      <c r="D310" s="38">
        <f>'50 SEMANA'!D12</f>
        <v>0</v>
      </c>
      <c r="E310" s="100"/>
      <c r="F310" s="100"/>
      <c r="G310" s="99"/>
      <c r="H310" s="101"/>
      <c r="I310" s="102"/>
      <c r="J310" s="103"/>
      <c r="K310" s="99"/>
      <c r="L310" s="99"/>
      <c r="M310" s="99"/>
      <c r="N310" s="99"/>
      <c r="O310" s="99"/>
      <c r="P310" s="99"/>
      <c r="Q310" s="99"/>
      <c r="R310" s="99"/>
      <c r="S310" s="99"/>
      <c r="T310" s="99"/>
      <c r="U310" s="99"/>
      <c r="V310" s="99"/>
      <c r="W310" s="99"/>
      <c r="X310" s="99"/>
      <c r="Y310" s="99"/>
      <c r="Z310" s="99"/>
      <c r="AA310" s="99"/>
      <c r="AB310" s="99"/>
      <c r="AC310" s="99"/>
      <c r="AD310" s="99"/>
      <c r="AE310" s="99"/>
      <c r="AF310" s="99"/>
      <c r="AG310" s="99"/>
      <c r="AH310" s="99"/>
      <c r="AI310" s="99"/>
      <c r="AJ310" s="99"/>
      <c r="AK310" s="99"/>
      <c r="AL310" s="99"/>
      <c r="AM310" s="99"/>
      <c r="AN310" s="99"/>
      <c r="AO310" s="99"/>
      <c r="AP310" s="99"/>
      <c r="AQ310" s="99"/>
      <c r="AR310" s="99"/>
      <c r="AS310" s="99"/>
      <c r="AT310" s="99"/>
      <c r="AU310" s="99"/>
      <c r="AV310" s="99"/>
      <c r="AW310" s="99"/>
      <c r="AX310" s="99"/>
      <c r="AY310" s="99"/>
      <c r="AZ310" s="99"/>
      <c r="BA310" s="99"/>
      <c r="BB310" s="99"/>
      <c r="BC310" s="100">
        <f>+'50 SEMANA'!F12</f>
        <v>0</v>
      </c>
      <c r="BD310" s="100">
        <f>+'50 SEMANA'!G12</f>
        <v>0</v>
      </c>
    </row>
    <row r="311" spans="1:56" x14ac:dyDescent="0.25">
      <c r="A311" s="37">
        <f>'50 SEMANA'!A13</f>
        <v>0</v>
      </c>
      <c r="B311" s="38">
        <f>'50 SEMANA'!B13</f>
        <v>0</v>
      </c>
      <c r="C311" s="38">
        <f>'50 SEMANA'!C13</f>
        <v>0</v>
      </c>
      <c r="D311" s="38">
        <f>'50 SEMANA'!D13</f>
        <v>0</v>
      </c>
      <c r="E311" s="100"/>
      <c r="F311" s="100"/>
      <c r="G311" s="99"/>
      <c r="H311" s="101"/>
      <c r="I311" s="102"/>
      <c r="J311" s="103"/>
      <c r="K311" s="99"/>
      <c r="L311" s="99"/>
      <c r="M311" s="99"/>
      <c r="N311" s="99"/>
      <c r="O311" s="99"/>
      <c r="P311" s="99"/>
      <c r="Q311" s="99"/>
      <c r="R311" s="99"/>
      <c r="S311" s="99"/>
      <c r="T311" s="99"/>
      <c r="U311" s="99"/>
      <c r="V311" s="99"/>
      <c r="W311" s="99"/>
      <c r="X311" s="99"/>
      <c r="Y311" s="99"/>
      <c r="Z311" s="99"/>
      <c r="AA311" s="99"/>
      <c r="AB311" s="99"/>
      <c r="AC311" s="99"/>
      <c r="AD311" s="99"/>
      <c r="AE311" s="99"/>
      <c r="AF311" s="99"/>
      <c r="AG311" s="99"/>
      <c r="AH311" s="99"/>
      <c r="AI311" s="99"/>
      <c r="AJ311" s="99"/>
      <c r="AK311" s="99"/>
      <c r="AL311" s="99"/>
      <c r="AM311" s="99"/>
      <c r="AN311" s="99"/>
      <c r="AO311" s="99"/>
      <c r="AP311" s="99"/>
      <c r="AQ311" s="99"/>
      <c r="AR311" s="99"/>
      <c r="AS311" s="99"/>
      <c r="AT311" s="99"/>
      <c r="AU311" s="99"/>
      <c r="AV311" s="99"/>
      <c r="AW311" s="99"/>
      <c r="AX311" s="99"/>
      <c r="AY311" s="99"/>
      <c r="AZ311" s="99"/>
      <c r="BA311" s="99"/>
      <c r="BB311" s="99"/>
      <c r="BC311" s="100">
        <f>+'50 SEMANA'!F13</f>
        <v>0</v>
      </c>
      <c r="BD311" s="100">
        <f>+'50 SEMANA'!G13</f>
        <v>0</v>
      </c>
    </row>
    <row r="312" spans="1:56" x14ac:dyDescent="0.25">
      <c r="A312" s="37">
        <f>'50 SEMANA'!A14</f>
        <v>0</v>
      </c>
      <c r="B312" s="38">
        <f>'50 SEMANA'!B14</f>
        <v>0</v>
      </c>
      <c r="C312" s="38">
        <f>'50 SEMANA'!C14</f>
        <v>0</v>
      </c>
      <c r="D312" s="38">
        <f>'50 SEMANA'!D14</f>
        <v>0</v>
      </c>
      <c r="E312" s="100"/>
      <c r="F312" s="100"/>
      <c r="G312" s="99"/>
      <c r="H312" s="101"/>
      <c r="I312" s="102"/>
      <c r="J312" s="103"/>
      <c r="K312" s="99"/>
      <c r="L312" s="99"/>
      <c r="M312" s="99"/>
      <c r="N312" s="99"/>
      <c r="O312" s="99"/>
      <c r="P312" s="99"/>
      <c r="Q312" s="99"/>
      <c r="R312" s="99"/>
      <c r="S312" s="99"/>
      <c r="T312" s="99"/>
      <c r="U312" s="99"/>
      <c r="V312" s="99"/>
      <c r="W312" s="99"/>
      <c r="X312" s="99"/>
      <c r="Y312" s="99"/>
      <c r="Z312" s="99"/>
      <c r="AA312" s="99"/>
      <c r="AB312" s="99"/>
      <c r="AC312" s="99"/>
      <c r="AD312" s="99"/>
      <c r="AE312" s="99"/>
      <c r="AF312" s="99"/>
      <c r="AG312" s="99"/>
      <c r="AH312" s="99"/>
      <c r="AI312" s="99"/>
      <c r="AJ312" s="99"/>
      <c r="AK312" s="99"/>
      <c r="AL312" s="99"/>
      <c r="AM312" s="99"/>
      <c r="AN312" s="99"/>
      <c r="AO312" s="99"/>
      <c r="AP312" s="99"/>
      <c r="AQ312" s="99"/>
      <c r="AR312" s="99"/>
      <c r="AS312" s="99"/>
      <c r="AT312" s="99"/>
      <c r="AU312" s="99"/>
      <c r="AV312" s="99"/>
      <c r="AW312" s="99"/>
      <c r="AX312" s="99"/>
      <c r="AY312" s="99"/>
      <c r="AZ312" s="99"/>
      <c r="BA312" s="99"/>
      <c r="BB312" s="99"/>
      <c r="BC312" s="100">
        <f>+'50 SEMANA'!F14</f>
        <v>0</v>
      </c>
      <c r="BD312" s="100">
        <f>+'50 SEMANA'!G14</f>
        <v>0</v>
      </c>
    </row>
    <row r="313" spans="1:56" x14ac:dyDescent="0.25">
      <c r="A313" s="37">
        <f>'51 SEMANA'!A9</f>
        <v>0</v>
      </c>
      <c r="B313" s="38">
        <f>'51 SEMANA'!B9</f>
        <v>0</v>
      </c>
      <c r="C313" s="38">
        <f>'51 SEMANA'!C9</f>
        <v>0</v>
      </c>
      <c r="D313" s="38">
        <f>'51 SEMANA'!D9</f>
        <v>0</v>
      </c>
      <c r="E313" s="100"/>
      <c r="F313" s="100"/>
      <c r="G313" s="99"/>
      <c r="H313" s="101"/>
      <c r="I313" s="102"/>
      <c r="J313" s="103"/>
      <c r="K313" s="99"/>
      <c r="L313" s="99"/>
      <c r="M313" s="99"/>
      <c r="N313" s="99"/>
      <c r="O313" s="99"/>
      <c r="P313" s="99"/>
      <c r="Q313" s="99"/>
      <c r="R313" s="99"/>
      <c r="S313" s="99"/>
      <c r="T313" s="99"/>
      <c r="U313" s="99"/>
      <c r="V313" s="99"/>
      <c r="W313" s="99"/>
      <c r="X313" s="99"/>
      <c r="Y313" s="99"/>
      <c r="Z313" s="99"/>
      <c r="AA313" s="99"/>
      <c r="AB313" s="99"/>
      <c r="AC313" s="99"/>
      <c r="AD313" s="99"/>
      <c r="AE313" s="99"/>
      <c r="AF313" s="99"/>
      <c r="AG313" s="99"/>
      <c r="AH313" s="99"/>
      <c r="AI313" s="99"/>
      <c r="AJ313" s="99"/>
      <c r="AK313" s="99"/>
      <c r="AL313" s="99"/>
      <c r="AM313" s="99"/>
      <c r="AN313" s="99"/>
      <c r="AO313" s="99"/>
      <c r="AP313" s="99"/>
      <c r="AQ313" s="99"/>
      <c r="AR313" s="99"/>
      <c r="AS313" s="99"/>
      <c r="AT313" s="99"/>
      <c r="AU313" s="99"/>
      <c r="AV313" s="99"/>
      <c r="AW313" s="99"/>
      <c r="AX313" s="99"/>
      <c r="AY313" s="99"/>
      <c r="AZ313" s="99"/>
      <c r="BA313" s="99"/>
      <c r="BB313" s="99"/>
      <c r="BC313" s="99"/>
      <c r="BD313" s="100">
        <f>+'51 SEMANA'!F9</f>
        <v>0</v>
      </c>
    </row>
    <row r="314" spans="1:56" x14ac:dyDescent="0.25">
      <c r="A314" s="37">
        <f>'51 SEMANA'!A10</f>
        <v>0</v>
      </c>
      <c r="B314" s="38">
        <f>'51 SEMANA'!B10</f>
        <v>0</v>
      </c>
      <c r="C314" s="38">
        <f>'51 SEMANA'!C10</f>
        <v>0</v>
      </c>
      <c r="D314" s="38">
        <f>'51 SEMANA'!D10</f>
        <v>0</v>
      </c>
      <c r="E314" s="100"/>
      <c r="F314" s="100"/>
      <c r="G314" s="99"/>
      <c r="H314" s="101"/>
      <c r="I314" s="102"/>
      <c r="J314" s="103"/>
      <c r="K314" s="99"/>
      <c r="L314" s="99"/>
      <c r="M314" s="99"/>
      <c r="N314" s="99"/>
      <c r="O314" s="99"/>
      <c r="P314" s="99"/>
      <c r="Q314" s="99"/>
      <c r="R314" s="99"/>
      <c r="S314" s="99"/>
      <c r="T314" s="99"/>
      <c r="U314" s="99"/>
      <c r="V314" s="99"/>
      <c r="W314" s="99"/>
      <c r="X314" s="99"/>
      <c r="Y314" s="99"/>
      <c r="Z314" s="99"/>
      <c r="AA314" s="99"/>
      <c r="AB314" s="99"/>
      <c r="AC314" s="99"/>
      <c r="AD314" s="99"/>
      <c r="AE314" s="99"/>
      <c r="AF314" s="99"/>
      <c r="AG314" s="99"/>
      <c r="AH314" s="99"/>
      <c r="AI314" s="99"/>
      <c r="AJ314" s="99"/>
      <c r="AK314" s="99"/>
      <c r="AL314" s="99"/>
      <c r="AM314" s="99"/>
      <c r="AN314" s="99"/>
      <c r="AO314" s="99"/>
      <c r="AP314" s="99"/>
      <c r="AQ314" s="99"/>
      <c r="AR314" s="99"/>
      <c r="AS314" s="99"/>
      <c r="AT314" s="99"/>
      <c r="AU314" s="99"/>
      <c r="AV314" s="99"/>
      <c r="AW314" s="99"/>
      <c r="AX314" s="99"/>
      <c r="AY314" s="99"/>
      <c r="AZ314" s="99"/>
      <c r="BA314" s="99"/>
      <c r="BB314" s="99"/>
      <c r="BC314" s="99"/>
      <c r="BD314" s="100">
        <f>+'51 SEMANA'!F10</f>
        <v>0</v>
      </c>
    </row>
    <row r="315" spans="1:56" x14ac:dyDescent="0.25">
      <c r="A315" s="37">
        <f>'51 SEMANA'!A11</f>
        <v>0</v>
      </c>
      <c r="B315" s="38">
        <f>'51 SEMANA'!B11</f>
        <v>0</v>
      </c>
      <c r="C315" s="38">
        <f>'51 SEMANA'!C11</f>
        <v>0</v>
      </c>
      <c r="D315" s="38">
        <f>'51 SEMANA'!D11</f>
        <v>0</v>
      </c>
      <c r="E315" s="100"/>
      <c r="F315" s="100"/>
      <c r="G315" s="99"/>
      <c r="H315" s="101"/>
      <c r="I315" s="102"/>
      <c r="J315" s="103"/>
      <c r="K315" s="99"/>
      <c r="L315" s="99"/>
      <c r="M315" s="99"/>
      <c r="N315" s="99"/>
      <c r="O315" s="99"/>
      <c r="P315" s="99"/>
      <c r="Q315" s="99"/>
      <c r="R315" s="99"/>
      <c r="S315" s="99"/>
      <c r="T315" s="99"/>
      <c r="U315" s="99"/>
      <c r="V315" s="99"/>
      <c r="W315" s="99"/>
      <c r="X315" s="99"/>
      <c r="Y315" s="99"/>
      <c r="Z315" s="99"/>
      <c r="AA315" s="99"/>
      <c r="AB315" s="99"/>
      <c r="AC315" s="99"/>
      <c r="AD315" s="99"/>
      <c r="AE315" s="99"/>
      <c r="AF315" s="99"/>
      <c r="AG315" s="99"/>
      <c r="AH315" s="99"/>
      <c r="AI315" s="99"/>
      <c r="AJ315" s="99"/>
      <c r="AK315" s="99"/>
      <c r="AL315" s="99"/>
      <c r="AM315" s="99"/>
      <c r="AN315" s="99"/>
      <c r="AO315" s="99"/>
      <c r="AP315" s="99"/>
      <c r="AQ315" s="99"/>
      <c r="AR315" s="99"/>
      <c r="AS315" s="99"/>
      <c r="AT315" s="99"/>
      <c r="AU315" s="99"/>
      <c r="AV315" s="99"/>
      <c r="AW315" s="99"/>
      <c r="AX315" s="99"/>
      <c r="AY315" s="99"/>
      <c r="AZ315" s="99"/>
      <c r="BA315" s="99"/>
      <c r="BB315" s="99"/>
      <c r="BC315" s="99"/>
      <c r="BD315" s="100">
        <f>+'51 SEMANA'!F11</f>
        <v>0</v>
      </c>
    </row>
    <row r="316" spans="1:56" x14ac:dyDescent="0.25">
      <c r="A316" s="37">
        <f>'51 SEMANA'!A12</f>
        <v>0</v>
      </c>
      <c r="B316" s="38">
        <f>'51 SEMANA'!B12</f>
        <v>0</v>
      </c>
      <c r="C316" s="38">
        <f>'51 SEMANA'!C12</f>
        <v>0</v>
      </c>
      <c r="D316" s="38">
        <f>'51 SEMANA'!D12</f>
        <v>0</v>
      </c>
      <c r="E316" s="100"/>
      <c r="F316" s="100"/>
      <c r="G316" s="99"/>
      <c r="H316" s="101"/>
      <c r="I316" s="102"/>
      <c r="J316" s="103"/>
      <c r="K316" s="99"/>
      <c r="L316" s="99"/>
      <c r="M316" s="99"/>
      <c r="N316" s="99"/>
      <c r="O316" s="99"/>
      <c r="P316" s="99"/>
      <c r="Q316" s="99"/>
      <c r="R316" s="99"/>
      <c r="S316" s="99"/>
      <c r="T316" s="99"/>
      <c r="U316" s="99"/>
      <c r="V316" s="99"/>
      <c r="W316" s="99"/>
      <c r="X316" s="99"/>
      <c r="Y316" s="99"/>
      <c r="Z316" s="99"/>
      <c r="AA316" s="99"/>
      <c r="AB316" s="99"/>
      <c r="AC316" s="99"/>
      <c r="AD316" s="99"/>
      <c r="AE316" s="99"/>
      <c r="AF316" s="99"/>
      <c r="AG316" s="99"/>
      <c r="AH316" s="99"/>
      <c r="AI316" s="99"/>
      <c r="AJ316" s="99"/>
      <c r="AK316" s="99"/>
      <c r="AL316" s="99"/>
      <c r="AM316" s="99"/>
      <c r="AN316" s="99"/>
      <c r="AO316" s="99"/>
      <c r="AP316" s="99"/>
      <c r="AQ316" s="99"/>
      <c r="AR316" s="99"/>
      <c r="AS316" s="99"/>
      <c r="AT316" s="99"/>
      <c r="AU316" s="99"/>
      <c r="AV316" s="99"/>
      <c r="AW316" s="99"/>
      <c r="AX316" s="99"/>
      <c r="AY316" s="99"/>
      <c r="AZ316" s="99"/>
      <c r="BA316" s="99"/>
      <c r="BB316" s="99"/>
      <c r="BC316" s="99"/>
      <c r="BD316" s="100">
        <f>+'51 SEMANA'!F12</f>
        <v>0</v>
      </c>
    </row>
    <row r="317" spans="1:56" x14ac:dyDescent="0.25">
      <c r="A317" s="37">
        <f>'51 SEMANA'!A13</f>
        <v>0</v>
      </c>
      <c r="B317" s="38">
        <f>'51 SEMANA'!B13</f>
        <v>0</v>
      </c>
      <c r="C317" s="38">
        <f>'51 SEMANA'!C13</f>
        <v>0</v>
      </c>
      <c r="D317" s="38">
        <f>'51 SEMANA'!D13</f>
        <v>0</v>
      </c>
      <c r="E317" s="100"/>
      <c r="F317" s="100"/>
      <c r="G317" s="99"/>
      <c r="H317" s="101"/>
      <c r="I317" s="102"/>
      <c r="J317" s="103"/>
      <c r="K317" s="99"/>
      <c r="L317" s="99"/>
      <c r="M317" s="99"/>
      <c r="N317" s="99"/>
      <c r="O317" s="99"/>
      <c r="P317" s="99"/>
      <c r="Q317" s="99"/>
      <c r="R317" s="99"/>
      <c r="S317" s="99"/>
      <c r="T317" s="99"/>
      <c r="U317" s="99"/>
      <c r="V317" s="99"/>
      <c r="W317" s="99"/>
      <c r="X317" s="99"/>
      <c r="Y317" s="99"/>
      <c r="Z317" s="99"/>
      <c r="AA317" s="99"/>
      <c r="AB317" s="99"/>
      <c r="AC317" s="99"/>
      <c r="AD317" s="99"/>
      <c r="AE317" s="99"/>
      <c r="AF317" s="99"/>
      <c r="AG317" s="99"/>
      <c r="AH317" s="99"/>
      <c r="AI317" s="99"/>
      <c r="AJ317" s="99"/>
      <c r="AK317" s="99"/>
      <c r="AL317" s="99"/>
      <c r="AM317" s="99"/>
      <c r="AN317" s="99"/>
      <c r="AO317" s="99"/>
      <c r="AP317" s="99"/>
      <c r="AQ317" s="99"/>
      <c r="AR317" s="99"/>
      <c r="AS317" s="99"/>
      <c r="AT317" s="99"/>
      <c r="AU317" s="99"/>
      <c r="AV317" s="99"/>
      <c r="AW317" s="99"/>
      <c r="AX317" s="99"/>
      <c r="AY317" s="99"/>
      <c r="AZ317" s="99"/>
      <c r="BA317" s="99"/>
      <c r="BB317" s="99"/>
      <c r="BC317" s="99"/>
      <c r="BD317" s="100">
        <f>+'51 SEMANA'!F13</f>
        <v>0</v>
      </c>
    </row>
    <row r="318" spans="1:56" x14ac:dyDescent="0.25">
      <c r="A318" s="37">
        <f>'51 SEMANA'!A14</f>
        <v>0</v>
      </c>
      <c r="B318" s="38">
        <f>'51 SEMANA'!B14</f>
        <v>0</v>
      </c>
      <c r="C318" s="38">
        <f>'51 SEMANA'!C14</f>
        <v>0</v>
      </c>
      <c r="D318" s="38">
        <f>'51 SEMANA'!D14</f>
        <v>0</v>
      </c>
      <c r="E318" s="100"/>
      <c r="F318" s="100"/>
      <c r="G318" s="99"/>
      <c r="H318" s="101"/>
      <c r="I318" s="102"/>
      <c r="J318" s="103"/>
      <c r="K318" s="99"/>
      <c r="L318" s="99"/>
      <c r="M318" s="99"/>
      <c r="N318" s="99"/>
      <c r="O318" s="99"/>
      <c r="P318" s="99"/>
      <c r="Q318" s="99"/>
      <c r="R318" s="99"/>
      <c r="S318" s="99"/>
      <c r="T318" s="99"/>
      <c r="U318" s="99"/>
      <c r="V318" s="99"/>
      <c r="W318" s="99"/>
      <c r="X318" s="99"/>
      <c r="Y318" s="99"/>
      <c r="Z318" s="99"/>
      <c r="AA318" s="99"/>
      <c r="AB318" s="99"/>
      <c r="AC318" s="99"/>
      <c r="AD318" s="99"/>
      <c r="AE318" s="99"/>
      <c r="AF318" s="99"/>
      <c r="AG318" s="99"/>
      <c r="AH318" s="99"/>
      <c r="AI318" s="99"/>
      <c r="AJ318" s="99"/>
      <c r="AK318" s="99"/>
      <c r="AL318" s="99"/>
      <c r="AM318" s="99"/>
      <c r="AN318" s="99"/>
      <c r="AO318" s="99"/>
      <c r="AP318" s="99"/>
      <c r="AQ318" s="99"/>
      <c r="AR318" s="99"/>
      <c r="AS318" s="99"/>
      <c r="AT318" s="99"/>
      <c r="AU318" s="99"/>
      <c r="AV318" s="99"/>
      <c r="AW318" s="99"/>
      <c r="AX318" s="99"/>
      <c r="AY318" s="99"/>
      <c r="AZ318" s="99"/>
      <c r="BA318" s="99"/>
      <c r="BB318" s="99"/>
      <c r="BC318" s="99"/>
      <c r="BD318" s="100">
        <f>+'51 SEMANA'!F14</f>
        <v>0</v>
      </c>
    </row>
    <row r="319" spans="1:56" x14ac:dyDescent="0.25">
      <c r="A319" s="37">
        <f>'52 SEMANA '!A9</f>
        <v>0</v>
      </c>
      <c r="B319" s="38">
        <f>'52 SEMANA '!B9</f>
        <v>0</v>
      </c>
      <c r="C319" s="38">
        <f>'52 SEMANA '!C9</f>
        <v>0</v>
      </c>
      <c r="D319" s="38">
        <f>'52 SEMANA '!D9</f>
        <v>0</v>
      </c>
      <c r="E319" s="100"/>
      <c r="F319" s="100"/>
      <c r="G319" s="99"/>
      <c r="H319" s="101"/>
      <c r="I319" s="102"/>
      <c r="J319" s="103"/>
      <c r="K319" s="99"/>
      <c r="L319" s="99"/>
      <c r="M319" s="99"/>
      <c r="N319" s="99"/>
      <c r="O319" s="99"/>
      <c r="P319" s="99"/>
      <c r="Q319" s="99"/>
      <c r="R319" s="99"/>
      <c r="S319" s="99"/>
      <c r="T319" s="99"/>
      <c r="U319" s="99"/>
      <c r="V319" s="99"/>
      <c r="W319" s="99"/>
      <c r="X319" s="99"/>
      <c r="Y319" s="99"/>
      <c r="Z319" s="99"/>
      <c r="AA319" s="99"/>
      <c r="AB319" s="99"/>
      <c r="AC319" s="99"/>
      <c r="AD319" s="99"/>
      <c r="AE319" s="99"/>
      <c r="AF319" s="99"/>
      <c r="AG319" s="99"/>
      <c r="AH319" s="99"/>
      <c r="AI319" s="99"/>
      <c r="AJ319" s="99"/>
      <c r="AK319" s="99"/>
      <c r="AL319" s="99"/>
      <c r="AM319" s="99"/>
      <c r="AN319" s="99"/>
      <c r="AO319" s="99"/>
      <c r="AP319" s="99"/>
      <c r="AQ319" s="99"/>
      <c r="AR319" s="99"/>
      <c r="AS319" s="99"/>
      <c r="AT319" s="99"/>
      <c r="AU319" s="99"/>
      <c r="AV319" s="99"/>
      <c r="AW319" s="99"/>
      <c r="AX319" s="99"/>
      <c r="AY319" s="99"/>
      <c r="AZ319" s="99"/>
      <c r="BA319" s="99"/>
      <c r="BB319" s="99"/>
      <c r="BC319" s="99"/>
      <c r="BD319" s="99"/>
    </row>
    <row r="320" spans="1:56" x14ac:dyDescent="0.25">
      <c r="A320" s="37">
        <f>'52 SEMANA '!A10</f>
        <v>0</v>
      </c>
      <c r="B320" s="38">
        <f>'52 SEMANA '!B10</f>
        <v>0</v>
      </c>
      <c r="C320" s="38">
        <f>'52 SEMANA '!C10</f>
        <v>0</v>
      </c>
      <c r="D320" s="38">
        <f>'52 SEMANA '!D10</f>
        <v>0</v>
      </c>
      <c r="E320" s="100"/>
      <c r="F320" s="100"/>
      <c r="G320" s="99"/>
      <c r="H320" s="101"/>
      <c r="I320" s="102"/>
      <c r="J320" s="103"/>
      <c r="K320" s="99"/>
      <c r="L320" s="99"/>
      <c r="M320" s="99"/>
      <c r="N320" s="99"/>
      <c r="O320" s="99"/>
      <c r="P320" s="99"/>
      <c r="Q320" s="99"/>
      <c r="R320" s="99"/>
      <c r="S320" s="99"/>
      <c r="T320" s="99"/>
      <c r="U320" s="99"/>
      <c r="V320" s="99"/>
      <c r="W320" s="99"/>
      <c r="X320" s="99"/>
      <c r="Y320" s="99"/>
      <c r="Z320" s="99"/>
      <c r="AA320" s="99"/>
      <c r="AB320" s="99"/>
      <c r="AC320" s="99"/>
      <c r="AD320" s="99"/>
      <c r="AE320" s="99"/>
      <c r="AF320" s="99"/>
      <c r="AG320" s="99"/>
      <c r="AH320" s="99"/>
      <c r="AI320" s="99"/>
      <c r="AJ320" s="99"/>
      <c r="AK320" s="99"/>
      <c r="AL320" s="99"/>
      <c r="AM320" s="99"/>
      <c r="AN320" s="99"/>
      <c r="AO320" s="99"/>
      <c r="AP320" s="99"/>
      <c r="AQ320" s="99"/>
      <c r="AR320" s="99"/>
      <c r="AS320" s="99"/>
      <c r="AT320" s="99"/>
      <c r="AU320" s="99"/>
      <c r="AV320" s="99"/>
      <c r="AW320" s="99"/>
      <c r="AX320" s="99"/>
      <c r="AY320" s="99"/>
      <c r="AZ320" s="99"/>
      <c r="BA320" s="99"/>
      <c r="BB320" s="99"/>
      <c r="BC320" s="99"/>
      <c r="BD320" s="99"/>
    </row>
    <row r="321" spans="1:56" x14ac:dyDescent="0.25">
      <c r="A321" s="37">
        <f>'52 SEMANA '!A11</f>
        <v>0</v>
      </c>
      <c r="B321" s="38">
        <f>'52 SEMANA '!B11</f>
        <v>0</v>
      </c>
      <c r="C321" s="38">
        <f>'52 SEMANA '!C11</f>
        <v>0</v>
      </c>
      <c r="D321" s="38">
        <f>'52 SEMANA '!D11</f>
        <v>0</v>
      </c>
      <c r="E321" s="100"/>
      <c r="F321" s="100"/>
      <c r="G321" s="99"/>
      <c r="H321" s="101"/>
      <c r="I321" s="102"/>
      <c r="J321" s="103"/>
      <c r="K321" s="99"/>
      <c r="L321" s="99"/>
      <c r="M321" s="99"/>
      <c r="N321" s="99"/>
      <c r="O321" s="99"/>
      <c r="P321" s="99"/>
      <c r="Q321" s="99"/>
      <c r="R321" s="99"/>
      <c r="S321" s="99"/>
      <c r="T321" s="99"/>
      <c r="U321" s="99"/>
      <c r="V321" s="99"/>
      <c r="W321" s="99"/>
      <c r="X321" s="99"/>
      <c r="Y321" s="99"/>
      <c r="Z321" s="99"/>
      <c r="AA321" s="99"/>
      <c r="AB321" s="99"/>
      <c r="AC321" s="99"/>
      <c r="AD321" s="99"/>
      <c r="AE321" s="99"/>
      <c r="AF321" s="99"/>
      <c r="AG321" s="99"/>
      <c r="AH321" s="99"/>
      <c r="AI321" s="99"/>
      <c r="AJ321" s="99"/>
      <c r="AK321" s="99"/>
      <c r="AL321" s="99"/>
      <c r="AM321" s="99"/>
      <c r="AN321" s="99"/>
      <c r="AO321" s="99"/>
      <c r="AP321" s="99"/>
      <c r="AQ321" s="99"/>
      <c r="AR321" s="99"/>
      <c r="AS321" s="99"/>
      <c r="AT321" s="99"/>
      <c r="AU321" s="99"/>
      <c r="AV321" s="99"/>
      <c r="AW321" s="99"/>
      <c r="AX321" s="99"/>
      <c r="AY321" s="99"/>
      <c r="AZ321" s="99"/>
      <c r="BA321" s="99"/>
      <c r="BB321" s="99"/>
      <c r="BC321" s="99"/>
      <c r="BD321" s="99"/>
    </row>
    <row r="322" spans="1:56" x14ac:dyDescent="0.25">
      <c r="A322" s="37">
        <f>'52 SEMANA '!A12</f>
        <v>0</v>
      </c>
      <c r="B322" s="38">
        <f>'52 SEMANA '!B12</f>
        <v>0</v>
      </c>
      <c r="C322" s="38">
        <f>'52 SEMANA '!C12</f>
        <v>0</v>
      </c>
      <c r="D322" s="38">
        <f>'52 SEMANA '!D12</f>
        <v>0</v>
      </c>
      <c r="E322" s="100"/>
      <c r="F322" s="100"/>
      <c r="G322" s="99"/>
      <c r="H322" s="101"/>
      <c r="I322" s="102"/>
      <c r="J322" s="103"/>
      <c r="K322" s="99"/>
      <c r="L322" s="99"/>
      <c r="M322" s="99"/>
      <c r="N322" s="99"/>
      <c r="O322" s="99"/>
      <c r="P322" s="99"/>
      <c r="Q322" s="99"/>
      <c r="R322" s="99"/>
      <c r="S322" s="99"/>
      <c r="T322" s="99"/>
      <c r="U322" s="99"/>
      <c r="V322" s="99"/>
      <c r="W322" s="99"/>
      <c r="X322" s="99"/>
      <c r="Y322" s="99"/>
      <c r="Z322" s="99"/>
      <c r="AA322" s="99"/>
      <c r="AB322" s="99"/>
      <c r="AC322" s="99"/>
      <c r="AD322" s="99"/>
      <c r="AE322" s="99"/>
      <c r="AF322" s="99"/>
      <c r="AG322" s="99"/>
      <c r="AH322" s="99"/>
      <c r="AI322" s="99"/>
      <c r="AJ322" s="99"/>
      <c r="AK322" s="99"/>
      <c r="AL322" s="99"/>
      <c r="AM322" s="99"/>
      <c r="AN322" s="99"/>
      <c r="AO322" s="99"/>
      <c r="AP322" s="99"/>
      <c r="AQ322" s="99"/>
      <c r="AR322" s="99"/>
      <c r="AS322" s="99"/>
      <c r="AT322" s="99"/>
      <c r="AU322" s="99"/>
      <c r="AV322" s="99"/>
      <c r="AW322" s="99"/>
      <c r="AX322" s="99"/>
      <c r="AY322" s="99"/>
      <c r="AZ322" s="99"/>
      <c r="BA322" s="99"/>
      <c r="BB322" s="99"/>
      <c r="BC322" s="99"/>
      <c r="BD322" s="99"/>
    </row>
    <row r="323" spans="1:56" x14ac:dyDescent="0.25">
      <c r="A323" s="37">
        <f>'52 SEMANA '!A13</f>
        <v>0</v>
      </c>
      <c r="B323" s="38">
        <f>'52 SEMANA '!B13</f>
        <v>0</v>
      </c>
      <c r="C323" s="38">
        <f>'52 SEMANA '!C13</f>
        <v>0</v>
      </c>
      <c r="D323" s="38">
        <f>'52 SEMANA '!D13</f>
        <v>0</v>
      </c>
      <c r="E323" s="100"/>
      <c r="F323" s="100"/>
      <c r="G323" s="99"/>
      <c r="H323" s="101"/>
      <c r="I323" s="102"/>
      <c r="J323" s="103"/>
      <c r="K323" s="99"/>
      <c r="L323" s="99"/>
      <c r="M323" s="99"/>
      <c r="N323" s="99"/>
      <c r="O323" s="99"/>
      <c r="P323" s="99"/>
      <c r="Q323" s="99"/>
      <c r="R323" s="99"/>
      <c r="S323" s="99"/>
      <c r="T323" s="99"/>
      <c r="U323" s="99"/>
      <c r="V323" s="99"/>
      <c r="W323" s="99"/>
      <c r="X323" s="99"/>
      <c r="Y323" s="99"/>
      <c r="Z323" s="99"/>
      <c r="AA323" s="99"/>
      <c r="AB323" s="99"/>
      <c r="AC323" s="99"/>
      <c r="AD323" s="99"/>
      <c r="AE323" s="99"/>
      <c r="AF323" s="99"/>
      <c r="AG323" s="99"/>
      <c r="AH323" s="99"/>
      <c r="AI323" s="99"/>
      <c r="AJ323" s="99"/>
      <c r="AK323" s="99"/>
      <c r="AL323" s="99"/>
      <c r="AM323" s="99"/>
      <c r="AN323" s="99"/>
      <c r="AO323" s="99"/>
      <c r="AP323" s="99"/>
      <c r="AQ323" s="99"/>
      <c r="AR323" s="99"/>
      <c r="AS323" s="99"/>
      <c r="AT323" s="99"/>
      <c r="AU323" s="99"/>
      <c r="AV323" s="99"/>
      <c r="AW323" s="99"/>
      <c r="AX323" s="99"/>
      <c r="AY323" s="99"/>
      <c r="AZ323" s="99"/>
      <c r="BA323" s="99"/>
      <c r="BB323" s="99"/>
      <c r="BC323" s="99"/>
      <c r="BD323" s="99"/>
    </row>
    <row r="324" spans="1:56" x14ac:dyDescent="0.25">
      <c r="A324" s="37">
        <f>'52 SEMANA '!A14</f>
        <v>0</v>
      </c>
      <c r="B324" s="38">
        <f>'52 SEMANA '!B14</f>
        <v>0</v>
      </c>
      <c r="C324" s="38">
        <f>'52 SEMANA '!C14</f>
        <v>0</v>
      </c>
      <c r="D324" s="38">
        <f>'52 SEMANA '!D14</f>
        <v>0</v>
      </c>
      <c r="E324" s="100"/>
      <c r="F324" s="100"/>
      <c r="G324" s="99"/>
      <c r="H324" s="101"/>
      <c r="I324" s="102"/>
      <c r="J324" s="103"/>
      <c r="K324" s="99"/>
      <c r="L324" s="99"/>
      <c r="M324" s="99"/>
      <c r="N324" s="99"/>
      <c r="O324" s="99"/>
      <c r="P324" s="99"/>
      <c r="Q324" s="99"/>
      <c r="R324" s="99"/>
      <c r="S324" s="99"/>
      <c r="T324" s="99"/>
      <c r="U324" s="99"/>
      <c r="V324" s="99"/>
      <c r="W324" s="99"/>
      <c r="X324" s="99"/>
      <c r="Y324" s="99"/>
      <c r="Z324" s="99"/>
      <c r="AA324" s="99"/>
      <c r="AB324" s="99"/>
      <c r="AC324" s="99"/>
      <c r="AD324" s="99"/>
      <c r="AE324" s="99"/>
      <c r="AF324" s="99"/>
      <c r="AG324" s="99"/>
      <c r="AH324" s="99"/>
      <c r="AI324" s="99"/>
      <c r="AJ324" s="99"/>
      <c r="AK324" s="99"/>
      <c r="AL324" s="99"/>
      <c r="AM324" s="99"/>
      <c r="AN324" s="99"/>
      <c r="AO324" s="99"/>
      <c r="AP324" s="99"/>
      <c r="AQ324" s="99"/>
      <c r="AR324" s="99"/>
      <c r="AS324" s="99"/>
      <c r="AT324" s="99"/>
      <c r="AU324" s="99"/>
      <c r="AV324" s="99"/>
      <c r="AW324" s="99"/>
      <c r="AX324" s="99"/>
      <c r="AY324" s="99"/>
      <c r="AZ324" s="99"/>
      <c r="BA324" s="99"/>
      <c r="BB324" s="99"/>
      <c r="BC324" s="99"/>
      <c r="BD324" s="99"/>
    </row>
    <row r="325" spans="1:56" x14ac:dyDescent="0.25">
      <c r="A325" s="37">
        <f>+'SALDOS INICIALES'!A9</f>
        <v>46006</v>
      </c>
      <c r="B325" s="38">
        <f>+'SALDOS INICIALES'!B9</f>
        <v>1</v>
      </c>
      <c r="C325" s="38" t="str">
        <f>+'SALDOS INICIALES'!C9</f>
        <v>CARLOS CESAR SILVA HDEZ</v>
      </c>
      <c r="D325" s="38" t="str">
        <f>+'SALDOS INICIALES'!D9</f>
        <v xml:space="preserve">COCINA </v>
      </c>
      <c r="E325" s="100"/>
      <c r="F325" s="100"/>
      <c r="G325" s="99"/>
      <c r="H325" s="101"/>
      <c r="I325" s="102"/>
      <c r="J325" s="103"/>
      <c r="K325" s="99"/>
      <c r="L325" s="99"/>
      <c r="M325" s="99"/>
      <c r="N325" s="99"/>
      <c r="O325" s="99"/>
      <c r="P325" s="99"/>
      <c r="Q325" s="99"/>
      <c r="R325" s="99"/>
      <c r="S325" s="99"/>
      <c r="T325" s="99"/>
      <c r="U325" s="99"/>
      <c r="V325" s="99"/>
      <c r="W325" s="99"/>
      <c r="X325" s="99"/>
      <c r="Y325" s="99"/>
      <c r="Z325" s="99"/>
      <c r="AA325" s="99"/>
      <c r="AB325" s="99"/>
      <c r="AC325" s="99"/>
      <c r="AD325" s="99"/>
      <c r="AE325" s="99"/>
      <c r="AF325" s="99"/>
      <c r="AG325" s="99"/>
      <c r="AH325" s="99"/>
      <c r="AI325" s="99"/>
      <c r="AJ325" s="99"/>
      <c r="AK325" s="99"/>
      <c r="AL325" s="99"/>
      <c r="AM325" s="99"/>
      <c r="AN325" s="99"/>
      <c r="AO325" s="99"/>
      <c r="AP325" s="99"/>
      <c r="AQ325" s="99"/>
      <c r="AR325" s="99"/>
      <c r="AS325" s="99"/>
      <c r="AT325" s="99"/>
      <c r="AU325" s="99"/>
      <c r="AV325" s="99"/>
      <c r="AW325" s="99"/>
      <c r="AX325" s="99"/>
      <c r="AY325" s="99"/>
      <c r="AZ325" s="99"/>
      <c r="BA325" s="99"/>
      <c r="BB325" s="99"/>
      <c r="BC325" s="99"/>
      <c r="BD325" s="99"/>
    </row>
    <row r="326" spans="1:56" x14ac:dyDescent="0.25">
      <c r="A326" s="37">
        <f>+'SALDOS INICIALES'!A10</f>
        <v>45957</v>
      </c>
      <c r="B326" s="38">
        <f>+'SALDOS INICIALES'!B10</f>
        <v>24</v>
      </c>
      <c r="C326" s="38" t="str">
        <f>+'SALDOS INICIALES'!C10</f>
        <v>LUIS ÁNGEL QUIROZ LLANITO</v>
      </c>
      <c r="D326" s="38" t="str">
        <f>+'SALDOS INICIALES'!D10</f>
        <v xml:space="preserve">COMEDOR </v>
      </c>
      <c r="E326" s="100"/>
      <c r="F326" s="100"/>
      <c r="G326" s="99"/>
      <c r="H326" s="101"/>
      <c r="I326" s="102"/>
      <c r="J326" s="103"/>
      <c r="K326" s="99"/>
      <c r="L326" s="99"/>
      <c r="M326" s="99"/>
      <c r="N326" s="99"/>
      <c r="O326" s="99"/>
      <c r="P326" s="99"/>
      <c r="Q326" s="99"/>
      <c r="R326" s="99"/>
      <c r="S326" s="99"/>
      <c r="T326" s="99"/>
      <c r="U326" s="99"/>
      <c r="V326" s="99"/>
      <c r="W326" s="99"/>
      <c r="X326" s="99"/>
      <c r="Y326" s="99"/>
      <c r="Z326" s="99"/>
      <c r="AA326" s="99"/>
      <c r="AB326" s="99"/>
      <c r="AC326" s="99"/>
      <c r="AD326" s="99"/>
      <c r="AE326" s="99"/>
      <c r="AF326" s="99"/>
      <c r="AG326" s="99"/>
      <c r="AH326" s="99"/>
      <c r="AI326" s="99"/>
      <c r="AJ326" s="99"/>
      <c r="AK326" s="99"/>
      <c r="AL326" s="99"/>
      <c r="AM326" s="99"/>
      <c r="AN326" s="99"/>
      <c r="AO326" s="99"/>
      <c r="AP326" s="99"/>
      <c r="AQ326" s="99"/>
      <c r="AR326" s="99"/>
      <c r="AS326" s="99"/>
      <c r="AT326" s="99"/>
      <c r="AU326" s="99"/>
      <c r="AV326" s="99"/>
      <c r="AW326" s="99"/>
      <c r="AX326" s="99"/>
      <c r="AY326" s="99"/>
      <c r="AZ326" s="99"/>
      <c r="BA326" s="99"/>
      <c r="BB326" s="99"/>
      <c r="BC326" s="99"/>
      <c r="BD326" s="99"/>
    </row>
    <row r="327" spans="1:56" x14ac:dyDescent="0.25">
      <c r="A327" s="37">
        <f>+'SALDOS INICIALES'!A11</f>
        <v>45810</v>
      </c>
      <c r="B327" s="38">
        <f>+'SALDOS INICIALES'!B11</f>
        <v>49</v>
      </c>
      <c r="C327" s="38" t="str">
        <f>+'SALDOS INICIALES'!C11</f>
        <v xml:space="preserve">REY LEOPOLDO CHAVEZ SILVA </v>
      </c>
      <c r="D327" s="38" t="str">
        <f>+'SALDOS INICIALES'!D11</f>
        <v xml:space="preserve">COMEDOR </v>
      </c>
      <c r="E327" s="100"/>
      <c r="F327" s="100"/>
      <c r="G327" s="99"/>
      <c r="H327" s="101"/>
      <c r="I327" s="102"/>
      <c r="J327" s="103"/>
      <c r="K327" s="99"/>
      <c r="L327" s="99"/>
      <c r="M327" s="99"/>
      <c r="N327" s="99"/>
      <c r="O327" s="99"/>
      <c r="P327" s="99"/>
      <c r="Q327" s="99"/>
      <c r="R327" s="99"/>
      <c r="S327" s="99"/>
      <c r="T327" s="99"/>
      <c r="U327" s="99"/>
      <c r="V327" s="99"/>
      <c r="W327" s="99"/>
      <c r="X327" s="99"/>
      <c r="Y327" s="99"/>
      <c r="Z327" s="99"/>
      <c r="AA327" s="99"/>
      <c r="AB327" s="99"/>
      <c r="AC327" s="99"/>
      <c r="AD327" s="99"/>
      <c r="AE327" s="99"/>
      <c r="AF327" s="99"/>
      <c r="AG327" s="99"/>
      <c r="AH327" s="99"/>
      <c r="AI327" s="99"/>
      <c r="AJ327" s="99"/>
      <c r="AK327" s="99"/>
      <c r="AL327" s="99"/>
      <c r="AM327" s="99"/>
      <c r="AN327" s="99"/>
      <c r="AO327" s="99"/>
      <c r="AP327" s="99"/>
      <c r="AQ327" s="99"/>
      <c r="AR327" s="99"/>
      <c r="AS327" s="99"/>
      <c r="AT327" s="99"/>
      <c r="AU327" s="99"/>
      <c r="AV327" s="99"/>
      <c r="AW327" s="99"/>
      <c r="AX327" s="99"/>
      <c r="AY327" s="99"/>
      <c r="AZ327" s="99"/>
      <c r="BA327" s="99"/>
      <c r="BB327" s="99"/>
      <c r="BC327" s="99"/>
      <c r="BD327" s="99"/>
    </row>
    <row r="328" spans="1:56" x14ac:dyDescent="0.25">
      <c r="A328" s="37">
        <f>+'SALDOS INICIALES'!A12</f>
        <v>45957</v>
      </c>
      <c r="B328" s="38">
        <f>+'SALDOS INICIALES'!B12</f>
        <v>110</v>
      </c>
      <c r="C328" s="38" t="str">
        <f>+'SALDOS INICIALES'!C12</f>
        <v xml:space="preserve">AVELINO REYES Ruiz </v>
      </c>
      <c r="D328" s="38" t="str">
        <f>+'SALDOS INICIALES'!D12</f>
        <v xml:space="preserve">COMEDOR </v>
      </c>
      <c r="E328" s="100"/>
      <c r="F328" s="100"/>
      <c r="G328" s="99"/>
      <c r="H328" s="101"/>
      <c r="I328" s="102"/>
      <c r="J328" s="103"/>
      <c r="K328" s="99"/>
      <c r="L328" s="99"/>
      <c r="M328" s="99"/>
      <c r="N328" s="99"/>
      <c r="O328" s="99"/>
      <c r="P328" s="99"/>
      <c r="Q328" s="99"/>
      <c r="R328" s="99"/>
      <c r="S328" s="99"/>
      <c r="T328" s="99"/>
      <c r="U328" s="99"/>
      <c r="V328" s="99"/>
      <c r="W328" s="99"/>
      <c r="X328" s="99"/>
      <c r="Y328" s="99"/>
      <c r="Z328" s="99"/>
      <c r="AA328" s="99"/>
      <c r="AB328" s="99"/>
      <c r="AC328" s="99"/>
      <c r="AD328" s="99"/>
      <c r="AE328" s="99"/>
      <c r="AF328" s="99"/>
      <c r="AG328" s="99"/>
      <c r="AH328" s="99"/>
      <c r="AI328" s="99"/>
      <c r="AJ328" s="99"/>
      <c r="AK328" s="99"/>
      <c r="AL328" s="99"/>
      <c r="AM328" s="99"/>
      <c r="AN328" s="99"/>
      <c r="AO328" s="99"/>
      <c r="AP328" s="99"/>
      <c r="AQ328" s="99"/>
      <c r="AR328" s="99"/>
      <c r="AS328" s="99"/>
      <c r="AT328" s="99"/>
      <c r="AU328" s="99"/>
      <c r="AV328" s="99"/>
      <c r="AW328" s="99"/>
      <c r="AX328" s="99"/>
      <c r="AY328" s="99"/>
      <c r="AZ328" s="99"/>
      <c r="BA328" s="99"/>
      <c r="BB328" s="99"/>
      <c r="BC328" s="99"/>
      <c r="BD328" s="99"/>
    </row>
    <row r="329" spans="1:56" x14ac:dyDescent="0.25">
      <c r="A329" s="37">
        <f>+'SALDOS INICIALES'!A13</f>
        <v>45971</v>
      </c>
      <c r="B329" s="38">
        <f>+'SALDOS INICIALES'!B13</f>
        <v>129</v>
      </c>
      <c r="C329" s="38" t="str">
        <f>+'SALDOS INICIALES'!C13</f>
        <v>REYES ENRÍQUEZ GARCÍA</v>
      </c>
      <c r="D329" s="38" t="str">
        <f>+'SALDOS INICIALES'!D13</f>
        <v xml:space="preserve">COCINA </v>
      </c>
      <c r="E329" s="100"/>
      <c r="F329" s="100"/>
      <c r="G329" s="99"/>
      <c r="H329" s="101"/>
      <c r="I329" s="102"/>
      <c r="J329" s="103"/>
      <c r="K329" s="99"/>
      <c r="L329" s="99"/>
      <c r="M329" s="99"/>
      <c r="N329" s="99"/>
      <c r="O329" s="99"/>
      <c r="P329" s="99"/>
      <c r="Q329" s="99"/>
      <c r="R329" s="99"/>
      <c r="S329" s="99"/>
      <c r="T329" s="99"/>
      <c r="U329" s="99"/>
      <c r="V329" s="99"/>
      <c r="W329" s="99"/>
      <c r="X329" s="99"/>
      <c r="Y329" s="99"/>
      <c r="Z329" s="99"/>
      <c r="AA329" s="99"/>
      <c r="AB329" s="99"/>
      <c r="AC329" s="99"/>
      <c r="AD329" s="99"/>
      <c r="AE329" s="99"/>
      <c r="AF329" s="99"/>
      <c r="AG329" s="99"/>
      <c r="AH329" s="99"/>
      <c r="AI329" s="99"/>
      <c r="AJ329" s="99"/>
      <c r="AK329" s="99"/>
      <c r="AL329" s="99"/>
      <c r="AM329" s="99"/>
      <c r="AN329" s="99"/>
      <c r="AO329" s="99"/>
      <c r="AP329" s="99"/>
      <c r="AQ329" s="99"/>
      <c r="AR329" s="99"/>
      <c r="AS329" s="99"/>
      <c r="AT329" s="99"/>
      <c r="AU329" s="99"/>
      <c r="AV329" s="99"/>
      <c r="AW329" s="99"/>
      <c r="AX329" s="99"/>
      <c r="AY329" s="99"/>
      <c r="AZ329" s="99"/>
      <c r="BA329" s="99"/>
      <c r="BB329" s="99"/>
      <c r="BC329" s="99"/>
      <c r="BD329" s="99"/>
    </row>
    <row r="330" spans="1:56" x14ac:dyDescent="0.25">
      <c r="A330" s="37">
        <f>+'SALDOS INICIALES'!A14</f>
        <v>45992</v>
      </c>
      <c r="B330" s="38">
        <f>+'SALDOS INICIALES'!B14</f>
        <v>221</v>
      </c>
      <c r="C330" s="38" t="str">
        <f>+'SALDOS INICIALES'!C14</f>
        <v>JOSÉ JULIO TAPIA CABRERA</v>
      </c>
      <c r="D330" s="38" t="str">
        <f>+'SALDOS INICIALES'!D14</f>
        <v xml:space="preserve">COCINA </v>
      </c>
      <c r="E330" s="100"/>
      <c r="F330" s="100"/>
      <c r="G330" s="99"/>
      <c r="H330" s="101"/>
      <c r="I330" s="102"/>
      <c r="J330" s="103"/>
      <c r="K330" s="99"/>
      <c r="L330" s="99"/>
      <c r="M330" s="99"/>
      <c r="N330" s="99"/>
      <c r="O330" s="99"/>
      <c r="P330" s="99"/>
      <c r="Q330" s="99"/>
      <c r="R330" s="99"/>
      <c r="S330" s="99"/>
      <c r="T330" s="99"/>
      <c r="U330" s="99"/>
      <c r="V330" s="99"/>
      <c r="W330" s="99"/>
      <c r="X330" s="99"/>
      <c r="Y330" s="99"/>
      <c r="Z330" s="99"/>
      <c r="AA330" s="99"/>
      <c r="AB330" s="99"/>
      <c r="AC330" s="99"/>
      <c r="AD330" s="99"/>
      <c r="AE330" s="99"/>
      <c r="AF330" s="99"/>
      <c r="AG330" s="99"/>
      <c r="AH330" s="99"/>
      <c r="AI330" s="99"/>
      <c r="AJ330" s="99"/>
      <c r="AK330" s="99"/>
      <c r="AL330" s="99"/>
      <c r="AM330" s="99"/>
      <c r="AN330" s="99"/>
      <c r="AO330" s="99"/>
      <c r="AP330" s="99"/>
      <c r="AQ330" s="99"/>
      <c r="AR330" s="99"/>
      <c r="AS330" s="99"/>
      <c r="AT330" s="99"/>
      <c r="AU330" s="99"/>
      <c r="AV330" s="99"/>
      <c r="AW330" s="99"/>
      <c r="AX330" s="99"/>
      <c r="AY330" s="99"/>
      <c r="AZ330" s="99"/>
      <c r="BA330" s="99"/>
      <c r="BB330" s="99"/>
      <c r="BC330" s="99"/>
      <c r="BD330" s="99"/>
    </row>
    <row r="331" spans="1:56" x14ac:dyDescent="0.25">
      <c r="A331" s="37">
        <f>+'SALDOS INICIALES'!A15</f>
        <v>45985</v>
      </c>
      <c r="B331" s="38">
        <f>+'SALDOS INICIALES'!B15</f>
        <v>296</v>
      </c>
      <c r="C331" s="38" t="str">
        <f>+'SALDOS INICIALES'!C15</f>
        <v>ALBERTO PORTILLO FÉLIX</v>
      </c>
      <c r="D331" s="38" t="str">
        <f>+'SALDOS INICIALES'!D15</f>
        <v xml:space="preserve">COMEDOR </v>
      </c>
      <c r="E331" s="100"/>
      <c r="F331" s="100"/>
      <c r="G331" s="99"/>
      <c r="H331" s="101"/>
      <c r="I331" s="102"/>
      <c r="J331" s="103"/>
      <c r="K331" s="99"/>
      <c r="L331" s="99"/>
      <c r="M331" s="99"/>
      <c r="N331" s="99"/>
      <c r="O331" s="99"/>
      <c r="P331" s="99"/>
      <c r="Q331" s="99"/>
      <c r="R331" s="99"/>
      <c r="S331" s="99"/>
      <c r="T331" s="99"/>
      <c r="U331" s="99"/>
      <c r="V331" s="99"/>
      <c r="W331" s="99"/>
      <c r="X331" s="99"/>
      <c r="Y331" s="99"/>
      <c r="Z331" s="99"/>
      <c r="AA331" s="99"/>
      <c r="AB331" s="99"/>
      <c r="AC331" s="99"/>
      <c r="AD331" s="99"/>
      <c r="AE331" s="99"/>
      <c r="AF331" s="99"/>
      <c r="AG331" s="99"/>
      <c r="AH331" s="99"/>
      <c r="AI331" s="99"/>
      <c r="AJ331" s="99"/>
      <c r="AK331" s="99"/>
      <c r="AL331" s="99"/>
      <c r="AM331" s="99"/>
      <c r="AN331" s="99"/>
      <c r="AO331" s="99"/>
      <c r="AP331" s="99"/>
      <c r="AQ331" s="99"/>
      <c r="AR331" s="99"/>
      <c r="AS331" s="99"/>
      <c r="AT331" s="99"/>
      <c r="AU331" s="99"/>
      <c r="AV331" s="99"/>
      <c r="AW331" s="99"/>
      <c r="AX331" s="99"/>
      <c r="AY331" s="99"/>
      <c r="AZ331" s="99"/>
      <c r="BA331" s="99"/>
      <c r="BB331" s="99"/>
      <c r="BC331" s="99"/>
      <c r="BD331" s="99"/>
    </row>
    <row r="332" spans="1:56" x14ac:dyDescent="0.25">
      <c r="A332" s="89"/>
      <c r="B332" s="90"/>
      <c r="C332" s="90"/>
      <c r="D332" s="90"/>
      <c r="E332" s="90"/>
      <c r="F332" s="92"/>
      <c r="G332" s="91"/>
      <c r="H332" s="93"/>
      <c r="I332" s="94"/>
      <c r="J332" s="95"/>
    </row>
    <row r="333" spans="1:56" x14ac:dyDescent="0.25">
      <c r="A333" s="37"/>
      <c r="B333" s="52"/>
      <c r="C333" s="52"/>
      <c r="D333" s="52"/>
      <c r="E333" s="52"/>
      <c r="F333" s="68"/>
      <c r="G333" s="45"/>
      <c r="H333" s="43"/>
      <c r="I333" s="41"/>
      <c r="J333" s="42"/>
    </row>
    <row r="334" spans="1:56" x14ac:dyDescent="0.25">
      <c r="A334" s="37"/>
      <c r="B334" s="52"/>
      <c r="C334" s="52"/>
      <c r="D334" s="52"/>
      <c r="E334" s="52"/>
      <c r="F334" s="68"/>
      <c r="G334" s="45"/>
      <c r="H334" s="43"/>
      <c r="I334" s="41"/>
      <c r="J334" s="42"/>
    </row>
    <row r="335" spans="1:56" x14ac:dyDescent="0.25">
      <c r="A335" s="37"/>
      <c r="B335" s="52"/>
      <c r="C335" s="52"/>
      <c r="D335" s="52"/>
      <c r="E335" s="52"/>
      <c r="F335" s="68"/>
      <c r="G335" s="45"/>
      <c r="H335" s="43"/>
      <c r="I335" s="41"/>
      <c r="J335" s="42"/>
    </row>
    <row r="336" spans="1:56" x14ac:dyDescent="0.25">
      <c r="A336" s="37"/>
      <c r="B336" s="52"/>
      <c r="C336" s="52"/>
      <c r="D336" s="52"/>
      <c r="E336" s="52"/>
      <c r="F336" s="68"/>
      <c r="G336" s="45"/>
      <c r="H336" s="43"/>
      <c r="I336" s="41"/>
      <c r="J336" s="42"/>
    </row>
    <row r="337" spans="1:10" x14ac:dyDescent="0.25">
      <c r="A337" s="37"/>
      <c r="B337" s="52"/>
      <c r="C337" s="52"/>
      <c r="D337" s="52"/>
      <c r="E337" s="52"/>
      <c r="F337" s="68"/>
      <c r="G337" s="45"/>
      <c r="H337" s="43"/>
      <c r="I337" s="41"/>
      <c r="J337" s="42"/>
    </row>
    <row r="338" spans="1:10" x14ac:dyDescent="0.25">
      <c r="A338" s="37"/>
      <c r="B338" s="52"/>
      <c r="C338" s="52"/>
      <c r="D338" s="52"/>
      <c r="E338" s="52"/>
      <c r="F338" s="68"/>
      <c r="G338" s="45"/>
      <c r="H338" s="43"/>
      <c r="I338" s="41"/>
      <c r="J338" s="42"/>
    </row>
    <row r="339" spans="1:10" x14ac:dyDescent="0.25">
      <c r="A339" s="37"/>
      <c r="B339" s="52"/>
      <c r="C339" s="52"/>
      <c r="D339" s="52"/>
      <c r="E339" s="52"/>
      <c r="F339" s="68"/>
      <c r="G339" s="45"/>
      <c r="H339" s="43"/>
      <c r="I339" s="41"/>
      <c r="J339" s="42"/>
    </row>
    <row r="340" spans="1:10" x14ac:dyDescent="0.25">
      <c r="A340" s="37"/>
      <c r="B340" s="52"/>
      <c r="C340" s="52"/>
      <c r="D340" s="52"/>
      <c r="E340" s="52"/>
      <c r="F340" s="68"/>
      <c r="G340" s="45"/>
      <c r="H340" s="43"/>
      <c r="I340" s="41"/>
      <c r="J340" s="42"/>
    </row>
    <row r="341" spans="1:10" x14ac:dyDescent="0.25">
      <c r="A341" s="37"/>
      <c r="B341" s="52"/>
      <c r="C341" s="52"/>
      <c r="D341" s="52"/>
      <c r="E341" s="52"/>
      <c r="F341" s="68"/>
      <c r="G341" s="45"/>
      <c r="H341" s="43"/>
      <c r="I341" s="41"/>
      <c r="J341" s="42"/>
    </row>
    <row r="342" spans="1:10" x14ac:dyDescent="0.25">
      <c r="A342" s="37"/>
      <c r="B342" s="52"/>
      <c r="C342" s="52"/>
      <c r="D342" s="52"/>
      <c r="E342" s="52"/>
      <c r="F342" s="68"/>
      <c r="G342" s="45"/>
      <c r="H342" s="43"/>
      <c r="I342" s="41"/>
      <c r="J342" s="42"/>
    </row>
    <row r="343" spans="1:10" x14ac:dyDescent="0.25">
      <c r="A343" s="37"/>
      <c r="B343" s="52"/>
      <c r="C343" s="52"/>
      <c r="D343" s="52"/>
      <c r="E343" s="52"/>
      <c r="F343" s="68"/>
      <c r="G343" s="45"/>
      <c r="H343" s="43"/>
      <c r="I343" s="41"/>
      <c r="J343" s="42"/>
    </row>
    <row r="344" spans="1:10" x14ac:dyDescent="0.25">
      <c r="A344" s="37"/>
      <c r="B344" s="52"/>
      <c r="C344" s="52"/>
      <c r="D344" s="52"/>
      <c r="E344" s="52"/>
      <c r="F344" s="68"/>
      <c r="G344" s="45"/>
      <c r="H344" s="43"/>
      <c r="I344" s="41"/>
      <c r="J344" s="42"/>
    </row>
    <row r="345" spans="1:10" x14ac:dyDescent="0.25">
      <c r="A345" s="37"/>
      <c r="B345" s="52"/>
      <c r="C345" s="52"/>
      <c r="D345" s="52"/>
      <c r="E345" s="52"/>
      <c r="F345" s="68"/>
      <c r="G345" s="45"/>
      <c r="H345" s="43"/>
      <c r="I345" s="41"/>
      <c r="J345" s="42"/>
    </row>
    <row r="346" spans="1:10" x14ac:dyDescent="0.25">
      <c r="A346" s="37"/>
      <c r="B346" s="52"/>
      <c r="C346" s="52"/>
      <c r="D346" s="52"/>
      <c r="E346" s="52"/>
      <c r="F346" s="68"/>
      <c r="G346" s="45"/>
      <c r="H346" s="43"/>
      <c r="I346" s="41"/>
      <c r="J346" s="42"/>
    </row>
    <row r="347" spans="1:10" x14ac:dyDescent="0.25">
      <c r="A347" s="37"/>
      <c r="B347" s="52"/>
      <c r="C347" s="52"/>
      <c r="D347" s="52"/>
      <c r="E347" s="52"/>
      <c r="F347" s="68"/>
      <c r="G347" s="45"/>
      <c r="H347" s="43"/>
      <c r="I347" s="41"/>
      <c r="J347" s="42"/>
    </row>
    <row r="348" spans="1:10" x14ac:dyDescent="0.25">
      <c r="A348" s="37"/>
      <c r="B348" s="52"/>
      <c r="C348" s="52"/>
      <c r="D348" s="52"/>
      <c r="E348" s="52"/>
      <c r="F348" s="68"/>
      <c r="G348" s="45"/>
      <c r="H348" s="43"/>
      <c r="I348" s="41"/>
      <c r="J348" s="42"/>
    </row>
    <row r="349" spans="1:10" x14ac:dyDescent="0.25">
      <c r="A349" s="37"/>
      <c r="B349" s="52"/>
      <c r="C349" s="52"/>
      <c r="D349" s="52"/>
      <c r="E349" s="52"/>
      <c r="F349" s="68"/>
      <c r="G349" s="45"/>
      <c r="H349" s="43"/>
      <c r="I349" s="41"/>
      <c r="J349" s="42"/>
    </row>
    <row r="350" spans="1:10" x14ac:dyDescent="0.25">
      <c r="A350" s="37"/>
      <c r="B350" s="52"/>
      <c r="C350" s="52"/>
      <c r="D350" s="52"/>
      <c r="E350" s="52"/>
      <c r="F350" s="68"/>
      <c r="G350" s="45"/>
      <c r="H350" s="43"/>
      <c r="I350" s="41"/>
      <c r="J350" s="42"/>
    </row>
    <row r="351" spans="1:10" x14ac:dyDescent="0.25">
      <c r="A351" s="37"/>
      <c r="B351" s="52"/>
      <c r="C351" s="52"/>
      <c r="D351" s="52"/>
      <c r="E351" s="52"/>
      <c r="F351" s="68"/>
      <c r="G351" s="45"/>
      <c r="H351" s="43"/>
      <c r="I351" s="41"/>
      <c r="J351" s="42"/>
    </row>
    <row r="352" spans="1:10" x14ac:dyDescent="0.25">
      <c r="A352" s="37"/>
      <c r="B352" s="52"/>
      <c r="C352" s="52"/>
      <c r="D352" s="52"/>
      <c r="E352" s="52"/>
      <c r="F352" s="68"/>
      <c r="G352" s="45"/>
      <c r="H352" s="43"/>
      <c r="I352" s="41"/>
      <c r="J352" s="42"/>
    </row>
    <row r="353" spans="1:10" x14ac:dyDescent="0.25">
      <c r="A353" s="37"/>
      <c r="B353" s="52"/>
      <c r="C353" s="52"/>
      <c r="D353" s="52"/>
      <c r="E353" s="52"/>
      <c r="F353" s="68"/>
      <c r="G353" s="45"/>
      <c r="H353" s="43"/>
      <c r="I353" s="41"/>
      <c r="J353" s="42"/>
    </row>
    <row r="354" spans="1:10" x14ac:dyDescent="0.25">
      <c r="A354" s="37"/>
      <c r="B354" s="52"/>
      <c r="C354" s="52"/>
      <c r="D354" s="52"/>
      <c r="E354" s="52"/>
      <c r="F354" s="68"/>
      <c r="G354" s="45"/>
      <c r="H354" s="43"/>
      <c r="I354" s="41"/>
      <c r="J354" s="42"/>
    </row>
    <row r="355" spans="1:10" x14ac:dyDescent="0.25">
      <c r="A355" s="37"/>
      <c r="B355" s="52"/>
      <c r="C355" s="52"/>
      <c r="D355" s="52"/>
      <c r="E355" s="52"/>
      <c r="F355" s="68"/>
      <c r="G355" s="45"/>
      <c r="H355" s="43"/>
      <c r="I355" s="41"/>
      <c r="J355" s="42"/>
    </row>
    <row r="356" spans="1:10" x14ac:dyDescent="0.25">
      <c r="A356" s="37"/>
      <c r="B356" s="52"/>
      <c r="C356" s="52"/>
      <c r="D356" s="52"/>
      <c r="E356" s="52"/>
      <c r="F356" s="68"/>
      <c r="G356" s="45"/>
      <c r="H356" s="43"/>
      <c r="I356" s="41"/>
      <c r="J356" s="42"/>
    </row>
    <row r="357" spans="1:10" x14ac:dyDescent="0.25">
      <c r="A357" s="37"/>
      <c r="B357" s="52"/>
      <c r="C357" s="52"/>
      <c r="D357" s="52"/>
      <c r="E357" s="52"/>
      <c r="F357" s="68"/>
      <c r="G357" s="45"/>
      <c r="H357" s="43"/>
      <c r="I357" s="41"/>
      <c r="J357" s="42"/>
    </row>
    <row r="358" spans="1:10" x14ac:dyDescent="0.25">
      <c r="A358" s="37"/>
      <c r="B358" s="52"/>
      <c r="C358" s="52"/>
      <c r="D358" s="52"/>
      <c r="E358" s="52"/>
      <c r="F358" s="68"/>
      <c r="G358" s="45"/>
      <c r="H358" s="43"/>
      <c r="I358" s="41"/>
      <c r="J358" s="42"/>
    </row>
    <row r="359" spans="1:10" x14ac:dyDescent="0.25">
      <c r="A359" s="37"/>
      <c r="B359" s="52"/>
      <c r="C359" s="52"/>
      <c r="D359" s="52"/>
      <c r="E359" s="52"/>
      <c r="F359" s="68"/>
      <c r="G359" s="45"/>
      <c r="H359" s="43"/>
      <c r="I359" s="41"/>
      <c r="J359" s="42"/>
    </row>
    <row r="360" spans="1:10" x14ac:dyDescent="0.25">
      <c r="A360" s="37"/>
      <c r="B360" s="52"/>
      <c r="C360" s="52"/>
      <c r="D360" s="52"/>
      <c r="E360" s="52"/>
      <c r="F360" s="68"/>
      <c r="G360" s="45"/>
      <c r="H360" s="43"/>
      <c r="I360" s="41"/>
      <c r="J360" s="42"/>
    </row>
    <row r="361" spans="1:10" x14ac:dyDescent="0.25">
      <c r="A361" s="37"/>
      <c r="B361" s="52"/>
      <c r="C361" s="52"/>
      <c r="D361" s="52"/>
      <c r="E361" s="52"/>
      <c r="F361" s="68"/>
      <c r="G361" s="45"/>
      <c r="H361" s="43"/>
      <c r="I361" s="41"/>
      <c r="J361" s="42"/>
    </row>
    <row r="362" spans="1:10" x14ac:dyDescent="0.25">
      <c r="A362" s="37"/>
      <c r="B362" s="52"/>
      <c r="C362" s="52"/>
      <c r="D362" s="52"/>
      <c r="E362" s="52"/>
      <c r="F362" s="68"/>
      <c r="G362" s="45"/>
      <c r="H362" s="43"/>
      <c r="I362" s="41"/>
      <c r="J362" s="42"/>
    </row>
    <row r="363" spans="1:10" x14ac:dyDescent="0.25">
      <c r="A363" s="37"/>
      <c r="B363" s="52"/>
      <c r="C363" s="52"/>
      <c r="D363" s="52"/>
      <c r="E363" s="52"/>
      <c r="F363" s="68"/>
      <c r="G363" s="45"/>
      <c r="H363" s="43"/>
      <c r="I363" s="41"/>
      <c r="J363" s="42"/>
    </row>
    <row r="364" spans="1:10" x14ac:dyDescent="0.25">
      <c r="A364" s="37"/>
      <c r="B364" s="52"/>
      <c r="C364" s="52"/>
      <c r="D364" s="52"/>
      <c r="E364" s="52"/>
      <c r="F364" s="68"/>
      <c r="G364" s="45"/>
      <c r="H364" s="43"/>
      <c r="I364" s="41"/>
      <c r="J364" s="42"/>
    </row>
    <row r="365" spans="1:10" x14ac:dyDescent="0.25">
      <c r="A365" s="37"/>
      <c r="B365" s="52"/>
      <c r="C365" s="52"/>
      <c r="D365" s="52"/>
      <c r="E365" s="52"/>
      <c r="F365" s="68"/>
      <c r="G365" s="45"/>
      <c r="H365" s="43"/>
      <c r="I365" s="41"/>
      <c r="J365" s="42"/>
    </row>
    <row r="366" spans="1:10" x14ac:dyDescent="0.25">
      <c r="A366" s="37"/>
      <c r="B366" s="52"/>
      <c r="C366" s="52"/>
      <c r="D366" s="52"/>
      <c r="E366" s="52"/>
      <c r="F366" s="68"/>
      <c r="G366" s="45"/>
      <c r="H366" s="43"/>
      <c r="I366" s="41"/>
      <c r="J366" s="42"/>
    </row>
    <row r="367" spans="1:10" x14ac:dyDescent="0.25">
      <c r="A367" s="37"/>
      <c r="B367" s="52"/>
      <c r="C367" s="52"/>
      <c r="D367" s="52"/>
      <c r="E367" s="52"/>
      <c r="F367" s="68"/>
      <c r="G367" s="45"/>
      <c r="H367" s="43"/>
      <c r="I367" s="41"/>
      <c r="J367" s="42"/>
    </row>
    <row r="368" spans="1:10" x14ac:dyDescent="0.25">
      <c r="A368" s="37"/>
      <c r="B368" s="52"/>
      <c r="C368" s="52"/>
      <c r="D368" s="52"/>
      <c r="E368" s="52"/>
      <c r="F368" s="68"/>
      <c r="G368" s="45"/>
      <c r="H368" s="43"/>
      <c r="I368" s="41"/>
      <c r="J368" s="42"/>
    </row>
    <row r="369" spans="1:10" x14ac:dyDescent="0.25">
      <c r="A369" s="37"/>
      <c r="B369" s="52"/>
      <c r="C369" s="52"/>
      <c r="D369" s="52"/>
      <c r="E369" s="52"/>
      <c r="F369" s="68"/>
      <c r="G369" s="45"/>
      <c r="H369" s="43"/>
      <c r="I369" s="41"/>
      <c r="J369" s="42"/>
    </row>
    <row r="370" spans="1:10" x14ac:dyDescent="0.25">
      <c r="A370" s="37"/>
      <c r="B370" s="52"/>
      <c r="C370" s="52"/>
      <c r="D370" s="52"/>
      <c r="E370" s="52"/>
      <c r="F370" s="68"/>
      <c r="G370" s="45"/>
      <c r="H370" s="43"/>
      <c r="I370" s="41"/>
      <c r="J370" s="42"/>
    </row>
    <row r="371" spans="1:10" x14ac:dyDescent="0.25">
      <c r="A371" s="37"/>
      <c r="B371" s="52"/>
      <c r="C371" s="52"/>
      <c r="D371" s="52"/>
      <c r="E371" s="52"/>
      <c r="F371" s="68"/>
      <c r="G371" s="45"/>
      <c r="H371" s="43"/>
      <c r="I371" s="41"/>
      <c r="J371" s="42"/>
    </row>
    <row r="372" spans="1:10" x14ac:dyDescent="0.25">
      <c r="A372" s="37"/>
      <c r="B372" s="52"/>
      <c r="C372" s="52"/>
      <c r="D372" s="52"/>
      <c r="E372" s="52"/>
      <c r="F372" s="68"/>
      <c r="G372" s="45"/>
      <c r="H372" s="43"/>
      <c r="I372" s="41"/>
      <c r="J372" s="42"/>
    </row>
    <row r="373" spans="1:10" x14ac:dyDescent="0.25">
      <c r="A373" s="37"/>
      <c r="B373" s="52"/>
      <c r="C373" s="52"/>
      <c r="D373" s="52"/>
      <c r="E373" s="52"/>
      <c r="F373" s="68"/>
      <c r="G373" s="45"/>
      <c r="H373" s="43"/>
      <c r="I373" s="41"/>
      <c r="J373" s="42"/>
    </row>
    <row r="374" spans="1:10" x14ac:dyDescent="0.25">
      <c r="A374" s="37"/>
      <c r="B374" s="52"/>
      <c r="C374" s="52"/>
      <c r="D374" s="52"/>
      <c r="E374" s="52"/>
      <c r="F374" s="68"/>
      <c r="G374" s="45"/>
      <c r="H374" s="43"/>
      <c r="I374" s="41"/>
      <c r="J374" s="42"/>
    </row>
  </sheetData>
  <sheetProtection algorithmName="SHA-512" hashValue="d2CMh+Trt4la9zE/Q0MfjUv6P8mCxJ7r6ok+5rWirk056OUqnhghy1GzjaTkfSgPoqZ5YZPMcO2DEatri/PMQA==" saltValue="YuYLQiDFV4atdFzn+6EoAQ==" spinCount="100000" sheet="1" formatCells="0" formatColumns="0" formatRows="0" insertColumns="0" insertRows="0" insertHyperlinks="0" deleteColumns="0" deleteRows="0" sort="0" autoFilter="0" pivotTables="0"/>
  <autoFilter ref="A8:BD8" xr:uid="{81332BD3-2AB9-4EB4-BF75-9DE5BF4DB7F8}"/>
  <dataConsolidate function="count">
    <dataRefs count="1">
      <dataRef ref="A9:A19" sheet="43 SEMANA "/>
    </dataRefs>
  </dataConsolidate>
  <mergeCells count="2">
    <mergeCell ref="A7:B7"/>
    <mergeCell ref="D2:I4"/>
  </mergeCells>
  <phoneticPr fontId="1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B179-F6BF-462E-992C-E99BE2AF5F42}">
  <sheetPr codeName="Hoja3">
    <tabColor rgb="FFCCCCFF"/>
  </sheetPr>
  <dimension ref="A1:AI55"/>
  <sheetViews>
    <sheetView topLeftCell="L1" zoomScaleNormal="100" workbookViewId="0">
      <selection activeCell="AH7" sqref="AH7"/>
    </sheetView>
  </sheetViews>
  <sheetFormatPr baseColWidth="10" defaultRowHeight="18.75" x14ac:dyDescent="0.3"/>
  <cols>
    <col min="1" max="1" width="4.7109375" style="112" customWidth="1"/>
    <col min="2" max="8" width="4.140625" style="112" bestFit="1" customWidth="1"/>
    <col min="9" max="9" width="3.140625" style="112" customWidth="1"/>
    <col min="10" max="16" width="4.140625" style="112" bestFit="1" customWidth="1"/>
    <col min="17" max="17" width="3.140625" style="112" customWidth="1"/>
    <col min="18" max="24" width="4.140625" style="112" bestFit="1" customWidth="1"/>
    <col min="25" max="25" width="4.7109375" style="112" customWidth="1"/>
    <col min="27" max="27" width="14.7109375" style="112" bestFit="1" customWidth="1"/>
    <col min="28" max="34" width="10.7109375" style="112" customWidth="1"/>
  </cols>
  <sheetData>
    <row r="1" spans="1:35" x14ac:dyDescent="0.3">
      <c r="A1" s="110"/>
      <c r="B1" s="294">
        <v>46023</v>
      </c>
      <c r="C1" s="294"/>
      <c r="D1" s="294"/>
      <c r="E1" s="294"/>
      <c r="F1" s="294"/>
      <c r="G1" s="294"/>
      <c r="H1" s="294"/>
      <c r="I1" s="294"/>
      <c r="J1" s="294"/>
      <c r="K1" s="294"/>
      <c r="L1" s="294"/>
      <c r="M1" s="294"/>
      <c r="N1" s="294"/>
      <c r="O1" s="294"/>
      <c r="P1" s="294"/>
      <c r="Q1" s="294"/>
      <c r="R1" s="294"/>
      <c r="S1" s="294"/>
      <c r="T1" s="294"/>
      <c r="U1" s="294"/>
      <c r="V1" s="294"/>
      <c r="W1" s="294"/>
      <c r="X1" s="294"/>
      <c r="Y1" s="111"/>
    </row>
    <row r="2" spans="1:35" ht="19.5" customHeight="1" x14ac:dyDescent="0.3">
      <c r="A2" s="110"/>
      <c r="B2" s="111"/>
      <c r="C2" s="111"/>
      <c r="D2" s="113"/>
      <c r="E2" s="113"/>
      <c r="F2" s="113"/>
      <c r="G2" s="113"/>
      <c r="H2" s="111"/>
      <c r="I2" s="114"/>
      <c r="J2" s="111"/>
      <c r="K2" s="111"/>
      <c r="L2" s="111"/>
      <c r="M2" s="111"/>
      <c r="N2" s="111"/>
      <c r="O2" s="111"/>
      <c r="P2" s="111"/>
      <c r="Q2" s="114"/>
      <c r="R2" s="111"/>
      <c r="S2" s="111"/>
      <c r="T2" s="111"/>
      <c r="U2" s="111"/>
      <c r="V2" s="111"/>
      <c r="W2" s="111"/>
      <c r="X2" s="111"/>
      <c r="Y2" s="111"/>
      <c r="AA2" s="137">
        <v>45292</v>
      </c>
      <c r="AB2" s="138" t="s">
        <v>47</v>
      </c>
      <c r="AC2" s="138" t="s">
        <v>41</v>
      </c>
      <c r="AD2" s="138" t="s">
        <v>42</v>
      </c>
      <c r="AE2" s="138" t="s">
        <v>43</v>
      </c>
      <c r="AF2" s="138" t="s">
        <v>44</v>
      </c>
      <c r="AG2" s="185" t="s">
        <v>45</v>
      </c>
      <c r="AH2" s="185" t="s">
        <v>46</v>
      </c>
    </row>
    <row r="3" spans="1:35" ht="19.5" customHeight="1" x14ac:dyDescent="0.25">
      <c r="A3" s="110"/>
      <c r="B3" s="295">
        <v>45292</v>
      </c>
      <c r="C3" s="295"/>
      <c r="D3" s="295"/>
      <c r="E3" s="295"/>
      <c r="F3" s="295"/>
      <c r="G3" s="295"/>
      <c r="H3" s="295"/>
      <c r="I3" s="110"/>
      <c r="J3" s="295">
        <v>45323</v>
      </c>
      <c r="K3" s="295"/>
      <c r="L3" s="295"/>
      <c r="M3" s="295"/>
      <c r="N3" s="295"/>
      <c r="O3" s="295"/>
      <c r="P3" s="295"/>
      <c r="Q3" s="110"/>
      <c r="R3" s="295">
        <v>45352</v>
      </c>
      <c r="S3" s="295"/>
      <c r="T3" s="295"/>
      <c r="U3" s="295"/>
      <c r="V3" s="295"/>
      <c r="W3" s="295"/>
      <c r="X3" s="295"/>
      <c r="Y3" s="115"/>
      <c r="AA3" s="140" t="s">
        <v>125</v>
      </c>
      <c r="AB3" s="141"/>
      <c r="AC3" s="141"/>
      <c r="AD3" s="141"/>
      <c r="AE3" s="141">
        <v>45658</v>
      </c>
      <c r="AF3" s="141">
        <v>45659</v>
      </c>
      <c r="AG3" s="141">
        <v>45660</v>
      </c>
      <c r="AH3" s="141">
        <v>45661</v>
      </c>
    </row>
    <row r="4" spans="1:35" ht="19.5" customHeight="1" x14ac:dyDescent="0.25">
      <c r="A4" s="110"/>
      <c r="B4" s="179" t="s">
        <v>47</v>
      </c>
      <c r="C4" s="179" t="s">
        <v>41</v>
      </c>
      <c r="D4" s="179" t="s">
        <v>42</v>
      </c>
      <c r="E4" s="179" t="s">
        <v>43</v>
      </c>
      <c r="F4" s="179" t="s">
        <v>44</v>
      </c>
      <c r="G4" s="179" t="s">
        <v>45</v>
      </c>
      <c r="H4" s="179" t="s">
        <v>46</v>
      </c>
      <c r="I4" s="110"/>
      <c r="J4" s="179" t="s">
        <v>47</v>
      </c>
      <c r="K4" s="179" t="s">
        <v>41</v>
      </c>
      <c r="L4" s="179" t="s">
        <v>42</v>
      </c>
      <c r="M4" s="179" t="s">
        <v>43</v>
      </c>
      <c r="N4" s="179" t="s">
        <v>44</v>
      </c>
      <c r="O4" s="179" t="s">
        <v>45</v>
      </c>
      <c r="P4" s="179" t="s">
        <v>46</v>
      </c>
      <c r="Q4" s="110"/>
      <c r="R4" s="179" t="s">
        <v>47</v>
      </c>
      <c r="S4" s="179" t="s">
        <v>41</v>
      </c>
      <c r="T4" s="179" t="s">
        <v>42</v>
      </c>
      <c r="U4" s="179" t="s">
        <v>43</v>
      </c>
      <c r="V4" s="179" t="s">
        <v>44</v>
      </c>
      <c r="W4" s="179" t="s">
        <v>45</v>
      </c>
      <c r="X4" s="179" t="s">
        <v>46</v>
      </c>
      <c r="Y4" s="115"/>
      <c r="AA4" s="140" t="s">
        <v>126</v>
      </c>
      <c r="AB4" s="141">
        <v>45662</v>
      </c>
      <c r="AC4" s="141">
        <v>45663</v>
      </c>
      <c r="AD4" s="141">
        <v>45664</v>
      </c>
      <c r="AE4" s="141">
        <v>45665</v>
      </c>
      <c r="AF4" s="141">
        <v>45666</v>
      </c>
      <c r="AG4" s="141">
        <v>45667</v>
      </c>
      <c r="AH4" s="141">
        <v>45668</v>
      </c>
      <c r="AI4" s="183"/>
    </row>
    <row r="5" spans="1:35" ht="19.5" customHeight="1" x14ac:dyDescent="0.25">
      <c r="A5" s="110"/>
      <c r="B5" s="180">
        <v>29</v>
      </c>
      <c r="C5" s="180">
        <v>30</v>
      </c>
      <c r="D5" s="180">
        <v>31</v>
      </c>
      <c r="E5" s="181">
        <v>1</v>
      </c>
      <c r="F5" s="181">
        <v>2</v>
      </c>
      <c r="G5" s="181">
        <v>3</v>
      </c>
      <c r="H5" s="181">
        <v>4</v>
      </c>
      <c r="I5" s="110"/>
      <c r="J5" s="180">
        <v>26</v>
      </c>
      <c r="K5" s="180">
        <v>27</v>
      </c>
      <c r="L5" s="180">
        <v>28</v>
      </c>
      <c r="M5" s="180">
        <v>29</v>
      </c>
      <c r="N5" s="180">
        <v>30</v>
      </c>
      <c r="O5" s="180">
        <v>31</v>
      </c>
      <c r="P5" s="181">
        <v>1</v>
      </c>
      <c r="Q5" s="110"/>
      <c r="R5" s="180">
        <v>3</v>
      </c>
      <c r="S5" s="180">
        <v>24</v>
      </c>
      <c r="T5" s="180">
        <v>25</v>
      </c>
      <c r="U5" s="180">
        <v>26</v>
      </c>
      <c r="V5" s="180">
        <v>27</v>
      </c>
      <c r="W5" s="180">
        <v>28</v>
      </c>
      <c r="X5" s="181">
        <v>1</v>
      </c>
      <c r="Y5" s="115"/>
      <c r="AA5" s="140" t="s">
        <v>127</v>
      </c>
      <c r="AB5" s="141">
        <v>45669</v>
      </c>
      <c r="AC5" s="141">
        <v>45670</v>
      </c>
      <c r="AD5" s="141">
        <v>45671</v>
      </c>
      <c r="AE5" s="141">
        <v>45672</v>
      </c>
      <c r="AF5" s="141">
        <v>45673</v>
      </c>
      <c r="AG5" s="141">
        <v>45674</v>
      </c>
      <c r="AH5" s="141">
        <v>45675</v>
      </c>
      <c r="AI5" s="183"/>
    </row>
    <row r="6" spans="1:35" ht="19.5" customHeight="1" x14ac:dyDescent="0.25">
      <c r="A6" s="110"/>
      <c r="B6" s="181">
        <v>5</v>
      </c>
      <c r="C6" s="181">
        <v>6</v>
      </c>
      <c r="D6" s="181">
        <v>7</v>
      </c>
      <c r="E6" s="181">
        <v>8</v>
      </c>
      <c r="F6" s="181">
        <v>9</v>
      </c>
      <c r="G6" s="181">
        <v>10</v>
      </c>
      <c r="H6" s="181">
        <v>11</v>
      </c>
      <c r="I6" s="110"/>
      <c r="J6" s="181">
        <v>2</v>
      </c>
      <c r="K6" s="181">
        <v>3</v>
      </c>
      <c r="L6" s="181">
        <v>4</v>
      </c>
      <c r="M6" s="181">
        <v>5</v>
      </c>
      <c r="N6" s="181">
        <v>6</v>
      </c>
      <c r="O6" s="181">
        <v>7</v>
      </c>
      <c r="P6" s="181">
        <v>8</v>
      </c>
      <c r="Q6" s="110"/>
      <c r="R6" s="181">
        <v>2</v>
      </c>
      <c r="S6" s="181">
        <v>3</v>
      </c>
      <c r="T6" s="181">
        <v>4</v>
      </c>
      <c r="U6" s="181">
        <v>5</v>
      </c>
      <c r="V6" s="181">
        <v>6</v>
      </c>
      <c r="W6" s="181">
        <v>7</v>
      </c>
      <c r="X6" s="181">
        <v>8</v>
      </c>
      <c r="Y6" s="115"/>
      <c r="AA6" s="140" t="s">
        <v>128</v>
      </c>
      <c r="AB6" s="141">
        <v>45676</v>
      </c>
      <c r="AC6" s="141">
        <v>45677</v>
      </c>
      <c r="AD6" s="141">
        <v>45678</v>
      </c>
      <c r="AE6" s="141">
        <v>45679</v>
      </c>
      <c r="AF6" s="141">
        <v>45680</v>
      </c>
      <c r="AG6" s="141">
        <v>45681</v>
      </c>
      <c r="AH6" s="141">
        <v>45682</v>
      </c>
      <c r="AI6" s="183"/>
    </row>
    <row r="7" spans="1:35" ht="19.5" customHeight="1" x14ac:dyDescent="0.25">
      <c r="A7" s="110"/>
      <c r="B7" s="181">
        <v>12</v>
      </c>
      <c r="C7" s="181">
        <v>13</v>
      </c>
      <c r="D7" s="181">
        <v>14</v>
      </c>
      <c r="E7" s="181">
        <v>15</v>
      </c>
      <c r="F7" s="181">
        <v>16</v>
      </c>
      <c r="G7" s="181">
        <v>17</v>
      </c>
      <c r="H7" s="181">
        <v>18</v>
      </c>
      <c r="I7" s="110"/>
      <c r="J7" s="181">
        <v>9</v>
      </c>
      <c r="K7" s="181">
        <v>10</v>
      </c>
      <c r="L7" s="181">
        <v>11</v>
      </c>
      <c r="M7" s="181">
        <v>12</v>
      </c>
      <c r="N7" s="181">
        <v>13</v>
      </c>
      <c r="O7" s="181">
        <v>14</v>
      </c>
      <c r="P7" s="181">
        <v>15</v>
      </c>
      <c r="Q7" s="110"/>
      <c r="R7" s="181">
        <v>9</v>
      </c>
      <c r="S7" s="181">
        <v>10</v>
      </c>
      <c r="T7" s="181">
        <v>11</v>
      </c>
      <c r="U7" s="181">
        <v>12</v>
      </c>
      <c r="V7" s="181">
        <v>13</v>
      </c>
      <c r="W7" s="181">
        <v>14</v>
      </c>
      <c r="X7" s="181">
        <v>15</v>
      </c>
      <c r="Y7" s="115"/>
      <c r="AA7" s="140" t="s">
        <v>129</v>
      </c>
      <c r="AB7" s="141" t="s">
        <v>180</v>
      </c>
      <c r="AC7" s="141" t="s">
        <v>181</v>
      </c>
      <c r="AD7" s="141" t="s">
        <v>182</v>
      </c>
      <c r="AE7" s="141" t="s">
        <v>183</v>
      </c>
      <c r="AF7" s="141" t="s">
        <v>184</v>
      </c>
      <c r="AG7" s="184" t="s">
        <v>185</v>
      </c>
      <c r="AH7" s="184" t="s">
        <v>186</v>
      </c>
      <c r="AI7" s="183"/>
    </row>
    <row r="8" spans="1:35" ht="19.5" customHeight="1" x14ac:dyDescent="0.25">
      <c r="A8" s="110"/>
      <c r="B8" s="181">
        <v>19</v>
      </c>
      <c r="C8" s="181">
        <v>20</v>
      </c>
      <c r="D8" s="181">
        <v>21</v>
      </c>
      <c r="E8" s="181">
        <v>22</v>
      </c>
      <c r="F8" s="181">
        <v>23</v>
      </c>
      <c r="G8" s="181">
        <v>24</v>
      </c>
      <c r="H8" s="181">
        <v>25</v>
      </c>
      <c r="I8" s="110"/>
      <c r="J8" s="181">
        <v>16</v>
      </c>
      <c r="K8" s="181">
        <v>17</v>
      </c>
      <c r="L8" s="181">
        <v>18</v>
      </c>
      <c r="M8" s="181">
        <v>19</v>
      </c>
      <c r="N8" s="181">
        <v>20</v>
      </c>
      <c r="O8" s="181">
        <v>21</v>
      </c>
      <c r="P8" s="181">
        <v>22</v>
      </c>
      <c r="Q8" s="110"/>
      <c r="R8" s="181">
        <v>16</v>
      </c>
      <c r="S8" s="181">
        <v>17</v>
      </c>
      <c r="T8" s="181">
        <v>18</v>
      </c>
      <c r="U8" s="181">
        <v>19</v>
      </c>
      <c r="V8" s="181">
        <v>20</v>
      </c>
      <c r="W8" s="181">
        <v>21</v>
      </c>
      <c r="X8" s="181">
        <v>22</v>
      </c>
      <c r="Y8" s="115"/>
      <c r="AA8" s="140" t="s">
        <v>130</v>
      </c>
      <c r="AB8" s="141" t="s">
        <v>187</v>
      </c>
      <c r="AC8" s="141" t="s">
        <v>188</v>
      </c>
      <c r="AD8" s="141" t="s">
        <v>189</v>
      </c>
      <c r="AE8" s="141" t="s">
        <v>190</v>
      </c>
      <c r="AF8" s="141" t="s">
        <v>191</v>
      </c>
      <c r="AG8" s="184" t="s">
        <v>192</v>
      </c>
      <c r="AH8" s="184" t="s">
        <v>193</v>
      </c>
      <c r="AI8" s="183"/>
    </row>
    <row r="9" spans="1:35" ht="19.5" customHeight="1" x14ac:dyDescent="0.25">
      <c r="A9" s="110"/>
      <c r="B9" s="181">
        <v>26</v>
      </c>
      <c r="C9" s="181">
        <v>27</v>
      </c>
      <c r="D9" s="181">
        <v>28</v>
      </c>
      <c r="E9" s="181">
        <v>29</v>
      </c>
      <c r="F9" s="181">
        <v>30</v>
      </c>
      <c r="G9" s="181">
        <v>31</v>
      </c>
      <c r="H9" s="180">
        <v>1</v>
      </c>
      <c r="I9" s="110"/>
      <c r="J9" s="181">
        <v>23</v>
      </c>
      <c r="K9" s="181">
        <v>24</v>
      </c>
      <c r="L9" s="181">
        <v>25</v>
      </c>
      <c r="M9" s="181">
        <v>26</v>
      </c>
      <c r="N9" s="181">
        <v>27</v>
      </c>
      <c r="O9" s="181">
        <v>28</v>
      </c>
      <c r="P9" s="180">
        <v>1</v>
      </c>
      <c r="Q9" s="110"/>
      <c r="R9" s="181">
        <v>23</v>
      </c>
      <c r="S9" s="181">
        <v>24</v>
      </c>
      <c r="T9" s="181">
        <v>25</v>
      </c>
      <c r="U9" s="181">
        <v>26</v>
      </c>
      <c r="V9" s="181">
        <v>27</v>
      </c>
      <c r="W9" s="181">
        <v>28</v>
      </c>
      <c r="X9" s="181">
        <v>29</v>
      </c>
      <c r="Y9" s="115"/>
      <c r="AA9" s="140" t="s">
        <v>131</v>
      </c>
      <c r="AB9" s="141" t="s">
        <v>194</v>
      </c>
      <c r="AC9" s="141" t="s">
        <v>195</v>
      </c>
      <c r="AD9" s="141" t="s">
        <v>196</v>
      </c>
      <c r="AE9" s="141" t="s">
        <v>197</v>
      </c>
      <c r="AF9" s="141" t="s">
        <v>198</v>
      </c>
      <c r="AG9" s="184" t="s">
        <v>199</v>
      </c>
      <c r="AH9" s="184" t="s">
        <v>200</v>
      </c>
      <c r="AI9" s="183"/>
    </row>
    <row r="10" spans="1:35" ht="19.5" customHeight="1" x14ac:dyDescent="0.25">
      <c r="A10" s="110"/>
      <c r="B10" s="180">
        <v>2</v>
      </c>
      <c r="C10" s="180">
        <v>3</v>
      </c>
      <c r="D10" s="180">
        <v>4</v>
      </c>
      <c r="E10" s="180">
        <v>5</v>
      </c>
      <c r="F10" s="180">
        <v>6</v>
      </c>
      <c r="G10" s="180">
        <v>7</v>
      </c>
      <c r="H10" s="180">
        <v>8</v>
      </c>
      <c r="I10" s="110"/>
      <c r="J10" s="180">
        <v>2</v>
      </c>
      <c r="K10" s="180">
        <v>3</v>
      </c>
      <c r="L10" s="180">
        <v>4</v>
      </c>
      <c r="M10" s="180">
        <v>5</v>
      </c>
      <c r="N10" s="180">
        <v>6</v>
      </c>
      <c r="O10" s="180">
        <v>7</v>
      </c>
      <c r="P10" s="180">
        <v>8</v>
      </c>
      <c r="Q10" s="110"/>
      <c r="R10" s="181">
        <v>30</v>
      </c>
      <c r="S10" s="181">
        <v>31</v>
      </c>
      <c r="T10" s="180">
        <v>1</v>
      </c>
      <c r="U10" s="180">
        <v>2</v>
      </c>
      <c r="V10" s="180">
        <v>3</v>
      </c>
      <c r="W10" s="180">
        <v>4</v>
      </c>
      <c r="X10" s="180">
        <v>5</v>
      </c>
      <c r="Y10" s="115"/>
      <c r="AA10" s="140" t="s">
        <v>132</v>
      </c>
      <c r="AB10" s="141" t="s">
        <v>201</v>
      </c>
      <c r="AC10" s="141" t="s">
        <v>202</v>
      </c>
      <c r="AD10" s="141" t="s">
        <v>203</v>
      </c>
      <c r="AE10" s="141" t="s">
        <v>204</v>
      </c>
      <c r="AF10" s="141" t="s">
        <v>205</v>
      </c>
      <c r="AG10" s="184" t="s">
        <v>206</v>
      </c>
      <c r="AH10" s="184" t="s">
        <v>207</v>
      </c>
      <c r="AI10" s="183"/>
    </row>
    <row r="11" spans="1:35" ht="19.5" customHeight="1" x14ac:dyDescent="0.25">
      <c r="A11" s="110"/>
      <c r="B11" s="116"/>
      <c r="C11" s="116"/>
      <c r="D11" s="116"/>
      <c r="E11" s="116"/>
      <c r="F11" s="116"/>
      <c r="G11" s="116"/>
      <c r="H11" s="116"/>
      <c r="I11" s="110"/>
      <c r="J11" s="116"/>
      <c r="K11" s="116"/>
      <c r="L11" s="116"/>
      <c r="M11" s="116"/>
      <c r="N11" s="116"/>
      <c r="O11" s="116"/>
      <c r="P11" s="116"/>
      <c r="Q11" s="110"/>
      <c r="R11" s="116"/>
      <c r="S11" s="116"/>
      <c r="T11" s="116"/>
      <c r="U11" s="116"/>
      <c r="V11" s="116"/>
      <c r="W11" s="116"/>
      <c r="X11" s="116"/>
      <c r="Y11" s="115"/>
      <c r="AA11" s="140" t="s">
        <v>133</v>
      </c>
      <c r="AB11" s="141" t="s">
        <v>208</v>
      </c>
      <c r="AC11" s="141" t="s">
        <v>209</v>
      </c>
      <c r="AD11" s="141" t="s">
        <v>210</v>
      </c>
      <c r="AE11" s="141" t="s">
        <v>211</v>
      </c>
      <c r="AF11" s="141" t="s">
        <v>212</v>
      </c>
      <c r="AG11" s="184" t="s">
        <v>213</v>
      </c>
      <c r="AH11" s="184" t="s">
        <v>214</v>
      </c>
      <c r="AI11" s="183"/>
    </row>
    <row r="12" spans="1:35" ht="19.5" customHeight="1" x14ac:dyDescent="0.25">
      <c r="A12" s="110"/>
      <c r="B12" s="295">
        <v>45383</v>
      </c>
      <c r="C12" s="295"/>
      <c r="D12" s="295"/>
      <c r="E12" s="295"/>
      <c r="F12" s="295"/>
      <c r="G12" s="295"/>
      <c r="H12" s="295"/>
      <c r="I12" s="110"/>
      <c r="J12" s="295">
        <v>45413</v>
      </c>
      <c r="K12" s="295"/>
      <c r="L12" s="295"/>
      <c r="M12" s="295"/>
      <c r="N12" s="295"/>
      <c r="O12" s="295"/>
      <c r="P12" s="295"/>
      <c r="Q12" s="110"/>
      <c r="R12" s="295">
        <v>45444</v>
      </c>
      <c r="S12" s="295"/>
      <c r="T12" s="295"/>
      <c r="U12" s="295"/>
      <c r="V12" s="295"/>
      <c r="W12" s="295"/>
      <c r="X12" s="295"/>
      <c r="Y12" s="115"/>
      <c r="AA12" s="140" t="s">
        <v>134</v>
      </c>
      <c r="AB12" s="141" t="s">
        <v>215</v>
      </c>
      <c r="AC12" s="141" t="s">
        <v>216</v>
      </c>
      <c r="AD12" s="141" t="s">
        <v>217</v>
      </c>
      <c r="AE12" s="141" t="s">
        <v>218</v>
      </c>
      <c r="AF12" s="141" t="s">
        <v>219</v>
      </c>
      <c r="AG12" s="184" t="s">
        <v>220</v>
      </c>
      <c r="AH12" s="184" t="s">
        <v>221</v>
      </c>
      <c r="AI12" s="183"/>
    </row>
    <row r="13" spans="1:35" ht="19.5" customHeight="1" x14ac:dyDescent="0.25">
      <c r="A13" s="110"/>
      <c r="B13" s="179" t="s">
        <v>47</v>
      </c>
      <c r="C13" s="179" t="s">
        <v>41</v>
      </c>
      <c r="D13" s="179" t="s">
        <v>42</v>
      </c>
      <c r="E13" s="179" t="s">
        <v>43</v>
      </c>
      <c r="F13" s="179" t="s">
        <v>44</v>
      </c>
      <c r="G13" s="179" t="s">
        <v>45</v>
      </c>
      <c r="H13" s="179" t="s">
        <v>46</v>
      </c>
      <c r="I13" s="110"/>
      <c r="J13" s="179" t="s">
        <v>47</v>
      </c>
      <c r="K13" s="179" t="s">
        <v>41</v>
      </c>
      <c r="L13" s="179" t="s">
        <v>42</v>
      </c>
      <c r="M13" s="179" t="s">
        <v>43</v>
      </c>
      <c r="N13" s="179" t="s">
        <v>44</v>
      </c>
      <c r="O13" s="179" t="s">
        <v>45</v>
      </c>
      <c r="P13" s="179" t="s">
        <v>46</v>
      </c>
      <c r="Q13" s="110"/>
      <c r="R13" s="179" t="s">
        <v>47</v>
      </c>
      <c r="S13" s="179" t="s">
        <v>41</v>
      </c>
      <c r="T13" s="179" t="s">
        <v>42</v>
      </c>
      <c r="U13" s="179" t="s">
        <v>43</v>
      </c>
      <c r="V13" s="179" t="s">
        <v>44</v>
      </c>
      <c r="W13" s="179" t="s">
        <v>45</v>
      </c>
      <c r="X13" s="179" t="s">
        <v>46</v>
      </c>
      <c r="Y13" s="115"/>
      <c r="AA13" s="140" t="s">
        <v>135</v>
      </c>
      <c r="AB13" s="141" t="s">
        <v>222</v>
      </c>
      <c r="AC13" s="141" t="s">
        <v>223</v>
      </c>
      <c r="AD13" s="141" t="s">
        <v>224</v>
      </c>
      <c r="AE13" s="141" t="s">
        <v>225</v>
      </c>
      <c r="AF13" s="141" t="s">
        <v>226</v>
      </c>
      <c r="AG13" s="184" t="s">
        <v>227</v>
      </c>
      <c r="AH13" s="184" t="s">
        <v>228</v>
      </c>
      <c r="AI13" s="183"/>
    </row>
    <row r="14" spans="1:35" ht="19.5" customHeight="1" x14ac:dyDescent="0.25">
      <c r="A14" s="110"/>
      <c r="B14" s="180">
        <v>30</v>
      </c>
      <c r="C14" s="180">
        <v>31</v>
      </c>
      <c r="D14" s="181">
        <v>1</v>
      </c>
      <c r="E14" s="181">
        <v>2</v>
      </c>
      <c r="F14" s="181">
        <v>3</v>
      </c>
      <c r="G14" s="181">
        <v>4</v>
      </c>
      <c r="H14" s="181">
        <v>5</v>
      </c>
      <c r="I14" s="182"/>
      <c r="J14" s="180">
        <v>27</v>
      </c>
      <c r="K14" s="180">
        <v>28</v>
      </c>
      <c r="L14" s="180">
        <v>29</v>
      </c>
      <c r="M14" s="180">
        <v>30</v>
      </c>
      <c r="N14" s="181">
        <v>1</v>
      </c>
      <c r="O14" s="181">
        <v>2</v>
      </c>
      <c r="P14" s="181">
        <v>3</v>
      </c>
      <c r="Q14" s="182"/>
      <c r="R14" s="181">
        <v>1</v>
      </c>
      <c r="S14" s="181">
        <v>2</v>
      </c>
      <c r="T14" s="181">
        <v>3</v>
      </c>
      <c r="U14" s="181">
        <v>4</v>
      </c>
      <c r="V14" s="181">
        <v>5</v>
      </c>
      <c r="W14" s="181">
        <v>6</v>
      </c>
      <c r="X14" s="181">
        <v>7</v>
      </c>
      <c r="Y14" s="115"/>
      <c r="AA14" s="140" t="s">
        <v>136</v>
      </c>
      <c r="AB14" s="141" t="s">
        <v>229</v>
      </c>
      <c r="AC14" s="141" t="s">
        <v>230</v>
      </c>
      <c r="AD14" s="141" t="s">
        <v>231</v>
      </c>
      <c r="AE14" s="141" t="s">
        <v>232</v>
      </c>
      <c r="AF14" s="141" t="s">
        <v>233</v>
      </c>
      <c r="AG14" s="184" t="s">
        <v>234</v>
      </c>
      <c r="AH14" s="184" t="s">
        <v>235</v>
      </c>
      <c r="AI14" s="183"/>
    </row>
    <row r="15" spans="1:35" ht="19.5" customHeight="1" x14ac:dyDescent="0.25">
      <c r="A15" s="110"/>
      <c r="B15" s="181">
        <v>6</v>
      </c>
      <c r="C15" s="181">
        <v>7</v>
      </c>
      <c r="D15" s="181">
        <v>8</v>
      </c>
      <c r="E15" s="181">
        <v>9</v>
      </c>
      <c r="F15" s="181">
        <v>10</v>
      </c>
      <c r="G15" s="181">
        <v>11</v>
      </c>
      <c r="H15" s="181">
        <v>12</v>
      </c>
      <c r="I15" s="182"/>
      <c r="J15" s="181">
        <v>4</v>
      </c>
      <c r="K15" s="181">
        <v>5</v>
      </c>
      <c r="L15" s="181">
        <v>6</v>
      </c>
      <c r="M15" s="181">
        <v>7</v>
      </c>
      <c r="N15" s="181">
        <v>8</v>
      </c>
      <c r="O15" s="181">
        <v>9</v>
      </c>
      <c r="P15" s="181">
        <v>10</v>
      </c>
      <c r="Q15" s="182"/>
      <c r="R15" s="181">
        <v>8</v>
      </c>
      <c r="S15" s="181">
        <v>9</v>
      </c>
      <c r="T15" s="181">
        <v>10</v>
      </c>
      <c r="U15" s="181">
        <v>11</v>
      </c>
      <c r="V15" s="181">
        <v>12</v>
      </c>
      <c r="W15" s="181">
        <v>13</v>
      </c>
      <c r="X15" s="181">
        <v>14</v>
      </c>
      <c r="Y15" s="115"/>
      <c r="AA15" s="140" t="s">
        <v>137</v>
      </c>
      <c r="AB15" s="141" t="s">
        <v>236</v>
      </c>
      <c r="AC15" s="141" t="s">
        <v>237</v>
      </c>
      <c r="AD15" s="141" t="s">
        <v>238</v>
      </c>
      <c r="AE15" s="141" t="s">
        <v>239</v>
      </c>
      <c r="AF15" s="141" t="s">
        <v>240</v>
      </c>
      <c r="AG15" s="184" t="s">
        <v>241</v>
      </c>
      <c r="AH15" s="184" t="s">
        <v>242</v>
      </c>
      <c r="AI15" s="183"/>
    </row>
    <row r="16" spans="1:35" ht="19.5" customHeight="1" x14ac:dyDescent="0.25">
      <c r="A16" s="110"/>
      <c r="B16" s="181">
        <v>13</v>
      </c>
      <c r="C16" s="181">
        <v>14</v>
      </c>
      <c r="D16" s="181">
        <v>15</v>
      </c>
      <c r="E16" s="181">
        <v>16</v>
      </c>
      <c r="F16" s="181">
        <v>17</v>
      </c>
      <c r="G16" s="181">
        <v>18</v>
      </c>
      <c r="H16" s="181">
        <v>19</v>
      </c>
      <c r="I16" s="182"/>
      <c r="J16" s="181">
        <v>11</v>
      </c>
      <c r="K16" s="181">
        <v>12</v>
      </c>
      <c r="L16" s="181">
        <v>13</v>
      </c>
      <c r="M16" s="181">
        <v>14</v>
      </c>
      <c r="N16" s="181">
        <v>15</v>
      </c>
      <c r="O16" s="181">
        <v>16</v>
      </c>
      <c r="P16" s="181">
        <v>17</v>
      </c>
      <c r="Q16" s="182"/>
      <c r="R16" s="181">
        <v>15</v>
      </c>
      <c r="S16" s="181">
        <v>16</v>
      </c>
      <c r="T16" s="181">
        <v>17</v>
      </c>
      <c r="U16" s="181">
        <v>18</v>
      </c>
      <c r="V16" s="181">
        <v>19</v>
      </c>
      <c r="W16" s="181">
        <v>20</v>
      </c>
      <c r="X16" s="181">
        <v>21</v>
      </c>
      <c r="Y16" s="115"/>
      <c r="AA16" s="140" t="s">
        <v>138</v>
      </c>
      <c r="AB16" s="141" t="s">
        <v>243</v>
      </c>
      <c r="AC16" s="141" t="s">
        <v>244</v>
      </c>
      <c r="AD16" s="141" t="s">
        <v>245</v>
      </c>
      <c r="AE16" s="141" t="s">
        <v>246</v>
      </c>
      <c r="AF16" s="141" t="s">
        <v>247</v>
      </c>
      <c r="AG16" s="184" t="s">
        <v>248</v>
      </c>
      <c r="AH16" s="184" t="s">
        <v>249</v>
      </c>
      <c r="AI16" s="183"/>
    </row>
    <row r="17" spans="1:35" ht="19.5" customHeight="1" x14ac:dyDescent="0.25">
      <c r="A17" s="110"/>
      <c r="B17" s="181">
        <v>20</v>
      </c>
      <c r="C17" s="181">
        <v>21</v>
      </c>
      <c r="D17" s="181">
        <v>22</v>
      </c>
      <c r="E17" s="181">
        <v>23</v>
      </c>
      <c r="F17" s="181">
        <v>24</v>
      </c>
      <c r="G17" s="181">
        <v>25</v>
      </c>
      <c r="H17" s="181">
        <v>26</v>
      </c>
      <c r="I17" s="182"/>
      <c r="J17" s="181">
        <v>18</v>
      </c>
      <c r="K17" s="181">
        <v>19</v>
      </c>
      <c r="L17" s="181">
        <v>20</v>
      </c>
      <c r="M17" s="181">
        <v>21</v>
      </c>
      <c r="N17" s="181">
        <v>22</v>
      </c>
      <c r="O17" s="181">
        <v>23</v>
      </c>
      <c r="P17" s="181">
        <v>24</v>
      </c>
      <c r="Q17" s="182"/>
      <c r="R17" s="181">
        <v>22</v>
      </c>
      <c r="S17" s="181">
        <v>23</v>
      </c>
      <c r="T17" s="181">
        <v>24</v>
      </c>
      <c r="U17" s="181">
        <v>25</v>
      </c>
      <c r="V17" s="181">
        <v>26</v>
      </c>
      <c r="W17" s="181">
        <v>27</v>
      </c>
      <c r="X17" s="181">
        <v>28</v>
      </c>
      <c r="Y17" s="115"/>
      <c r="AA17" s="140" t="s">
        <v>139</v>
      </c>
      <c r="AB17" s="141" t="s">
        <v>250</v>
      </c>
      <c r="AC17" s="141" t="s">
        <v>251</v>
      </c>
      <c r="AD17" s="141" t="s">
        <v>252</v>
      </c>
      <c r="AE17" s="141" t="s">
        <v>253</v>
      </c>
      <c r="AF17" s="141" t="s">
        <v>254</v>
      </c>
      <c r="AG17" s="184" t="s">
        <v>255</v>
      </c>
      <c r="AH17" s="184" t="s">
        <v>256</v>
      </c>
      <c r="AI17" s="183"/>
    </row>
    <row r="18" spans="1:35" ht="19.5" customHeight="1" x14ac:dyDescent="0.25">
      <c r="A18" s="110"/>
      <c r="B18" s="181">
        <v>27</v>
      </c>
      <c r="C18" s="181">
        <v>28</v>
      </c>
      <c r="D18" s="181">
        <v>29</v>
      </c>
      <c r="E18" s="181">
        <v>30</v>
      </c>
      <c r="F18" s="180">
        <v>1</v>
      </c>
      <c r="G18" s="180">
        <v>2</v>
      </c>
      <c r="H18" s="180">
        <v>3</v>
      </c>
      <c r="I18" s="182"/>
      <c r="J18" s="181">
        <v>25</v>
      </c>
      <c r="K18" s="181">
        <v>26</v>
      </c>
      <c r="L18" s="181">
        <v>27</v>
      </c>
      <c r="M18" s="181">
        <v>28</v>
      </c>
      <c r="N18" s="181">
        <v>29</v>
      </c>
      <c r="O18" s="181">
        <v>30</v>
      </c>
      <c r="P18" s="181">
        <v>31</v>
      </c>
      <c r="Q18" s="182"/>
      <c r="R18" s="181">
        <v>29</v>
      </c>
      <c r="S18" s="181">
        <v>30</v>
      </c>
      <c r="T18" s="180">
        <v>1</v>
      </c>
      <c r="U18" s="180">
        <v>2</v>
      </c>
      <c r="V18" s="180">
        <v>3</v>
      </c>
      <c r="W18" s="180">
        <v>4</v>
      </c>
      <c r="X18" s="180">
        <v>5</v>
      </c>
      <c r="Y18" s="115"/>
      <c r="AA18" s="140" t="s">
        <v>140</v>
      </c>
      <c r="AB18" s="141" t="s">
        <v>257</v>
      </c>
      <c r="AC18" s="141" t="s">
        <v>258</v>
      </c>
      <c r="AD18" s="141" t="s">
        <v>259</v>
      </c>
      <c r="AE18" s="141" t="s">
        <v>260</v>
      </c>
      <c r="AF18" s="141" t="s">
        <v>261</v>
      </c>
      <c r="AG18" s="184" t="s">
        <v>262</v>
      </c>
      <c r="AH18" s="184" t="s">
        <v>263</v>
      </c>
      <c r="AI18" s="183"/>
    </row>
    <row r="19" spans="1:35" ht="19.5" customHeight="1" x14ac:dyDescent="0.25">
      <c r="A19" s="110"/>
      <c r="B19" s="180">
        <v>4</v>
      </c>
      <c r="C19" s="180">
        <v>5</v>
      </c>
      <c r="D19" s="180">
        <v>6</v>
      </c>
      <c r="E19" s="180">
        <v>7</v>
      </c>
      <c r="F19" s="180">
        <v>8</v>
      </c>
      <c r="G19" s="180">
        <v>9</v>
      </c>
      <c r="H19" s="180">
        <v>10</v>
      </c>
      <c r="I19" s="182"/>
      <c r="J19" s="180">
        <v>1</v>
      </c>
      <c r="K19" s="180">
        <v>2</v>
      </c>
      <c r="L19" s="180">
        <v>3</v>
      </c>
      <c r="M19" s="180">
        <v>4</v>
      </c>
      <c r="N19" s="180">
        <v>5</v>
      </c>
      <c r="O19" s="180">
        <v>6</v>
      </c>
      <c r="P19" s="180">
        <v>7</v>
      </c>
      <c r="Q19" s="182"/>
      <c r="R19" s="180">
        <v>6</v>
      </c>
      <c r="S19" s="180">
        <v>7</v>
      </c>
      <c r="T19" s="180">
        <v>8</v>
      </c>
      <c r="U19" s="180">
        <v>9</v>
      </c>
      <c r="V19" s="180">
        <v>10</v>
      </c>
      <c r="W19" s="180">
        <v>11</v>
      </c>
      <c r="X19" s="180">
        <v>12</v>
      </c>
      <c r="Y19" s="115"/>
      <c r="AA19" s="140" t="s">
        <v>141</v>
      </c>
      <c r="AB19" s="141" t="s">
        <v>264</v>
      </c>
      <c r="AC19" s="141" t="s">
        <v>265</v>
      </c>
      <c r="AD19" s="141" t="s">
        <v>266</v>
      </c>
      <c r="AE19" s="141" t="s">
        <v>267</v>
      </c>
      <c r="AF19" s="141" t="s">
        <v>268</v>
      </c>
      <c r="AG19" s="184" t="s">
        <v>269</v>
      </c>
      <c r="AH19" s="184" t="s">
        <v>270</v>
      </c>
      <c r="AI19" s="183"/>
    </row>
    <row r="20" spans="1:35" ht="19.5" customHeight="1" x14ac:dyDescent="0.25">
      <c r="A20" s="110"/>
      <c r="B20" s="116"/>
      <c r="C20" s="116"/>
      <c r="D20" s="116"/>
      <c r="E20" s="116"/>
      <c r="F20" s="116"/>
      <c r="G20" s="116"/>
      <c r="H20" s="116"/>
      <c r="I20" s="110"/>
      <c r="J20" s="116"/>
      <c r="K20" s="116"/>
      <c r="L20" s="116"/>
      <c r="M20" s="116"/>
      <c r="N20" s="116"/>
      <c r="O20" s="116"/>
      <c r="P20" s="116"/>
      <c r="Q20" s="110"/>
      <c r="R20" s="116"/>
      <c r="S20" s="116"/>
      <c r="T20" s="116"/>
      <c r="U20" s="116"/>
      <c r="V20" s="116"/>
      <c r="W20" s="116"/>
      <c r="X20" s="116"/>
      <c r="Y20" s="115"/>
      <c r="AA20" s="140" t="s">
        <v>142</v>
      </c>
      <c r="AB20" s="141" t="s">
        <v>271</v>
      </c>
      <c r="AC20" s="141" t="s">
        <v>272</v>
      </c>
      <c r="AD20" s="141" t="s">
        <v>273</v>
      </c>
      <c r="AE20" s="141" t="s">
        <v>274</v>
      </c>
      <c r="AF20" s="141" t="s">
        <v>275</v>
      </c>
      <c r="AG20" s="184" t="s">
        <v>276</v>
      </c>
      <c r="AH20" s="184" t="s">
        <v>277</v>
      </c>
      <c r="AI20" s="183"/>
    </row>
    <row r="21" spans="1:35" ht="19.5" customHeight="1" x14ac:dyDescent="0.25">
      <c r="A21" s="110"/>
      <c r="B21" s="295">
        <v>45474</v>
      </c>
      <c r="C21" s="295"/>
      <c r="D21" s="295"/>
      <c r="E21" s="295"/>
      <c r="F21" s="295"/>
      <c r="G21" s="295"/>
      <c r="H21" s="295"/>
      <c r="I21" s="110"/>
      <c r="J21" s="295">
        <v>45505</v>
      </c>
      <c r="K21" s="295"/>
      <c r="L21" s="295"/>
      <c r="M21" s="295"/>
      <c r="N21" s="295"/>
      <c r="O21" s="295"/>
      <c r="P21" s="295"/>
      <c r="Q21" s="110"/>
      <c r="R21" s="295">
        <v>45536</v>
      </c>
      <c r="S21" s="295"/>
      <c r="T21" s="295"/>
      <c r="U21" s="295"/>
      <c r="V21" s="295"/>
      <c r="W21" s="295"/>
      <c r="X21" s="295"/>
      <c r="Y21" s="115"/>
      <c r="AA21" s="140" t="s">
        <v>143</v>
      </c>
      <c r="AB21" s="141" t="s">
        <v>278</v>
      </c>
      <c r="AC21" s="141" t="s">
        <v>279</v>
      </c>
      <c r="AD21" s="141" t="s">
        <v>280</v>
      </c>
      <c r="AE21" s="141" t="s">
        <v>281</v>
      </c>
      <c r="AF21" s="141" t="s">
        <v>282</v>
      </c>
      <c r="AG21" s="184" t="s">
        <v>283</v>
      </c>
      <c r="AH21" s="184" t="s">
        <v>284</v>
      </c>
      <c r="AI21" s="183"/>
    </row>
    <row r="22" spans="1:35" ht="19.5" customHeight="1" x14ac:dyDescent="0.25">
      <c r="A22" s="110"/>
      <c r="B22" s="179" t="s">
        <v>47</v>
      </c>
      <c r="C22" s="179" t="s">
        <v>41</v>
      </c>
      <c r="D22" s="179" t="s">
        <v>42</v>
      </c>
      <c r="E22" s="179" t="s">
        <v>43</v>
      </c>
      <c r="F22" s="179" t="s">
        <v>44</v>
      </c>
      <c r="G22" s="179" t="s">
        <v>45</v>
      </c>
      <c r="H22" s="179" t="s">
        <v>46</v>
      </c>
      <c r="I22" s="110"/>
      <c r="J22" s="179" t="s">
        <v>47</v>
      </c>
      <c r="K22" s="179" t="s">
        <v>41</v>
      </c>
      <c r="L22" s="179" t="s">
        <v>42</v>
      </c>
      <c r="M22" s="179" t="s">
        <v>43</v>
      </c>
      <c r="N22" s="179" t="s">
        <v>44</v>
      </c>
      <c r="O22" s="179" t="s">
        <v>45</v>
      </c>
      <c r="P22" s="179" t="s">
        <v>46</v>
      </c>
      <c r="Q22" s="110"/>
      <c r="R22" s="179" t="s">
        <v>47</v>
      </c>
      <c r="S22" s="179" t="s">
        <v>41</v>
      </c>
      <c r="T22" s="179" t="s">
        <v>42</v>
      </c>
      <c r="U22" s="179" t="s">
        <v>43</v>
      </c>
      <c r="V22" s="179" t="s">
        <v>44</v>
      </c>
      <c r="W22" s="179" t="s">
        <v>45</v>
      </c>
      <c r="X22" s="179" t="s">
        <v>46</v>
      </c>
      <c r="Y22" s="115"/>
      <c r="AA22" s="140" t="s">
        <v>144</v>
      </c>
      <c r="AB22" s="141" t="s">
        <v>285</v>
      </c>
      <c r="AC22" s="141" t="s">
        <v>286</v>
      </c>
      <c r="AD22" s="141" t="s">
        <v>287</v>
      </c>
      <c r="AE22" s="141" t="s">
        <v>288</v>
      </c>
      <c r="AF22" s="141" t="s">
        <v>289</v>
      </c>
      <c r="AG22" s="184" t="s">
        <v>290</v>
      </c>
      <c r="AH22" s="184" t="s">
        <v>291</v>
      </c>
      <c r="AI22" s="183"/>
    </row>
    <row r="23" spans="1:35" ht="19.5" customHeight="1" x14ac:dyDescent="0.25">
      <c r="A23" s="110"/>
      <c r="B23" s="180">
        <v>29</v>
      </c>
      <c r="C23" s="180">
        <v>30</v>
      </c>
      <c r="D23" s="181">
        <v>1</v>
      </c>
      <c r="E23" s="181">
        <v>2</v>
      </c>
      <c r="F23" s="181">
        <v>3</v>
      </c>
      <c r="G23" s="181">
        <v>4</v>
      </c>
      <c r="H23" s="181">
        <v>5</v>
      </c>
      <c r="I23" s="182"/>
      <c r="J23" s="180">
        <v>27</v>
      </c>
      <c r="K23" s="180">
        <v>28</v>
      </c>
      <c r="L23" s="180">
        <v>29</v>
      </c>
      <c r="M23" s="180">
        <v>30</v>
      </c>
      <c r="N23" s="180">
        <v>31</v>
      </c>
      <c r="O23" s="181">
        <v>1</v>
      </c>
      <c r="P23" s="181">
        <v>2</v>
      </c>
      <c r="Q23" s="182"/>
      <c r="R23" s="180">
        <v>31</v>
      </c>
      <c r="S23" s="181">
        <v>1</v>
      </c>
      <c r="T23" s="181">
        <v>2</v>
      </c>
      <c r="U23" s="181">
        <v>3</v>
      </c>
      <c r="V23" s="181">
        <v>4</v>
      </c>
      <c r="W23" s="181">
        <v>5</v>
      </c>
      <c r="X23" s="181">
        <v>6</v>
      </c>
      <c r="Y23" s="115"/>
      <c r="AA23" s="140" t="s">
        <v>145</v>
      </c>
      <c r="AB23" s="141" t="s">
        <v>292</v>
      </c>
      <c r="AC23" s="141" t="s">
        <v>293</v>
      </c>
      <c r="AD23" s="141" t="s">
        <v>294</v>
      </c>
      <c r="AE23" s="141" t="s">
        <v>295</v>
      </c>
      <c r="AF23" s="141" t="s">
        <v>296</v>
      </c>
      <c r="AG23" s="184" t="s">
        <v>297</v>
      </c>
      <c r="AH23" s="184" t="s">
        <v>298</v>
      </c>
      <c r="AI23" s="183"/>
    </row>
    <row r="24" spans="1:35" ht="19.5" customHeight="1" x14ac:dyDescent="0.25">
      <c r="A24" s="110"/>
      <c r="B24" s="181">
        <v>6</v>
      </c>
      <c r="C24" s="181">
        <v>7</v>
      </c>
      <c r="D24" s="181">
        <v>8</v>
      </c>
      <c r="E24" s="181">
        <v>9</v>
      </c>
      <c r="F24" s="181">
        <v>10</v>
      </c>
      <c r="G24" s="181">
        <v>11</v>
      </c>
      <c r="H24" s="181">
        <v>12</v>
      </c>
      <c r="I24" s="182"/>
      <c r="J24" s="181">
        <v>3</v>
      </c>
      <c r="K24" s="181">
        <v>4</v>
      </c>
      <c r="L24" s="181">
        <v>5</v>
      </c>
      <c r="M24" s="181">
        <v>6</v>
      </c>
      <c r="N24" s="181">
        <v>7</v>
      </c>
      <c r="O24" s="181">
        <v>8</v>
      </c>
      <c r="P24" s="181">
        <v>9</v>
      </c>
      <c r="Q24" s="182"/>
      <c r="R24" s="181">
        <v>7</v>
      </c>
      <c r="S24" s="181">
        <v>8</v>
      </c>
      <c r="T24" s="181">
        <v>9</v>
      </c>
      <c r="U24" s="181">
        <v>10</v>
      </c>
      <c r="V24" s="181">
        <v>11</v>
      </c>
      <c r="W24" s="181">
        <v>12</v>
      </c>
      <c r="X24" s="181">
        <v>13</v>
      </c>
      <c r="Y24" s="115"/>
      <c r="AA24" s="140" t="s">
        <v>146</v>
      </c>
      <c r="AB24" s="141" t="s">
        <v>299</v>
      </c>
      <c r="AC24" s="141" t="s">
        <v>300</v>
      </c>
      <c r="AD24" s="141" t="s">
        <v>301</v>
      </c>
      <c r="AE24" s="141" t="s">
        <v>302</v>
      </c>
      <c r="AF24" s="141" t="s">
        <v>303</v>
      </c>
      <c r="AG24" s="184" t="s">
        <v>304</v>
      </c>
      <c r="AH24" s="184" t="s">
        <v>305</v>
      </c>
      <c r="AI24" s="183"/>
    </row>
    <row r="25" spans="1:35" ht="19.5" customHeight="1" x14ac:dyDescent="0.25">
      <c r="A25" s="110"/>
      <c r="B25" s="181">
        <v>13</v>
      </c>
      <c r="C25" s="181">
        <v>14</v>
      </c>
      <c r="D25" s="181">
        <v>15</v>
      </c>
      <c r="E25" s="181">
        <v>16</v>
      </c>
      <c r="F25" s="181">
        <v>17</v>
      </c>
      <c r="G25" s="181">
        <v>18</v>
      </c>
      <c r="H25" s="181">
        <v>19</v>
      </c>
      <c r="I25" s="182"/>
      <c r="J25" s="181">
        <v>10</v>
      </c>
      <c r="K25" s="181">
        <v>11</v>
      </c>
      <c r="L25" s="181">
        <v>12</v>
      </c>
      <c r="M25" s="181">
        <v>13</v>
      </c>
      <c r="N25" s="181">
        <v>14</v>
      </c>
      <c r="O25" s="181">
        <v>15</v>
      </c>
      <c r="P25" s="181">
        <v>16</v>
      </c>
      <c r="Q25" s="182"/>
      <c r="R25" s="181">
        <v>14</v>
      </c>
      <c r="S25" s="181">
        <v>15</v>
      </c>
      <c r="T25" s="181">
        <v>16</v>
      </c>
      <c r="U25" s="181">
        <v>17</v>
      </c>
      <c r="V25" s="181">
        <v>18</v>
      </c>
      <c r="W25" s="181">
        <v>19</v>
      </c>
      <c r="X25" s="181">
        <v>20</v>
      </c>
      <c r="Y25" s="115"/>
      <c r="AA25" s="140" t="s">
        <v>147</v>
      </c>
      <c r="AB25" s="141" t="s">
        <v>306</v>
      </c>
      <c r="AC25" s="141" t="s">
        <v>307</v>
      </c>
      <c r="AD25" s="141" t="s">
        <v>308</v>
      </c>
      <c r="AE25" s="141" t="s">
        <v>309</v>
      </c>
      <c r="AF25" s="141" t="s">
        <v>310</v>
      </c>
      <c r="AG25" s="184" t="s">
        <v>311</v>
      </c>
      <c r="AH25" s="184" t="s">
        <v>312</v>
      </c>
      <c r="AI25" s="183"/>
    </row>
    <row r="26" spans="1:35" x14ac:dyDescent="0.25">
      <c r="A26" s="110"/>
      <c r="B26" s="181">
        <v>20</v>
      </c>
      <c r="C26" s="181">
        <v>21</v>
      </c>
      <c r="D26" s="181">
        <v>22</v>
      </c>
      <c r="E26" s="181">
        <v>23</v>
      </c>
      <c r="F26" s="181">
        <v>24</v>
      </c>
      <c r="G26" s="181">
        <v>25</v>
      </c>
      <c r="H26" s="181">
        <v>26</v>
      </c>
      <c r="I26" s="182"/>
      <c r="J26" s="181">
        <v>17</v>
      </c>
      <c r="K26" s="181">
        <v>18</v>
      </c>
      <c r="L26" s="181">
        <v>19</v>
      </c>
      <c r="M26" s="181">
        <v>20</v>
      </c>
      <c r="N26" s="181">
        <v>21</v>
      </c>
      <c r="O26" s="181">
        <v>22</v>
      </c>
      <c r="P26" s="181">
        <v>23</v>
      </c>
      <c r="Q26" s="182"/>
      <c r="R26" s="181">
        <v>21</v>
      </c>
      <c r="S26" s="181">
        <v>22</v>
      </c>
      <c r="T26" s="181">
        <v>23</v>
      </c>
      <c r="U26" s="181">
        <v>24</v>
      </c>
      <c r="V26" s="181">
        <v>25</v>
      </c>
      <c r="W26" s="181">
        <v>26</v>
      </c>
      <c r="X26" s="181">
        <v>27</v>
      </c>
      <c r="Y26" s="115"/>
      <c r="AA26" s="140" t="s">
        <v>148</v>
      </c>
      <c r="AB26" s="141" t="s">
        <v>313</v>
      </c>
      <c r="AC26" s="141" t="s">
        <v>314</v>
      </c>
      <c r="AD26" s="141" t="s">
        <v>315</v>
      </c>
      <c r="AE26" s="141" t="s">
        <v>316</v>
      </c>
      <c r="AF26" s="141" t="s">
        <v>317</v>
      </c>
      <c r="AG26" s="184" t="s">
        <v>318</v>
      </c>
      <c r="AH26" s="184" t="s">
        <v>319</v>
      </c>
      <c r="AI26" s="183"/>
    </row>
    <row r="27" spans="1:35" x14ac:dyDescent="0.25">
      <c r="A27" s="110"/>
      <c r="B27" s="181">
        <v>27</v>
      </c>
      <c r="C27" s="181">
        <v>28</v>
      </c>
      <c r="D27" s="181">
        <v>29</v>
      </c>
      <c r="E27" s="181">
        <v>30</v>
      </c>
      <c r="F27" s="181">
        <v>31</v>
      </c>
      <c r="G27" s="180">
        <v>1</v>
      </c>
      <c r="H27" s="180">
        <v>2</v>
      </c>
      <c r="I27" s="182"/>
      <c r="J27" s="181">
        <v>24</v>
      </c>
      <c r="K27" s="181">
        <v>25</v>
      </c>
      <c r="L27" s="181">
        <v>26</v>
      </c>
      <c r="M27" s="181">
        <v>27</v>
      </c>
      <c r="N27" s="181">
        <v>28</v>
      </c>
      <c r="O27" s="181">
        <v>29</v>
      </c>
      <c r="P27" s="181">
        <v>30</v>
      </c>
      <c r="Q27" s="182"/>
      <c r="R27" s="181">
        <v>28</v>
      </c>
      <c r="S27" s="181">
        <v>29</v>
      </c>
      <c r="T27" s="181">
        <v>30</v>
      </c>
      <c r="U27" s="180">
        <v>1</v>
      </c>
      <c r="V27" s="180">
        <v>2</v>
      </c>
      <c r="W27" s="180">
        <v>3</v>
      </c>
      <c r="X27" s="180">
        <v>4</v>
      </c>
      <c r="Y27" s="115"/>
      <c r="AA27" s="140" t="s">
        <v>149</v>
      </c>
      <c r="AB27" s="141" t="s">
        <v>320</v>
      </c>
      <c r="AC27" s="141" t="s">
        <v>321</v>
      </c>
      <c r="AD27" s="141" t="s">
        <v>322</v>
      </c>
      <c r="AE27" s="141" t="s">
        <v>323</v>
      </c>
      <c r="AF27" s="141" t="s">
        <v>324</v>
      </c>
      <c r="AG27" s="184" t="s">
        <v>325</v>
      </c>
      <c r="AH27" s="184" t="s">
        <v>326</v>
      </c>
      <c r="AI27" s="183"/>
    </row>
    <row r="28" spans="1:35" x14ac:dyDescent="0.25">
      <c r="A28" s="110"/>
      <c r="B28" s="180">
        <v>3</v>
      </c>
      <c r="C28" s="180">
        <v>4</v>
      </c>
      <c r="D28" s="180">
        <v>5</v>
      </c>
      <c r="E28" s="180">
        <v>6</v>
      </c>
      <c r="F28" s="180">
        <v>7</v>
      </c>
      <c r="G28" s="180">
        <v>8</v>
      </c>
      <c r="H28" s="180">
        <v>9</v>
      </c>
      <c r="I28" s="182"/>
      <c r="J28" s="181">
        <v>31</v>
      </c>
      <c r="K28" s="180">
        <v>1</v>
      </c>
      <c r="L28" s="180">
        <v>2</v>
      </c>
      <c r="M28" s="180">
        <v>3</v>
      </c>
      <c r="N28" s="180">
        <v>4</v>
      </c>
      <c r="O28" s="180">
        <v>5</v>
      </c>
      <c r="P28" s="180">
        <v>6</v>
      </c>
      <c r="Q28" s="182"/>
      <c r="R28" s="180">
        <v>5</v>
      </c>
      <c r="S28" s="180">
        <v>6</v>
      </c>
      <c r="T28" s="180">
        <v>7</v>
      </c>
      <c r="U28" s="180">
        <v>8</v>
      </c>
      <c r="V28" s="180">
        <v>9</v>
      </c>
      <c r="W28" s="180">
        <v>10</v>
      </c>
      <c r="X28" s="180">
        <v>11</v>
      </c>
      <c r="Y28" s="115"/>
      <c r="AA28" s="140" t="s">
        <v>150</v>
      </c>
      <c r="AB28" s="141" t="s">
        <v>327</v>
      </c>
      <c r="AC28" s="141" t="s">
        <v>328</v>
      </c>
      <c r="AD28" s="141" t="s">
        <v>329</v>
      </c>
      <c r="AE28" s="141" t="s">
        <v>330</v>
      </c>
      <c r="AF28" s="141" t="s">
        <v>331</v>
      </c>
      <c r="AG28" s="184" t="s">
        <v>332</v>
      </c>
      <c r="AH28" s="184" t="s">
        <v>333</v>
      </c>
      <c r="AI28" s="183"/>
    </row>
    <row r="29" spans="1:35" x14ac:dyDescent="0.25">
      <c r="A29" s="110"/>
      <c r="B29" s="116"/>
      <c r="C29" s="116"/>
      <c r="D29" s="116"/>
      <c r="E29" s="116"/>
      <c r="F29" s="116"/>
      <c r="G29" s="116"/>
      <c r="H29" s="116"/>
      <c r="I29" s="110"/>
      <c r="J29" s="116"/>
      <c r="K29" s="116"/>
      <c r="L29" s="116"/>
      <c r="M29" s="116"/>
      <c r="N29" s="116"/>
      <c r="O29" s="116"/>
      <c r="P29" s="116"/>
      <c r="Q29" s="110"/>
      <c r="R29" s="116"/>
      <c r="S29" s="116"/>
      <c r="T29" s="116"/>
      <c r="U29" s="116"/>
      <c r="V29" s="116"/>
      <c r="W29" s="116"/>
      <c r="X29" s="116"/>
      <c r="Y29" s="115"/>
      <c r="AA29" s="140" t="s">
        <v>151</v>
      </c>
      <c r="AB29" s="141" t="s">
        <v>334</v>
      </c>
      <c r="AC29" s="141" t="s">
        <v>335</v>
      </c>
      <c r="AD29" s="141" t="s">
        <v>336</v>
      </c>
      <c r="AE29" s="141" t="s">
        <v>337</v>
      </c>
      <c r="AF29" s="141" t="s">
        <v>338</v>
      </c>
      <c r="AG29" s="184" t="s">
        <v>339</v>
      </c>
      <c r="AH29" s="184" t="s">
        <v>340</v>
      </c>
      <c r="AI29" s="183"/>
    </row>
    <row r="30" spans="1:35" x14ac:dyDescent="0.25">
      <c r="A30" s="110"/>
      <c r="B30" s="295">
        <v>45566</v>
      </c>
      <c r="C30" s="295"/>
      <c r="D30" s="295"/>
      <c r="E30" s="295"/>
      <c r="F30" s="295"/>
      <c r="G30" s="295"/>
      <c r="H30" s="295"/>
      <c r="I30" s="110"/>
      <c r="J30" s="295">
        <v>45597</v>
      </c>
      <c r="K30" s="295"/>
      <c r="L30" s="295"/>
      <c r="M30" s="295"/>
      <c r="N30" s="295"/>
      <c r="O30" s="295"/>
      <c r="P30" s="295"/>
      <c r="Q30" s="110"/>
      <c r="R30" s="295">
        <v>45627</v>
      </c>
      <c r="S30" s="295"/>
      <c r="T30" s="295"/>
      <c r="U30" s="295"/>
      <c r="V30" s="295"/>
      <c r="W30" s="295"/>
      <c r="X30" s="295"/>
      <c r="Y30" s="115"/>
      <c r="AA30" s="140" t="s">
        <v>152</v>
      </c>
      <c r="AB30" s="141" t="s">
        <v>341</v>
      </c>
      <c r="AC30" s="141" t="s">
        <v>342</v>
      </c>
      <c r="AD30" s="141" t="s">
        <v>343</v>
      </c>
      <c r="AE30" s="141" t="s">
        <v>344</v>
      </c>
      <c r="AF30" s="141" t="s">
        <v>345</v>
      </c>
      <c r="AG30" s="184" t="s">
        <v>346</v>
      </c>
      <c r="AH30" s="184" t="s">
        <v>347</v>
      </c>
      <c r="AI30" s="183"/>
    </row>
    <row r="31" spans="1:35" x14ac:dyDescent="0.25">
      <c r="A31" s="110"/>
      <c r="B31" s="179" t="s">
        <v>47</v>
      </c>
      <c r="C31" s="179" t="s">
        <v>41</v>
      </c>
      <c r="D31" s="179" t="s">
        <v>42</v>
      </c>
      <c r="E31" s="179" t="s">
        <v>43</v>
      </c>
      <c r="F31" s="179" t="s">
        <v>44</v>
      </c>
      <c r="G31" s="179" t="s">
        <v>45</v>
      </c>
      <c r="H31" s="179" t="s">
        <v>46</v>
      </c>
      <c r="I31" s="110"/>
      <c r="J31" s="179" t="s">
        <v>47</v>
      </c>
      <c r="K31" s="179" t="s">
        <v>41</v>
      </c>
      <c r="L31" s="179" t="s">
        <v>42</v>
      </c>
      <c r="M31" s="179" t="s">
        <v>43</v>
      </c>
      <c r="N31" s="179" t="s">
        <v>44</v>
      </c>
      <c r="O31" s="179" t="s">
        <v>45</v>
      </c>
      <c r="P31" s="179" t="s">
        <v>46</v>
      </c>
      <c r="Q31" s="110"/>
      <c r="R31" s="179" t="s">
        <v>47</v>
      </c>
      <c r="S31" s="179" t="s">
        <v>41</v>
      </c>
      <c r="T31" s="179" t="s">
        <v>42</v>
      </c>
      <c r="U31" s="179" t="s">
        <v>43</v>
      </c>
      <c r="V31" s="179" t="s">
        <v>44</v>
      </c>
      <c r="W31" s="179" t="s">
        <v>45</v>
      </c>
      <c r="X31" s="179" t="s">
        <v>46</v>
      </c>
      <c r="Y31" s="115"/>
      <c r="AA31" s="140" t="s">
        <v>153</v>
      </c>
      <c r="AB31" s="141" t="s">
        <v>348</v>
      </c>
      <c r="AC31" s="141" t="s">
        <v>349</v>
      </c>
      <c r="AD31" s="141" t="s">
        <v>350</v>
      </c>
      <c r="AE31" s="141" t="s">
        <v>351</v>
      </c>
      <c r="AF31" s="141" t="s">
        <v>352</v>
      </c>
      <c r="AG31" s="184" t="s">
        <v>353</v>
      </c>
      <c r="AH31" s="184" t="s">
        <v>354</v>
      </c>
      <c r="AI31" s="183"/>
    </row>
    <row r="32" spans="1:35" x14ac:dyDescent="0.25">
      <c r="A32" s="110"/>
      <c r="B32" s="180">
        <v>28</v>
      </c>
      <c r="C32" s="180">
        <v>29</v>
      </c>
      <c r="D32" s="180">
        <v>30</v>
      </c>
      <c r="E32" s="181">
        <v>1</v>
      </c>
      <c r="F32" s="181">
        <v>2</v>
      </c>
      <c r="G32" s="181">
        <v>3</v>
      </c>
      <c r="H32" s="181">
        <v>4</v>
      </c>
      <c r="I32" s="182"/>
      <c r="J32" s="180">
        <v>26</v>
      </c>
      <c r="K32" s="180">
        <v>27</v>
      </c>
      <c r="L32" s="180">
        <v>28</v>
      </c>
      <c r="M32" s="180">
        <v>29</v>
      </c>
      <c r="N32" s="180">
        <v>30</v>
      </c>
      <c r="O32" s="180">
        <v>31</v>
      </c>
      <c r="P32" s="181">
        <v>1</v>
      </c>
      <c r="Q32" s="182"/>
      <c r="R32" s="180">
        <v>30</v>
      </c>
      <c r="S32" s="181">
        <v>1</v>
      </c>
      <c r="T32" s="181">
        <v>2</v>
      </c>
      <c r="U32" s="181">
        <v>3</v>
      </c>
      <c r="V32" s="181">
        <v>4</v>
      </c>
      <c r="W32" s="181">
        <v>5</v>
      </c>
      <c r="X32" s="181">
        <v>6</v>
      </c>
      <c r="Y32" s="115"/>
      <c r="AA32" s="140" t="s">
        <v>154</v>
      </c>
      <c r="AB32" s="141" t="s">
        <v>355</v>
      </c>
      <c r="AC32" s="141" t="s">
        <v>356</v>
      </c>
      <c r="AD32" s="141" t="s">
        <v>357</v>
      </c>
      <c r="AE32" s="141" t="s">
        <v>358</v>
      </c>
      <c r="AF32" s="141" t="s">
        <v>359</v>
      </c>
      <c r="AG32" s="184" t="s">
        <v>360</v>
      </c>
      <c r="AH32" s="184" t="s">
        <v>361</v>
      </c>
      <c r="AI32" s="183"/>
    </row>
    <row r="33" spans="1:35" x14ac:dyDescent="0.25">
      <c r="A33" s="110"/>
      <c r="B33" s="181">
        <v>5</v>
      </c>
      <c r="C33" s="181">
        <v>6</v>
      </c>
      <c r="D33" s="181">
        <v>7</v>
      </c>
      <c r="E33" s="181">
        <v>8</v>
      </c>
      <c r="F33" s="181">
        <v>9</v>
      </c>
      <c r="G33" s="181">
        <v>10</v>
      </c>
      <c r="H33" s="181">
        <v>11</v>
      </c>
      <c r="I33" s="182"/>
      <c r="J33" s="181">
        <v>2</v>
      </c>
      <c r="K33" s="181">
        <v>3</v>
      </c>
      <c r="L33" s="181">
        <v>4</v>
      </c>
      <c r="M33" s="181">
        <v>5</v>
      </c>
      <c r="N33" s="181">
        <v>6</v>
      </c>
      <c r="O33" s="181">
        <v>7</v>
      </c>
      <c r="P33" s="181">
        <v>8</v>
      </c>
      <c r="Q33" s="182"/>
      <c r="R33" s="181">
        <v>7</v>
      </c>
      <c r="S33" s="181">
        <v>8</v>
      </c>
      <c r="T33" s="181">
        <v>9</v>
      </c>
      <c r="U33" s="181">
        <v>10</v>
      </c>
      <c r="V33" s="181">
        <v>11</v>
      </c>
      <c r="W33" s="181">
        <v>12</v>
      </c>
      <c r="X33" s="181">
        <v>13</v>
      </c>
      <c r="Y33" s="115"/>
      <c r="AA33" s="140" t="s">
        <v>155</v>
      </c>
      <c r="AB33" s="141" t="s">
        <v>362</v>
      </c>
      <c r="AC33" s="141" t="s">
        <v>363</v>
      </c>
      <c r="AD33" s="141" t="s">
        <v>364</v>
      </c>
      <c r="AE33" s="141" t="s">
        <v>365</v>
      </c>
      <c r="AF33" s="141" t="s">
        <v>366</v>
      </c>
      <c r="AG33" s="184" t="s">
        <v>367</v>
      </c>
      <c r="AH33" s="184" t="s">
        <v>368</v>
      </c>
      <c r="AI33" s="183"/>
    </row>
    <row r="34" spans="1:35" x14ac:dyDescent="0.25">
      <c r="A34" s="110"/>
      <c r="B34" s="181">
        <v>12</v>
      </c>
      <c r="C34" s="181">
        <v>13</v>
      </c>
      <c r="D34" s="181">
        <v>14</v>
      </c>
      <c r="E34" s="181">
        <v>15</v>
      </c>
      <c r="F34" s="181">
        <v>16</v>
      </c>
      <c r="G34" s="181">
        <v>17</v>
      </c>
      <c r="H34" s="181">
        <v>18</v>
      </c>
      <c r="I34" s="182"/>
      <c r="J34" s="181">
        <v>9</v>
      </c>
      <c r="K34" s="181">
        <v>10</v>
      </c>
      <c r="L34" s="181">
        <v>11</v>
      </c>
      <c r="M34" s="181">
        <v>12</v>
      </c>
      <c r="N34" s="181">
        <v>13</v>
      </c>
      <c r="O34" s="181">
        <v>14</v>
      </c>
      <c r="P34" s="181">
        <v>15</v>
      </c>
      <c r="Q34" s="182"/>
      <c r="R34" s="181">
        <v>14</v>
      </c>
      <c r="S34" s="181">
        <v>15</v>
      </c>
      <c r="T34" s="181">
        <v>16</v>
      </c>
      <c r="U34" s="181">
        <v>17</v>
      </c>
      <c r="V34" s="181">
        <v>18</v>
      </c>
      <c r="W34" s="181">
        <v>19</v>
      </c>
      <c r="X34" s="181">
        <v>20</v>
      </c>
      <c r="Y34" s="115"/>
      <c r="AA34" s="140" t="s">
        <v>156</v>
      </c>
      <c r="AB34" s="141" t="s">
        <v>369</v>
      </c>
      <c r="AC34" s="141" t="s">
        <v>370</v>
      </c>
      <c r="AD34" s="141" t="s">
        <v>371</v>
      </c>
      <c r="AE34" s="141" t="s">
        <v>372</v>
      </c>
      <c r="AF34" s="141" t="s">
        <v>373</v>
      </c>
      <c r="AG34" s="184" t="s">
        <v>374</v>
      </c>
      <c r="AH34" s="184" t="s">
        <v>375</v>
      </c>
      <c r="AI34" s="183"/>
    </row>
    <row r="35" spans="1:35" x14ac:dyDescent="0.25">
      <c r="A35" s="110"/>
      <c r="B35" s="181">
        <v>19</v>
      </c>
      <c r="C35" s="181">
        <v>20</v>
      </c>
      <c r="D35" s="181">
        <v>21</v>
      </c>
      <c r="E35" s="181">
        <v>22</v>
      </c>
      <c r="F35" s="181">
        <v>23</v>
      </c>
      <c r="G35" s="181">
        <v>24</v>
      </c>
      <c r="H35" s="181">
        <v>25</v>
      </c>
      <c r="I35" s="182"/>
      <c r="J35" s="181">
        <v>16</v>
      </c>
      <c r="K35" s="181">
        <v>17</v>
      </c>
      <c r="L35" s="181">
        <v>18</v>
      </c>
      <c r="M35" s="181">
        <v>19</v>
      </c>
      <c r="N35" s="181">
        <v>20</v>
      </c>
      <c r="O35" s="181">
        <v>21</v>
      </c>
      <c r="P35" s="181">
        <v>22</v>
      </c>
      <c r="Q35" s="182"/>
      <c r="R35" s="181">
        <v>21</v>
      </c>
      <c r="S35" s="181">
        <v>22</v>
      </c>
      <c r="T35" s="181">
        <v>23</v>
      </c>
      <c r="U35" s="181">
        <v>24</v>
      </c>
      <c r="V35" s="181">
        <v>25</v>
      </c>
      <c r="W35" s="181">
        <v>26</v>
      </c>
      <c r="X35" s="181">
        <v>27</v>
      </c>
      <c r="Y35" s="115"/>
      <c r="AA35" s="140" t="s">
        <v>157</v>
      </c>
      <c r="AB35" s="141" t="s">
        <v>376</v>
      </c>
      <c r="AC35" s="141" t="s">
        <v>377</v>
      </c>
      <c r="AD35" s="141" t="s">
        <v>378</v>
      </c>
      <c r="AE35" s="141" t="s">
        <v>379</v>
      </c>
      <c r="AF35" s="141" t="s">
        <v>380</v>
      </c>
      <c r="AG35" s="184" t="s">
        <v>381</v>
      </c>
      <c r="AH35" s="184" t="s">
        <v>382</v>
      </c>
      <c r="AI35" s="183"/>
    </row>
    <row r="36" spans="1:35" x14ac:dyDescent="0.25">
      <c r="A36" s="110"/>
      <c r="B36" s="181">
        <v>26</v>
      </c>
      <c r="C36" s="181">
        <v>27</v>
      </c>
      <c r="D36" s="181">
        <v>28</v>
      </c>
      <c r="E36" s="181">
        <v>29</v>
      </c>
      <c r="F36" s="181">
        <v>30</v>
      </c>
      <c r="G36" s="181">
        <v>31</v>
      </c>
      <c r="H36" s="180">
        <v>1</v>
      </c>
      <c r="I36" s="182"/>
      <c r="J36" s="181">
        <v>23</v>
      </c>
      <c r="K36" s="181">
        <v>24</v>
      </c>
      <c r="L36" s="181">
        <v>25</v>
      </c>
      <c r="M36" s="181">
        <v>26</v>
      </c>
      <c r="N36" s="181">
        <v>27</v>
      </c>
      <c r="O36" s="181">
        <v>28</v>
      </c>
      <c r="P36" s="181">
        <v>29</v>
      </c>
      <c r="Q36" s="182"/>
      <c r="R36" s="181">
        <v>28</v>
      </c>
      <c r="S36" s="181">
        <v>29</v>
      </c>
      <c r="T36" s="181">
        <v>30</v>
      </c>
      <c r="U36" s="181">
        <v>31</v>
      </c>
      <c r="V36" s="180">
        <v>1</v>
      </c>
      <c r="W36" s="180">
        <v>2</v>
      </c>
      <c r="X36" s="180">
        <v>3</v>
      </c>
      <c r="Y36" s="115"/>
      <c r="AA36" s="140" t="s">
        <v>158</v>
      </c>
      <c r="AB36" s="141" t="s">
        <v>383</v>
      </c>
      <c r="AC36" s="141" t="s">
        <v>384</v>
      </c>
      <c r="AD36" s="141" t="s">
        <v>385</v>
      </c>
      <c r="AE36" s="141" t="s">
        <v>386</v>
      </c>
      <c r="AF36" s="141" t="s">
        <v>387</v>
      </c>
      <c r="AG36" s="184" t="s">
        <v>388</v>
      </c>
      <c r="AH36" s="184" t="s">
        <v>389</v>
      </c>
      <c r="AI36" s="183"/>
    </row>
    <row r="37" spans="1:35" x14ac:dyDescent="0.25">
      <c r="A37" s="110"/>
      <c r="B37" s="180">
        <v>2</v>
      </c>
      <c r="C37" s="180">
        <v>3</v>
      </c>
      <c r="D37" s="180">
        <v>4</v>
      </c>
      <c r="E37" s="180">
        <v>5</v>
      </c>
      <c r="F37" s="180">
        <v>6</v>
      </c>
      <c r="G37" s="180">
        <v>7</v>
      </c>
      <c r="H37" s="180">
        <v>8</v>
      </c>
      <c r="I37" s="182"/>
      <c r="J37" s="181">
        <v>30</v>
      </c>
      <c r="K37" s="180">
        <v>1</v>
      </c>
      <c r="L37" s="180">
        <v>2</v>
      </c>
      <c r="M37" s="180">
        <v>3</v>
      </c>
      <c r="N37" s="180">
        <v>4</v>
      </c>
      <c r="O37" s="180">
        <v>5</v>
      </c>
      <c r="P37" s="180">
        <v>6</v>
      </c>
      <c r="Q37" s="182"/>
      <c r="R37" s="180">
        <v>4</v>
      </c>
      <c r="S37" s="180">
        <v>5</v>
      </c>
      <c r="T37" s="180">
        <v>6</v>
      </c>
      <c r="U37" s="180">
        <v>7</v>
      </c>
      <c r="V37" s="180">
        <v>8</v>
      </c>
      <c r="W37" s="180">
        <v>9</v>
      </c>
      <c r="X37" s="180">
        <v>10</v>
      </c>
      <c r="Y37" s="115"/>
      <c r="AA37" s="140" t="s">
        <v>159</v>
      </c>
      <c r="AB37" s="141" t="s">
        <v>390</v>
      </c>
      <c r="AC37" s="141" t="s">
        <v>391</v>
      </c>
      <c r="AD37" s="141" t="s">
        <v>392</v>
      </c>
      <c r="AE37" s="141" t="s">
        <v>393</v>
      </c>
      <c r="AF37" s="141" t="s">
        <v>394</v>
      </c>
      <c r="AG37" s="184" t="s">
        <v>395</v>
      </c>
      <c r="AH37" s="184" t="s">
        <v>396</v>
      </c>
      <c r="AI37" s="183"/>
    </row>
    <row r="38" spans="1:35" x14ac:dyDescent="0.3">
      <c r="A38" s="117"/>
      <c r="B38" s="118"/>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AA38" s="140" t="s">
        <v>160</v>
      </c>
      <c r="AB38" s="141" t="s">
        <v>397</v>
      </c>
      <c r="AC38" s="141" t="s">
        <v>398</v>
      </c>
      <c r="AD38" s="141" t="s">
        <v>399</v>
      </c>
      <c r="AE38" s="141" t="s">
        <v>400</v>
      </c>
      <c r="AF38" s="141" t="s">
        <v>401</v>
      </c>
      <c r="AG38" s="184" t="s">
        <v>402</v>
      </c>
      <c r="AH38" s="184" t="s">
        <v>403</v>
      </c>
      <c r="AI38" s="183"/>
    </row>
    <row r="39" spans="1:35" x14ac:dyDescent="0.3">
      <c r="AA39" s="140" t="s">
        <v>161</v>
      </c>
      <c r="AB39" s="141" t="s">
        <v>404</v>
      </c>
      <c r="AC39" s="141" t="s">
        <v>405</v>
      </c>
      <c r="AD39" s="141" t="s">
        <v>406</v>
      </c>
      <c r="AE39" s="141" t="s">
        <v>407</v>
      </c>
      <c r="AF39" s="141" t="s">
        <v>408</v>
      </c>
      <c r="AG39" s="184" t="s">
        <v>409</v>
      </c>
      <c r="AH39" s="184" t="s">
        <v>410</v>
      </c>
      <c r="AI39" s="183"/>
    </row>
    <row r="40" spans="1:35" x14ac:dyDescent="0.3">
      <c r="AA40" s="140" t="s">
        <v>162</v>
      </c>
      <c r="AB40" s="141" t="s">
        <v>411</v>
      </c>
      <c r="AC40" s="141" t="s">
        <v>412</v>
      </c>
      <c r="AD40" s="141" t="s">
        <v>413</v>
      </c>
      <c r="AE40" s="141" t="s">
        <v>414</v>
      </c>
      <c r="AF40" s="141" t="s">
        <v>415</v>
      </c>
      <c r="AG40" s="184" t="s">
        <v>416</v>
      </c>
      <c r="AH40" s="184" t="s">
        <v>417</v>
      </c>
      <c r="AI40" s="183"/>
    </row>
    <row r="41" spans="1:35" x14ac:dyDescent="0.3">
      <c r="AA41" s="140" t="s">
        <v>163</v>
      </c>
      <c r="AB41" s="141" t="s">
        <v>418</v>
      </c>
      <c r="AC41" s="141" t="s">
        <v>419</v>
      </c>
      <c r="AD41" s="141" t="s">
        <v>420</v>
      </c>
      <c r="AE41" s="141" t="s">
        <v>421</v>
      </c>
      <c r="AF41" s="141" t="s">
        <v>422</v>
      </c>
      <c r="AG41" s="184" t="s">
        <v>423</v>
      </c>
      <c r="AH41" s="184" t="s">
        <v>424</v>
      </c>
      <c r="AI41" s="183"/>
    </row>
    <row r="42" spans="1:35" x14ac:dyDescent="0.3">
      <c r="AA42" s="140" t="s">
        <v>164</v>
      </c>
      <c r="AB42" s="141" t="s">
        <v>425</v>
      </c>
      <c r="AC42" s="141" t="s">
        <v>426</v>
      </c>
      <c r="AD42" s="141" t="s">
        <v>427</v>
      </c>
      <c r="AE42" s="141" t="s">
        <v>428</v>
      </c>
      <c r="AF42" s="141" t="s">
        <v>429</v>
      </c>
      <c r="AG42" s="184" t="s">
        <v>430</v>
      </c>
      <c r="AH42" s="184" t="s">
        <v>431</v>
      </c>
      <c r="AI42" s="183"/>
    </row>
    <row r="43" spans="1:35" x14ac:dyDescent="0.3">
      <c r="AA43" s="140" t="s">
        <v>165</v>
      </c>
      <c r="AB43" s="141" t="s">
        <v>432</v>
      </c>
      <c r="AC43" s="141" t="s">
        <v>433</v>
      </c>
      <c r="AD43" s="141" t="s">
        <v>434</v>
      </c>
      <c r="AE43" s="141" t="s">
        <v>435</v>
      </c>
      <c r="AF43" s="141" t="s">
        <v>436</v>
      </c>
      <c r="AG43" s="184" t="s">
        <v>437</v>
      </c>
      <c r="AH43" s="184" t="s">
        <v>438</v>
      </c>
      <c r="AI43" s="183"/>
    </row>
    <row r="44" spans="1:35" x14ac:dyDescent="0.3">
      <c r="AA44" s="140" t="s">
        <v>166</v>
      </c>
      <c r="AB44" s="141" t="s">
        <v>439</v>
      </c>
      <c r="AC44" s="141" t="s">
        <v>440</v>
      </c>
      <c r="AD44" s="141" t="s">
        <v>441</v>
      </c>
      <c r="AE44" s="141" t="s">
        <v>442</v>
      </c>
      <c r="AF44" s="141" t="s">
        <v>443</v>
      </c>
      <c r="AG44" s="184" t="s">
        <v>444</v>
      </c>
      <c r="AH44" s="184" t="s">
        <v>445</v>
      </c>
      <c r="AI44" s="183"/>
    </row>
    <row r="45" spans="1:35" x14ac:dyDescent="0.3">
      <c r="AA45" s="140" t="s">
        <v>167</v>
      </c>
      <c r="AB45" s="141" t="s">
        <v>446</v>
      </c>
      <c r="AC45" s="141" t="s">
        <v>447</v>
      </c>
      <c r="AD45" s="141" t="s">
        <v>448</v>
      </c>
      <c r="AE45" s="141" t="s">
        <v>449</v>
      </c>
      <c r="AF45" s="141" t="s">
        <v>450</v>
      </c>
      <c r="AG45" s="184" t="s">
        <v>451</v>
      </c>
      <c r="AH45" s="184" t="s">
        <v>452</v>
      </c>
      <c r="AI45" s="183"/>
    </row>
    <row r="46" spans="1:35" x14ac:dyDescent="0.3">
      <c r="AA46" s="140" t="s">
        <v>168</v>
      </c>
      <c r="AB46" s="141" t="s">
        <v>453</v>
      </c>
      <c r="AC46" s="141" t="s">
        <v>454</v>
      </c>
      <c r="AD46" s="141" t="s">
        <v>455</v>
      </c>
      <c r="AE46" s="141" t="s">
        <v>456</v>
      </c>
      <c r="AF46" s="141" t="s">
        <v>457</v>
      </c>
      <c r="AG46" s="184" t="s">
        <v>458</v>
      </c>
      <c r="AH46" s="184" t="s">
        <v>459</v>
      </c>
      <c r="AI46" s="183"/>
    </row>
    <row r="47" spans="1:35" x14ac:dyDescent="0.3">
      <c r="AA47" s="140" t="s">
        <v>169</v>
      </c>
      <c r="AB47" s="141" t="s">
        <v>460</v>
      </c>
      <c r="AC47" s="141" t="s">
        <v>461</v>
      </c>
      <c r="AD47" s="141" t="s">
        <v>462</v>
      </c>
      <c r="AE47" s="141" t="s">
        <v>463</v>
      </c>
      <c r="AF47" s="141" t="s">
        <v>464</v>
      </c>
      <c r="AG47" s="184" t="s">
        <v>465</v>
      </c>
      <c r="AH47" s="184" t="s">
        <v>466</v>
      </c>
      <c r="AI47" s="183"/>
    </row>
    <row r="48" spans="1:35" x14ac:dyDescent="0.3">
      <c r="AA48" s="140" t="s">
        <v>170</v>
      </c>
      <c r="AB48" s="141" t="s">
        <v>467</v>
      </c>
      <c r="AC48" s="141" t="s">
        <v>468</v>
      </c>
      <c r="AD48" s="141" t="s">
        <v>469</v>
      </c>
      <c r="AE48" s="141" t="s">
        <v>470</v>
      </c>
      <c r="AF48" s="141" t="s">
        <v>471</v>
      </c>
      <c r="AG48" s="184" t="s">
        <v>472</v>
      </c>
      <c r="AH48" s="184" t="s">
        <v>473</v>
      </c>
      <c r="AI48" s="183"/>
    </row>
    <row r="49" spans="27:35" x14ac:dyDescent="0.3">
      <c r="AA49" s="140" t="s">
        <v>171</v>
      </c>
      <c r="AB49" s="141" t="s">
        <v>474</v>
      </c>
      <c r="AC49" s="141" t="s">
        <v>475</v>
      </c>
      <c r="AD49" s="141" t="s">
        <v>476</v>
      </c>
      <c r="AE49" s="141" t="s">
        <v>477</v>
      </c>
      <c r="AF49" s="141" t="s">
        <v>478</v>
      </c>
      <c r="AG49" s="184" t="s">
        <v>479</v>
      </c>
      <c r="AH49" s="184" t="s">
        <v>480</v>
      </c>
      <c r="AI49" s="183"/>
    </row>
    <row r="50" spans="27:35" x14ac:dyDescent="0.3">
      <c r="AA50" s="140" t="s">
        <v>172</v>
      </c>
      <c r="AB50" s="141" t="s">
        <v>481</v>
      </c>
      <c r="AC50" s="141" t="s">
        <v>482</v>
      </c>
      <c r="AD50" s="141" t="s">
        <v>483</v>
      </c>
      <c r="AE50" s="141" t="s">
        <v>484</v>
      </c>
      <c r="AF50" s="141" t="s">
        <v>485</v>
      </c>
      <c r="AG50" s="184" t="s">
        <v>486</v>
      </c>
      <c r="AH50" s="184" t="s">
        <v>487</v>
      </c>
      <c r="AI50" s="183"/>
    </row>
    <row r="51" spans="27:35" x14ac:dyDescent="0.3">
      <c r="AA51" s="140" t="s">
        <v>173</v>
      </c>
      <c r="AB51" s="141" t="s">
        <v>488</v>
      </c>
      <c r="AC51" s="141" t="s">
        <v>489</v>
      </c>
      <c r="AD51" s="141" t="s">
        <v>490</v>
      </c>
      <c r="AE51" s="141" t="s">
        <v>491</v>
      </c>
      <c r="AF51" s="141" t="s">
        <v>492</v>
      </c>
      <c r="AG51" s="184" t="s">
        <v>493</v>
      </c>
      <c r="AH51" s="184" t="s">
        <v>494</v>
      </c>
      <c r="AI51" s="183"/>
    </row>
    <row r="52" spans="27:35" x14ac:dyDescent="0.3">
      <c r="AA52" s="140" t="s">
        <v>174</v>
      </c>
      <c r="AB52" s="141" t="s">
        <v>495</v>
      </c>
      <c r="AC52" s="141" t="s">
        <v>496</v>
      </c>
      <c r="AD52" s="141" t="s">
        <v>497</v>
      </c>
      <c r="AE52" s="141" t="s">
        <v>498</v>
      </c>
      <c r="AF52" s="141" t="s">
        <v>499</v>
      </c>
      <c r="AG52" s="184" t="s">
        <v>500</v>
      </c>
      <c r="AH52" s="184" t="s">
        <v>501</v>
      </c>
      <c r="AI52" s="183"/>
    </row>
    <row r="53" spans="27:35" x14ac:dyDescent="0.3">
      <c r="AA53" s="140" t="s">
        <v>175</v>
      </c>
      <c r="AB53" s="141" t="s">
        <v>502</v>
      </c>
      <c r="AC53" s="141" t="s">
        <v>503</v>
      </c>
      <c r="AD53" s="141" t="s">
        <v>504</v>
      </c>
      <c r="AE53" s="141" t="s">
        <v>505</v>
      </c>
      <c r="AF53" s="141" t="s">
        <v>506</v>
      </c>
      <c r="AG53" s="184" t="s">
        <v>507</v>
      </c>
      <c r="AH53" s="184" t="s">
        <v>508</v>
      </c>
      <c r="AI53" s="183"/>
    </row>
    <row r="54" spans="27:35" x14ac:dyDescent="0.3">
      <c r="AA54" s="140" t="s">
        <v>176</v>
      </c>
      <c r="AB54" s="141" t="s">
        <v>509</v>
      </c>
      <c r="AC54" s="141" t="s">
        <v>510</v>
      </c>
      <c r="AD54" s="141" t="s">
        <v>511</v>
      </c>
      <c r="AE54" s="141" t="s">
        <v>512</v>
      </c>
      <c r="AF54" s="141" t="s">
        <v>513</v>
      </c>
      <c r="AG54" s="184" t="s">
        <v>514</v>
      </c>
      <c r="AH54" s="184" t="s">
        <v>515</v>
      </c>
      <c r="AI54" s="183"/>
    </row>
    <row r="55" spans="27:35" x14ac:dyDescent="0.3">
      <c r="AA55" s="140" t="s">
        <v>125</v>
      </c>
      <c r="AB55" s="141" t="s">
        <v>516</v>
      </c>
      <c r="AC55" s="141" t="s">
        <v>517</v>
      </c>
      <c r="AD55" s="141" t="s">
        <v>518</v>
      </c>
      <c r="AE55" s="141" t="s">
        <v>519</v>
      </c>
      <c r="AF55" s="141"/>
      <c r="AG55" s="184"/>
      <c r="AH55" s="184"/>
    </row>
  </sheetData>
  <sheetProtection algorithmName="SHA-512" hashValue="KwmDWcu9+is9AFK9FyTSFtMGf5rfqNoT/fE7MgdkSp3cDayOlk2CrRh0XHU6sGjekW+AfotSVCdf19gacrcVqA==" saltValue="HqQyyG/Wr2b2MJgGJuIylQ==" spinCount="100000" sheet="1" formatCells="0" formatColumns="0" formatRows="0" insertColumns="0" insertRows="0" insertHyperlinks="0" deleteColumns="0" deleteRows="0" sort="0" autoFilter="0" pivotTables="0"/>
  <mergeCells count="13">
    <mergeCell ref="B21:H21"/>
    <mergeCell ref="J21:P21"/>
    <mergeCell ref="R21:X21"/>
    <mergeCell ref="B30:H30"/>
    <mergeCell ref="J30:P30"/>
    <mergeCell ref="R30:X30"/>
    <mergeCell ref="B1:X1"/>
    <mergeCell ref="B3:H3"/>
    <mergeCell ref="J3:P3"/>
    <mergeCell ref="R3:X3"/>
    <mergeCell ref="R12:X12"/>
    <mergeCell ref="B12:H12"/>
    <mergeCell ref="J12:P12"/>
  </mergeCells>
  <phoneticPr fontId="18" type="noConversion"/>
  <conditionalFormatting sqref="B5:H10 J5:P10 R5:X10 B14:H19 J14:P19 R14:X19 B23:H28 J23:P28 R23:X28 B32:H37 J32:P37 R32:X37">
    <cfRule type="expression" dxfId="959" priority="13">
      <formula>IFERROR(INDEX(DiasCategorias, B5-FechaInicio+1),0)=1</formula>
    </cfRule>
    <cfRule type="expression" dxfId="958" priority="14">
      <formula>IFERROR(INDEX(DiasCategorias, B5-FechaInicio+1),0)=2</formula>
    </cfRule>
    <cfRule type="expression" dxfId="957" priority="15">
      <formula>IFERROR(INDEX(DiasCategorias, B5-FechaInicio+1),0)=3</formula>
    </cfRule>
    <cfRule type="expression" dxfId="956" priority="16">
      <formula>IFERROR(INDEX(DiasCategorias, B5-FechaInicio+1),0)=4</formula>
    </cfRule>
    <cfRule type="expression" dxfId="955" priority="17">
      <formula>IFERROR(INDEX(DiasCategorias, B5-FechaInicio+1),0)=5</formula>
    </cfRule>
    <cfRule type="expression" dxfId="954" priority="18">
      <formula>IFERROR(INDEX(DiasCategorias, B5-FechaInicio+1),0)=6</formula>
    </cfRule>
    <cfRule type="expression" dxfId="953" priority="19">
      <formula>IFERROR(INDEX(DiasCategorias, B5-FechaInicio+1),0)=7</formula>
    </cfRule>
    <cfRule type="expression" dxfId="952" priority="20">
      <formula>IFERROR(INDEX(DiasCategorias, B5-FechaInicio+1),0)=8</formula>
    </cfRule>
    <cfRule type="expression" dxfId="951" priority="21">
      <formula>IFERROR(INDEX(DiasCategorias, B5-FechaInicio+1),0)=9</formula>
    </cfRule>
    <cfRule type="expression" dxfId="950" priority="22">
      <formula>IFERROR(INDEX(DiasCategorias, B5-FechaInicio+1),0)=10</formula>
    </cfRule>
    <cfRule type="expression" dxfId="949" priority="23">
      <formula>IFERROR(INDEX(DiasCategorias, B5-FechaInicio+1),0)=11</formula>
    </cfRule>
    <cfRule type="expression" dxfId="948" priority="24">
      <formula>IFERROR(INDEX(DiasCategorias, B5-FechaInicio+1),0)=12</formula>
    </cfRule>
  </conditionalFormatting>
  <conditionalFormatting sqref="AI4 AB55:AH55 AB3:AH4 AB5:AI54">
    <cfRule type="expression" dxfId="947" priority="1">
      <formula>IFERROR(INDEX(DiasCategorias, AB3-FechaInicio+1),0)=1</formula>
    </cfRule>
    <cfRule type="expression" dxfId="946" priority="2">
      <formula>IFERROR(INDEX(DiasCategorias, AB3-FechaInicio+1),0)=2</formula>
    </cfRule>
    <cfRule type="expression" dxfId="945" priority="3">
      <formula>IFERROR(INDEX(DiasCategorias, AB3-FechaInicio+1),0)=3</formula>
    </cfRule>
    <cfRule type="expression" dxfId="944" priority="4">
      <formula>IFERROR(INDEX(DiasCategorias, AB3-FechaInicio+1),0)=4</formula>
    </cfRule>
    <cfRule type="expression" dxfId="943" priority="5">
      <formula>IFERROR(INDEX(DiasCategorias, AB3-FechaInicio+1),0)=5</formula>
    </cfRule>
    <cfRule type="expression" dxfId="942" priority="6">
      <formula>IFERROR(INDEX(DiasCategorias, AB3-FechaInicio+1),0)=6</formula>
    </cfRule>
    <cfRule type="expression" dxfId="941" priority="7">
      <formula>IFERROR(INDEX(DiasCategorias, AB3-FechaInicio+1),0)=7</formula>
    </cfRule>
    <cfRule type="expression" dxfId="940" priority="8">
      <formula>IFERROR(INDEX(DiasCategorias, AB3-FechaInicio+1),0)=8</formula>
    </cfRule>
    <cfRule type="expression" dxfId="939" priority="9">
      <formula>IFERROR(INDEX(DiasCategorias, AB3-FechaInicio+1),0)=9</formula>
    </cfRule>
    <cfRule type="expression" dxfId="938" priority="10">
      <formula>IFERROR(INDEX(DiasCategorias, AB3-FechaInicio+1),0)=10</formula>
    </cfRule>
    <cfRule type="expression" dxfId="937" priority="11">
      <formula>IFERROR(INDEX(DiasCategorias, AB3-FechaInicio+1),0)=11</formula>
    </cfRule>
    <cfRule type="expression" dxfId="936" priority="12">
      <formula>IFERROR(INDEX(DiasCategorias, AB3-FechaInicio+1),0)=12</formula>
    </cfRule>
  </conditionalFormatting>
  <pageMargins left="0.7" right="0.7" top="0.75" bottom="0.75" header="0.3" footer="0.3"/>
  <pageSetup paperSize="9"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9663-11E6-458E-804C-75A240A0AFEB}">
  <sheetPr codeName="Hoja53">
    <tabColor theme="5" tint="0.39997558519241921"/>
  </sheetPr>
  <dimension ref="A1:R40"/>
  <sheetViews>
    <sheetView tabSelected="1" topLeftCell="B3" workbookViewId="0">
      <selection activeCell="J25" sqref="J25"/>
    </sheetView>
  </sheetViews>
  <sheetFormatPr baseColWidth="10" defaultRowHeight="15" x14ac:dyDescent="0.25"/>
  <cols>
    <col min="2" max="2" width="9.140625" customWidth="1"/>
    <col min="3" max="3" width="27.5703125" bestFit="1" customWidth="1"/>
    <col min="4" max="4" width="13.28515625" bestFit="1" customWidth="1"/>
    <col min="5" max="5" width="13.140625" bestFit="1" customWidth="1"/>
    <col min="6" max="11" width="15.42578125" bestFit="1" customWidth="1"/>
    <col min="12" max="16" width="15.42578125" customWidth="1"/>
    <col min="17" max="18" width="11.7109375" bestFit="1" customWidth="1"/>
  </cols>
  <sheetData>
    <row r="1" spans="1:18" ht="15" customHeight="1" x14ac:dyDescent="0.25">
      <c r="A1" s="268"/>
      <c r="B1" s="268"/>
      <c r="C1" s="281" t="s">
        <v>8</v>
      </c>
      <c r="D1" s="282"/>
      <c r="E1" s="282"/>
      <c r="F1" s="282"/>
      <c r="G1" s="283"/>
      <c r="H1" s="288"/>
      <c r="I1" s="289"/>
    </row>
    <row r="2" spans="1:18" ht="15.75" customHeight="1" thickBot="1" x14ac:dyDescent="0.3">
      <c r="A2" s="268"/>
      <c r="B2" s="268"/>
      <c r="C2" s="285"/>
      <c r="D2" s="286"/>
      <c r="E2" s="286"/>
      <c r="F2" s="286"/>
      <c r="G2" s="287"/>
      <c r="H2" s="288"/>
      <c r="I2" s="289"/>
    </row>
    <row r="3" spans="1:18" x14ac:dyDescent="0.25">
      <c r="A3" s="268"/>
      <c r="B3" s="268"/>
      <c r="C3" s="268"/>
      <c r="D3" s="268"/>
      <c r="E3" s="268"/>
      <c r="F3" s="268"/>
      <c r="G3" s="268"/>
      <c r="H3" s="268"/>
      <c r="I3" s="268"/>
    </row>
    <row r="4" spans="1:18" x14ac:dyDescent="0.25">
      <c r="A4" s="268"/>
      <c r="B4" s="268"/>
      <c r="C4" s="268"/>
      <c r="D4" s="268"/>
      <c r="E4" s="268"/>
      <c r="F4" s="268"/>
      <c r="G4" s="268"/>
      <c r="H4" s="268"/>
      <c r="I4" s="268"/>
    </row>
    <row r="5" spans="1:18" x14ac:dyDescent="0.25">
      <c r="A5" s="268"/>
      <c r="B5" s="268"/>
      <c r="C5" s="268"/>
      <c r="D5" s="268"/>
      <c r="E5" s="268"/>
      <c r="F5" s="268"/>
      <c r="G5" s="268"/>
      <c r="H5" s="268"/>
      <c r="I5" s="268"/>
    </row>
    <row r="6" spans="1:18" ht="27" x14ac:dyDescent="0.5">
      <c r="A6" s="273" t="s">
        <v>10</v>
      </c>
      <c r="B6" s="273"/>
      <c r="C6" s="268"/>
      <c r="D6" s="268"/>
      <c r="E6" s="268"/>
      <c r="F6" s="268"/>
      <c r="G6" s="268"/>
      <c r="H6" s="268"/>
      <c r="I6" s="268"/>
    </row>
    <row r="7" spans="1:18" ht="27.75" thickBot="1" x14ac:dyDescent="0.55000000000000004">
      <c r="A7" s="274">
        <v>1</v>
      </c>
      <c r="B7" s="274"/>
      <c r="C7" s="296"/>
      <c r="D7" s="296"/>
      <c r="E7" s="296"/>
      <c r="F7" s="296"/>
      <c r="G7" s="296"/>
      <c r="H7" s="296"/>
      <c r="I7" s="296"/>
    </row>
    <row r="8" spans="1:18" ht="19.5" thickBot="1" x14ac:dyDescent="0.45">
      <c r="A8" s="29" t="s">
        <v>14</v>
      </c>
      <c r="B8" s="29" t="s">
        <v>15</v>
      </c>
      <c r="C8" s="29" t="s">
        <v>16</v>
      </c>
      <c r="D8" s="29" t="s">
        <v>114</v>
      </c>
      <c r="E8" s="30" t="s">
        <v>17</v>
      </c>
      <c r="F8" s="75" t="s">
        <v>58</v>
      </c>
      <c r="G8" s="75" t="s">
        <v>60</v>
      </c>
      <c r="H8" s="75" t="s">
        <v>59</v>
      </c>
      <c r="I8" s="75" t="s">
        <v>61</v>
      </c>
      <c r="J8" s="75" t="s">
        <v>62</v>
      </c>
      <c r="K8" s="75" t="s">
        <v>63</v>
      </c>
      <c r="L8" s="75" t="s">
        <v>64</v>
      </c>
      <c r="M8" s="75" t="s">
        <v>65</v>
      </c>
      <c r="N8" s="75" t="s">
        <v>66</v>
      </c>
      <c r="O8" s="75" t="s">
        <v>67</v>
      </c>
      <c r="P8" s="75" t="s">
        <v>68</v>
      </c>
      <c r="Q8" s="30" t="s">
        <v>4</v>
      </c>
      <c r="R8" s="164" t="s">
        <v>18</v>
      </c>
    </row>
    <row r="9" spans="1:18" ht="15.75" thickBot="1" x14ac:dyDescent="0.3">
      <c r="A9" s="80">
        <v>46026</v>
      </c>
      <c r="B9" s="81">
        <v>129</v>
      </c>
      <c r="C9" s="81" t="s">
        <v>554</v>
      </c>
      <c r="D9" s="154" t="s">
        <v>548</v>
      </c>
      <c r="E9" s="162">
        <v>1000</v>
      </c>
      <c r="F9" s="78">
        <v>100</v>
      </c>
      <c r="G9" s="78">
        <v>100</v>
      </c>
      <c r="H9" s="81">
        <v>100</v>
      </c>
      <c r="I9" s="81">
        <v>100</v>
      </c>
      <c r="J9" s="81">
        <v>100</v>
      </c>
      <c r="K9" s="81"/>
      <c r="L9" s="78"/>
      <c r="M9" s="81"/>
      <c r="N9" s="81"/>
      <c r="O9" s="81"/>
      <c r="P9" s="81"/>
      <c r="Q9" s="73">
        <f>SUM(F9:P9)</f>
        <v>500</v>
      </c>
      <c r="R9" s="165">
        <f>E9-Q9</f>
        <v>500</v>
      </c>
    </row>
    <row r="10" spans="1:18" ht="15.75" thickBot="1" x14ac:dyDescent="0.3">
      <c r="A10" s="80">
        <v>46026</v>
      </c>
      <c r="B10" s="81">
        <v>245</v>
      </c>
      <c r="C10" s="81" t="s">
        <v>553</v>
      </c>
      <c r="D10" s="154" t="s">
        <v>548</v>
      </c>
      <c r="E10" s="162">
        <v>3000</v>
      </c>
      <c r="F10" s="78">
        <v>300</v>
      </c>
      <c r="G10" s="78">
        <v>300</v>
      </c>
      <c r="H10" s="78">
        <v>300</v>
      </c>
      <c r="I10" s="78">
        <v>300</v>
      </c>
      <c r="J10" s="81">
        <v>300</v>
      </c>
      <c r="K10" s="81"/>
      <c r="L10" s="78"/>
      <c r="M10" s="78"/>
      <c r="N10" s="78"/>
      <c r="O10" s="81"/>
      <c r="P10" s="81"/>
      <c r="Q10" s="73">
        <f t="shared" ref="Q10:Q19" si="0">SUM(F10:P10)</f>
        <v>1500</v>
      </c>
      <c r="R10" s="165">
        <f t="shared" ref="R10:R19" si="1">E10-Q10</f>
        <v>1500</v>
      </c>
    </row>
    <row r="11" spans="1:18" ht="15.75" thickBot="1" x14ac:dyDescent="0.3">
      <c r="A11" s="80">
        <v>46026</v>
      </c>
      <c r="B11" s="81">
        <v>453</v>
      </c>
      <c r="C11" s="81" t="s">
        <v>552</v>
      </c>
      <c r="D11" s="154" t="s">
        <v>548</v>
      </c>
      <c r="E11" s="162">
        <v>4000</v>
      </c>
      <c r="F11" s="78">
        <v>400</v>
      </c>
      <c r="G11" s="78">
        <v>400</v>
      </c>
      <c r="H11" s="78">
        <v>400</v>
      </c>
      <c r="I11" s="78">
        <v>400</v>
      </c>
      <c r="J11" s="81">
        <v>400</v>
      </c>
      <c r="K11" s="81"/>
      <c r="L11" s="78"/>
      <c r="M11" s="78"/>
      <c r="N11" s="78"/>
      <c r="O11" s="81"/>
      <c r="P11" s="81"/>
      <c r="Q11" s="73">
        <f t="shared" si="0"/>
        <v>2000</v>
      </c>
      <c r="R11" s="165">
        <f t="shared" si="1"/>
        <v>2000</v>
      </c>
    </row>
    <row r="12" spans="1:18" ht="15.75" thickBot="1" x14ac:dyDescent="0.3">
      <c r="A12" s="80">
        <v>46026</v>
      </c>
      <c r="B12" s="81">
        <v>780</v>
      </c>
      <c r="C12" s="81" t="s">
        <v>555</v>
      </c>
      <c r="D12" s="154" t="s">
        <v>548</v>
      </c>
      <c r="E12" s="162">
        <v>4000</v>
      </c>
      <c r="F12" s="78">
        <v>400</v>
      </c>
      <c r="G12" s="78">
        <v>400</v>
      </c>
      <c r="H12" s="78">
        <v>400</v>
      </c>
      <c r="I12" s="78">
        <v>400</v>
      </c>
      <c r="J12" s="81">
        <v>400</v>
      </c>
      <c r="K12" s="81"/>
      <c r="L12" s="78"/>
      <c r="M12" s="78"/>
      <c r="N12" s="78"/>
      <c r="O12" s="81"/>
      <c r="P12" s="81"/>
      <c r="Q12" s="73">
        <f t="shared" si="0"/>
        <v>2000</v>
      </c>
      <c r="R12" s="165">
        <f t="shared" si="1"/>
        <v>2000</v>
      </c>
    </row>
    <row r="13" spans="1:18" ht="15.75" thickBot="1" x14ac:dyDescent="0.3">
      <c r="A13" s="80">
        <v>46026</v>
      </c>
      <c r="B13" s="81">
        <v>790</v>
      </c>
      <c r="C13" s="81" t="s">
        <v>556</v>
      </c>
      <c r="D13" s="154" t="s">
        <v>548</v>
      </c>
      <c r="E13" s="162">
        <v>4000</v>
      </c>
      <c r="F13" s="78">
        <v>400</v>
      </c>
      <c r="G13" s="78">
        <v>400</v>
      </c>
      <c r="H13" s="78">
        <v>0</v>
      </c>
      <c r="I13" s="78">
        <v>0</v>
      </c>
      <c r="J13" s="81">
        <v>400</v>
      </c>
      <c r="K13" s="81"/>
      <c r="L13" s="78"/>
      <c r="M13" s="78"/>
      <c r="N13" s="78"/>
      <c r="O13" s="81"/>
      <c r="P13" s="81"/>
      <c r="Q13" s="73">
        <f t="shared" si="0"/>
        <v>1200</v>
      </c>
      <c r="R13" s="165">
        <f t="shared" si="1"/>
        <v>2800</v>
      </c>
    </row>
    <row r="14" spans="1:18" ht="15.75" thickBot="1" x14ac:dyDescent="0.3">
      <c r="A14" s="80"/>
      <c r="B14" s="81"/>
      <c r="C14" s="81"/>
      <c r="D14" s="154"/>
      <c r="E14" s="162"/>
      <c r="F14" s="78"/>
      <c r="G14" s="78"/>
      <c r="H14" s="78"/>
      <c r="I14" s="78"/>
      <c r="J14" s="81"/>
      <c r="K14" s="81"/>
      <c r="L14" s="78"/>
      <c r="M14" s="78"/>
      <c r="N14" s="78"/>
      <c r="O14" s="81"/>
      <c r="P14" s="81"/>
      <c r="Q14" s="73">
        <f t="shared" si="0"/>
        <v>0</v>
      </c>
      <c r="R14" s="165">
        <f t="shared" si="1"/>
        <v>0</v>
      </c>
    </row>
    <row r="15" spans="1:18" ht="15.75" thickBot="1" x14ac:dyDescent="0.3">
      <c r="A15" s="80"/>
      <c r="B15" s="81"/>
      <c r="C15" s="81"/>
      <c r="D15" s="154"/>
      <c r="E15" s="162"/>
      <c r="F15" s="78"/>
      <c r="G15" s="78"/>
      <c r="H15" s="78"/>
      <c r="I15" s="78"/>
      <c r="J15" s="81"/>
      <c r="K15" s="81"/>
      <c r="L15" s="78"/>
      <c r="M15" s="78"/>
      <c r="N15" s="78"/>
      <c r="O15" s="81"/>
      <c r="P15" s="81"/>
      <c r="Q15" s="73">
        <f t="shared" si="0"/>
        <v>0</v>
      </c>
      <c r="R15" s="165">
        <f t="shared" si="1"/>
        <v>0</v>
      </c>
    </row>
    <row r="16" spans="1:18" ht="15.75" thickBot="1" x14ac:dyDescent="0.3">
      <c r="A16" s="80"/>
      <c r="B16" s="81"/>
      <c r="C16" s="81"/>
      <c r="D16" s="154"/>
      <c r="E16" s="162"/>
      <c r="F16" s="78"/>
      <c r="G16" s="78"/>
      <c r="H16" s="78"/>
      <c r="I16" s="78"/>
      <c r="J16" s="81"/>
      <c r="K16" s="81"/>
      <c r="L16" s="78"/>
      <c r="M16" s="78"/>
      <c r="N16" s="78"/>
      <c r="O16" s="81"/>
      <c r="P16" s="81"/>
      <c r="Q16" s="73">
        <f t="shared" si="0"/>
        <v>0</v>
      </c>
      <c r="R16" s="165">
        <f t="shared" si="1"/>
        <v>0</v>
      </c>
    </row>
    <row r="17" spans="1:18" ht="15.75" thickBot="1" x14ac:dyDescent="0.3">
      <c r="A17" s="80"/>
      <c r="B17" s="81"/>
      <c r="C17" s="81"/>
      <c r="D17" s="154"/>
      <c r="E17" s="162"/>
      <c r="F17" s="78"/>
      <c r="G17" s="78"/>
      <c r="H17" s="78"/>
      <c r="I17" s="78"/>
      <c r="J17" s="81"/>
      <c r="K17" s="81"/>
      <c r="L17" s="78"/>
      <c r="M17" s="78"/>
      <c r="N17" s="78"/>
      <c r="O17" s="81"/>
      <c r="P17" s="81"/>
      <c r="Q17" s="73">
        <f t="shared" si="0"/>
        <v>0</v>
      </c>
      <c r="R17" s="165">
        <f t="shared" si="1"/>
        <v>0</v>
      </c>
    </row>
    <row r="18" spans="1:18" ht="15.75" thickBot="1" x14ac:dyDescent="0.3">
      <c r="A18" s="80"/>
      <c r="B18" s="81"/>
      <c r="C18" s="81"/>
      <c r="D18" s="154"/>
      <c r="E18" s="162"/>
      <c r="F18" s="78"/>
      <c r="G18" s="78"/>
      <c r="H18" s="78"/>
      <c r="I18" s="78"/>
      <c r="J18" s="81"/>
      <c r="K18" s="81"/>
      <c r="L18" s="78"/>
      <c r="M18" s="78"/>
      <c r="N18" s="78"/>
      <c r="O18" s="81"/>
      <c r="P18" s="81"/>
      <c r="Q18" s="73">
        <f t="shared" si="0"/>
        <v>0</v>
      </c>
      <c r="R18" s="165">
        <f t="shared" si="1"/>
        <v>0</v>
      </c>
    </row>
    <row r="19" spans="1:18" ht="15.75" thickBot="1" x14ac:dyDescent="0.3">
      <c r="A19" s="80"/>
      <c r="B19" s="81"/>
      <c r="C19" s="81"/>
      <c r="D19" s="154"/>
      <c r="E19" s="162"/>
      <c r="F19" s="78"/>
      <c r="G19" s="78"/>
      <c r="H19" s="78"/>
      <c r="I19" s="78"/>
      <c r="J19" s="81"/>
      <c r="K19" s="81"/>
      <c r="L19" s="78"/>
      <c r="M19" s="78"/>
      <c r="N19" s="78"/>
      <c r="O19" s="81"/>
      <c r="P19" s="81"/>
      <c r="Q19" s="73">
        <f t="shared" si="0"/>
        <v>0</v>
      </c>
      <c r="R19" s="165">
        <f t="shared" si="1"/>
        <v>0</v>
      </c>
    </row>
    <row r="20" spans="1:18" ht="15.75" thickBot="1" x14ac:dyDescent="0.3">
      <c r="A20" t="s">
        <v>4</v>
      </c>
      <c r="E20" s="163">
        <f>SUM(E9:E19)</f>
        <v>16000</v>
      </c>
      <c r="F20" s="12"/>
      <c r="G20" s="12"/>
      <c r="H20" s="12"/>
      <c r="I20" s="12"/>
      <c r="J20" s="6"/>
      <c r="K20" s="6"/>
      <c r="L20" s="12"/>
      <c r="M20" s="12"/>
      <c r="N20" s="12"/>
      <c r="O20" s="6"/>
      <c r="P20" s="6"/>
      <c r="Q20" s="73">
        <f>SUM(Q9:Q19)</f>
        <v>7200</v>
      </c>
      <c r="R20" s="166">
        <f>SUM(R9:R19)</f>
        <v>8800</v>
      </c>
    </row>
    <row r="21" spans="1:18" ht="15.75" thickBot="1" x14ac:dyDescent="0.3"/>
    <row r="22" spans="1:18" ht="16.5" thickBot="1" x14ac:dyDescent="0.35">
      <c r="H22" s="291" t="s">
        <v>20</v>
      </c>
      <c r="I22" s="292"/>
      <c r="J22" s="15">
        <f>E20</f>
        <v>16000</v>
      </c>
    </row>
    <row r="23" spans="1:18" ht="19.5" thickBot="1" x14ac:dyDescent="0.45">
      <c r="H23" s="279" t="s">
        <v>3</v>
      </c>
      <c r="I23" s="280"/>
      <c r="J23" s="16">
        <f>Q20</f>
        <v>7200</v>
      </c>
    </row>
    <row r="24" spans="1:18" ht="19.5" thickBot="1" x14ac:dyDescent="0.45">
      <c r="H24" s="279" t="s">
        <v>7</v>
      </c>
      <c r="I24" s="279"/>
      <c r="J24" s="13">
        <f>R20</f>
        <v>8800</v>
      </c>
    </row>
    <row r="26" spans="1:18" ht="18.75" x14ac:dyDescent="0.25">
      <c r="D26" s="137">
        <v>45292</v>
      </c>
      <c r="E26" s="138" t="s">
        <v>47</v>
      </c>
      <c r="F26" s="138" t="s">
        <v>41</v>
      </c>
      <c r="G26" s="138" t="s">
        <v>42</v>
      </c>
      <c r="H26" s="138" t="s">
        <v>43</v>
      </c>
      <c r="I26" s="138" t="s">
        <v>44</v>
      </c>
      <c r="J26" s="139" t="s">
        <v>45</v>
      </c>
      <c r="K26" s="139" t="s">
        <v>46</v>
      </c>
      <c r="L26" s="298"/>
      <c r="M26" s="298"/>
      <c r="N26" s="298"/>
      <c r="O26" s="298"/>
      <c r="P26" s="298"/>
    </row>
    <row r="27" spans="1:18" ht="18.75" x14ac:dyDescent="0.25">
      <c r="D27" s="140" t="s">
        <v>125</v>
      </c>
      <c r="E27" s="141"/>
      <c r="F27" s="141"/>
      <c r="G27" s="141"/>
      <c r="H27" s="141">
        <v>45658</v>
      </c>
      <c r="I27" s="141">
        <v>45659</v>
      </c>
      <c r="J27" s="184">
        <v>45660</v>
      </c>
      <c r="K27" s="184">
        <v>45661</v>
      </c>
      <c r="L27" s="299"/>
      <c r="M27" s="299"/>
      <c r="N27" s="299"/>
      <c r="O27" s="299"/>
      <c r="P27" s="299"/>
    </row>
    <row r="40" spans="11:11" x14ac:dyDescent="0.25">
      <c r="K40" t="s">
        <v>31</v>
      </c>
    </row>
  </sheetData>
  <sheetProtection algorithmName="SHA-512" hashValue="UydEV8AFeq7+piclrlaqZghswWax5kbHk1J3cxqKMxcZghjA+9h4sl9LFg3yGQ3ZioRn1vP2gmEE7DYw8VZzCw==" saltValue="GTpsKi9raEGYRI0j9zaK9w==" spinCount="100000" sheet="1" formatCells="0" formatColumns="0" formatRows="0" insertColumns="0" insertRows="0" insertHyperlinks="0" deleteColumns="0" deleteRows="0" sort="0" autoFilter="0" pivotTables="0"/>
  <autoFilter ref="A8:R8" xr:uid="{3D079663-11E6-458E-804C-75A240A0AFEB}"/>
  <mergeCells count="9">
    <mergeCell ref="H22:I22"/>
    <mergeCell ref="H23:I23"/>
    <mergeCell ref="H24:I24"/>
    <mergeCell ref="A1:B5"/>
    <mergeCell ref="C1:G2"/>
    <mergeCell ref="H1:I2"/>
    <mergeCell ref="C3:I7"/>
    <mergeCell ref="A6:B6"/>
    <mergeCell ref="A7:B7"/>
  </mergeCells>
  <phoneticPr fontId="18" type="noConversion"/>
  <conditionalFormatting sqref="E27:P27">
    <cfRule type="expression" dxfId="935" priority="1">
      <formula>IFERROR(INDEX(DiasCategorias, E27-FechaInicio+1),0)=1</formula>
    </cfRule>
    <cfRule type="expression" dxfId="934" priority="2">
      <formula>IFERROR(INDEX(DiasCategorias, E27-FechaInicio+1),0)=2</formula>
    </cfRule>
    <cfRule type="expression" dxfId="933" priority="3">
      <formula>IFERROR(INDEX(DiasCategorias, E27-FechaInicio+1),0)=3</formula>
    </cfRule>
    <cfRule type="expression" dxfId="932" priority="4">
      <formula>IFERROR(INDEX(DiasCategorias, E27-FechaInicio+1),0)=4</formula>
    </cfRule>
    <cfRule type="expression" dxfId="931" priority="5">
      <formula>IFERROR(INDEX(DiasCategorias, E27-FechaInicio+1),0)=5</formula>
    </cfRule>
    <cfRule type="expression" dxfId="930" priority="6">
      <formula>IFERROR(INDEX(DiasCategorias, E27-FechaInicio+1),0)=6</formula>
    </cfRule>
    <cfRule type="expression" dxfId="929" priority="7">
      <formula>IFERROR(INDEX(DiasCategorias, E27-FechaInicio+1),0)=7</formula>
    </cfRule>
    <cfRule type="expression" dxfId="928" priority="8">
      <formula>IFERROR(INDEX(DiasCategorias, E27-FechaInicio+1),0)=8</formula>
    </cfRule>
    <cfRule type="expression" dxfId="927" priority="9">
      <formula>IFERROR(INDEX(DiasCategorias, E27-FechaInicio+1),0)=9</formula>
    </cfRule>
    <cfRule type="expression" dxfId="926" priority="10">
      <formula>IFERROR(INDEX(DiasCategorias, E27-FechaInicio+1),0)=10</formula>
    </cfRule>
    <cfRule type="expression" dxfId="925" priority="11">
      <formula>IFERROR(INDEX(DiasCategorias, E27-FechaInicio+1),0)=11</formula>
    </cfRule>
    <cfRule type="expression" dxfId="924" priority="12">
      <formula>IFERROR(INDEX(DiasCategorias, E27-FechaInicio+1),0)=12</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6151C-9E9A-4F6D-B17D-C0563D7409A5}">
  <sheetPr codeName="Hoja54">
    <tabColor theme="7" tint="0.39997558519241921"/>
  </sheetPr>
  <dimension ref="A1:S40"/>
  <sheetViews>
    <sheetView workbookViewId="0">
      <selection activeCell="J10" sqref="J10"/>
    </sheetView>
  </sheetViews>
  <sheetFormatPr baseColWidth="10" defaultRowHeight="15" x14ac:dyDescent="0.25"/>
  <cols>
    <col min="2" max="2" width="9.140625" customWidth="1"/>
    <col min="3" max="3" width="33.28515625" customWidth="1"/>
    <col min="4" max="4" width="17.5703125" customWidth="1"/>
    <col min="5" max="5" width="13.140625" bestFit="1" customWidth="1"/>
    <col min="6" max="15" width="15.42578125" bestFit="1" customWidth="1"/>
    <col min="16" max="16" width="15.14062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2</v>
      </c>
      <c r="B7" s="274"/>
      <c r="C7" s="296"/>
      <c r="D7" s="296"/>
      <c r="E7" s="296"/>
      <c r="F7" s="296"/>
      <c r="G7" s="296"/>
      <c r="H7" s="296"/>
      <c r="I7" s="296"/>
    </row>
    <row r="8" spans="1:19" ht="19.5" thickBot="1" x14ac:dyDescent="0.45">
      <c r="A8" s="29" t="s">
        <v>14</v>
      </c>
      <c r="B8" s="29" t="s">
        <v>15</v>
      </c>
      <c r="C8" s="29" t="s">
        <v>16</v>
      </c>
      <c r="D8" s="29" t="s">
        <v>114</v>
      </c>
      <c r="E8" s="30" t="s">
        <v>17</v>
      </c>
      <c r="F8" s="75" t="s">
        <v>60</v>
      </c>
      <c r="G8" s="75" t="s">
        <v>59</v>
      </c>
      <c r="H8" s="75" t="s">
        <v>61</v>
      </c>
      <c r="I8" s="75" t="s">
        <v>62</v>
      </c>
      <c r="J8" s="75" t="s">
        <v>63</v>
      </c>
      <c r="K8" s="75" t="s">
        <v>64</v>
      </c>
      <c r="L8" s="75" t="s">
        <v>65</v>
      </c>
      <c r="M8" s="75" t="s">
        <v>66</v>
      </c>
      <c r="N8" s="75" t="s">
        <v>67</v>
      </c>
      <c r="O8" s="75" t="s">
        <v>68</v>
      </c>
      <c r="P8" s="75" t="s">
        <v>69</v>
      </c>
      <c r="Q8" s="30" t="s">
        <v>4</v>
      </c>
      <c r="R8" s="198" t="s">
        <v>18</v>
      </c>
    </row>
    <row r="9" spans="1:19" ht="15.75" thickBot="1" x14ac:dyDescent="0.3">
      <c r="A9" s="80">
        <v>46032</v>
      </c>
      <c r="B9" s="81">
        <v>743</v>
      </c>
      <c r="C9" s="81" t="s">
        <v>566</v>
      </c>
      <c r="D9" s="154" t="s">
        <v>548</v>
      </c>
      <c r="E9" s="162">
        <v>5000</v>
      </c>
      <c r="F9" s="78">
        <v>500</v>
      </c>
      <c r="G9" s="78">
        <v>500</v>
      </c>
      <c r="H9" s="197">
        <v>500</v>
      </c>
      <c r="I9" s="197">
        <v>500</v>
      </c>
      <c r="J9" s="197">
        <v>500</v>
      </c>
      <c r="K9" s="81"/>
      <c r="L9" s="81"/>
      <c r="M9" s="81"/>
      <c r="N9" s="81"/>
      <c r="O9" s="81"/>
      <c r="P9" s="81"/>
      <c r="Q9" s="73">
        <f>SUM(F9:P9)</f>
        <v>2500</v>
      </c>
      <c r="R9" s="199">
        <f>E9-Q9</f>
        <v>2500</v>
      </c>
      <c r="S9">
        <f>_xlfn.ISOWEEKNUM(A9)</f>
        <v>2</v>
      </c>
    </row>
    <row r="10" spans="1:19" ht="15.75" thickBot="1" x14ac:dyDescent="0.3">
      <c r="A10" s="80"/>
      <c r="B10" s="81"/>
      <c r="C10" s="81"/>
      <c r="D10" s="154"/>
      <c r="E10" s="162"/>
      <c r="F10" s="78"/>
      <c r="G10" s="78"/>
      <c r="H10" s="78"/>
      <c r="I10" s="78"/>
      <c r="J10" s="197"/>
      <c r="K10" s="81"/>
      <c r="L10" s="81"/>
      <c r="M10" s="81"/>
      <c r="N10" s="81"/>
      <c r="O10" s="81"/>
      <c r="P10" s="81"/>
      <c r="Q10" s="73">
        <f t="shared" ref="Q10:Q19" si="0">SUM(F10:P10)</f>
        <v>0</v>
      </c>
      <c r="R10" s="199">
        <f t="shared" ref="R10:R19" si="1">E10-Q10</f>
        <v>0</v>
      </c>
    </row>
    <row r="11" spans="1:19" ht="15.75" thickBot="1" x14ac:dyDescent="0.3">
      <c r="A11" s="80"/>
      <c r="B11" s="81"/>
      <c r="C11" s="81"/>
      <c r="D11" s="154"/>
      <c r="E11" s="162"/>
      <c r="F11" s="78"/>
      <c r="G11" s="78"/>
      <c r="H11" s="78"/>
      <c r="I11" s="78"/>
      <c r="J11" s="197"/>
      <c r="K11" s="81"/>
      <c r="L11" s="81"/>
      <c r="M11" s="81"/>
      <c r="N11" s="81"/>
      <c r="O11" s="81"/>
      <c r="P11" s="81"/>
      <c r="Q11" s="73">
        <f t="shared" si="0"/>
        <v>0</v>
      </c>
      <c r="R11" s="199">
        <f t="shared" si="1"/>
        <v>0</v>
      </c>
    </row>
    <row r="12" spans="1:19" ht="15.75" thickBot="1" x14ac:dyDescent="0.3">
      <c r="A12" s="80"/>
      <c r="B12" s="81"/>
      <c r="C12" s="81"/>
      <c r="D12" s="154"/>
      <c r="E12" s="162"/>
      <c r="F12" s="78"/>
      <c r="G12" s="78"/>
      <c r="H12" s="78"/>
      <c r="I12" s="78"/>
      <c r="J12" s="197"/>
      <c r="K12" s="81"/>
      <c r="L12" s="81"/>
      <c r="M12" s="81"/>
      <c r="N12" s="81"/>
      <c r="O12" s="81"/>
      <c r="P12" s="81"/>
      <c r="Q12" s="73">
        <f t="shared" si="0"/>
        <v>0</v>
      </c>
      <c r="R12" s="199">
        <f t="shared" si="1"/>
        <v>0</v>
      </c>
    </row>
    <row r="13" spans="1:19" ht="15.75" thickBot="1" x14ac:dyDescent="0.3">
      <c r="A13" s="80"/>
      <c r="B13" s="81"/>
      <c r="C13" s="81"/>
      <c r="D13" s="154"/>
      <c r="E13" s="162"/>
      <c r="F13" s="78"/>
      <c r="G13" s="78"/>
      <c r="H13" s="78"/>
      <c r="I13" s="78"/>
      <c r="J13" s="197"/>
      <c r="K13" s="81"/>
      <c r="L13" s="81"/>
      <c r="M13" s="81"/>
      <c r="N13" s="81"/>
      <c r="O13" s="81"/>
      <c r="P13" s="81"/>
      <c r="Q13" s="73">
        <f t="shared" si="0"/>
        <v>0</v>
      </c>
      <c r="R13" s="199">
        <f t="shared" si="1"/>
        <v>0</v>
      </c>
    </row>
    <row r="14" spans="1:19" ht="15.75" thickBot="1" x14ac:dyDescent="0.3">
      <c r="A14" s="80"/>
      <c r="B14" s="81"/>
      <c r="C14" s="81"/>
      <c r="D14" s="154"/>
      <c r="E14" s="162"/>
      <c r="F14" s="78"/>
      <c r="G14" s="78"/>
      <c r="H14" s="78"/>
      <c r="I14" s="78"/>
      <c r="J14" s="81"/>
      <c r="K14" s="81"/>
      <c r="L14" s="81"/>
      <c r="M14" s="81"/>
      <c r="N14" s="81"/>
      <c r="O14" s="81"/>
      <c r="P14" s="81"/>
      <c r="Q14" s="73">
        <f t="shared" si="0"/>
        <v>0</v>
      </c>
      <c r="R14" s="199">
        <f t="shared" si="1"/>
        <v>0</v>
      </c>
    </row>
    <row r="15" spans="1:19" ht="15.75" thickBot="1" x14ac:dyDescent="0.3">
      <c r="A15" s="80"/>
      <c r="B15" s="81"/>
      <c r="C15" s="81"/>
      <c r="D15" s="154"/>
      <c r="E15" s="162"/>
      <c r="F15" s="78"/>
      <c r="G15" s="78"/>
      <c r="H15" s="78"/>
      <c r="I15" s="78"/>
      <c r="J15" s="81"/>
      <c r="K15" s="81"/>
      <c r="L15" s="81"/>
      <c r="M15" s="81"/>
      <c r="N15" s="81"/>
      <c r="O15" s="81"/>
      <c r="P15" s="81"/>
      <c r="Q15" s="73">
        <f t="shared" si="0"/>
        <v>0</v>
      </c>
      <c r="R15" s="199">
        <f t="shared" si="1"/>
        <v>0</v>
      </c>
    </row>
    <row r="16" spans="1:19" ht="15.75" thickBot="1" x14ac:dyDescent="0.3">
      <c r="A16" s="80"/>
      <c r="B16" s="81"/>
      <c r="C16" s="81"/>
      <c r="D16" s="154"/>
      <c r="E16" s="162"/>
      <c r="F16" s="78"/>
      <c r="G16" s="78"/>
      <c r="H16" s="78"/>
      <c r="I16" s="78"/>
      <c r="J16" s="81"/>
      <c r="K16" s="81"/>
      <c r="L16" s="81"/>
      <c r="M16" s="81"/>
      <c r="N16" s="81"/>
      <c r="O16" s="81"/>
      <c r="P16" s="81"/>
      <c r="Q16" s="73">
        <f t="shared" si="0"/>
        <v>0</v>
      </c>
      <c r="R16" s="199">
        <f t="shared" si="1"/>
        <v>0</v>
      </c>
    </row>
    <row r="17" spans="1:18" ht="15.75" thickBot="1" x14ac:dyDescent="0.3">
      <c r="A17" s="80"/>
      <c r="B17" s="81"/>
      <c r="C17" s="81"/>
      <c r="D17" s="154"/>
      <c r="E17" s="162"/>
      <c r="F17" s="78"/>
      <c r="G17" s="78"/>
      <c r="H17" s="78"/>
      <c r="I17" s="78"/>
      <c r="J17" s="81"/>
      <c r="K17" s="81"/>
      <c r="L17" s="81"/>
      <c r="M17" s="81"/>
      <c r="N17" s="81"/>
      <c r="O17" s="81"/>
      <c r="P17" s="81"/>
      <c r="Q17" s="73">
        <f t="shared" si="0"/>
        <v>0</v>
      </c>
      <c r="R17" s="199">
        <f t="shared" si="1"/>
        <v>0</v>
      </c>
    </row>
    <row r="18" spans="1:18" ht="15.75" thickBot="1" x14ac:dyDescent="0.3">
      <c r="A18" s="80"/>
      <c r="B18" s="81"/>
      <c r="C18" s="81"/>
      <c r="D18" s="154"/>
      <c r="E18" s="162"/>
      <c r="F18" s="78"/>
      <c r="G18" s="78"/>
      <c r="H18" s="78"/>
      <c r="I18" s="78"/>
      <c r="J18" s="81"/>
      <c r="K18" s="81"/>
      <c r="L18" s="81"/>
      <c r="M18" s="81"/>
      <c r="N18" s="81"/>
      <c r="O18" s="81"/>
      <c r="P18" s="81"/>
      <c r="Q18" s="73">
        <f t="shared" si="0"/>
        <v>0</v>
      </c>
      <c r="R18" s="199">
        <f t="shared" si="1"/>
        <v>0</v>
      </c>
    </row>
    <row r="19" spans="1:18" ht="15.75" thickBot="1" x14ac:dyDescent="0.3">
      <c r="A19" s="80"/>
      <c r="B19" s="81"/>
      <c r="C19" s="81"/>
      <c r="D19" s="154"/>
      <c r="E19" s="162"/>
      <c r="F19" s="78"/>
      <c r="G19" s="78"/>
      <c r="H19" s="78"/>
      <c r="I19" s="78"/>
      <c r="J19" s="81"/>
      <c r="K19" s="81"/>
      <c r="L19" s="81"/>
      <c r="M19" s="81"/>
      <c r="N19" s="81"/>
      <c r="O19" s="81"/>
      <c r="P19" s="81"/>
      <c r="Q19" s="73">
        <f t="shared" si="0"/>
        <v>0</v>
      </c>
      <c r="R19" s="199">
        <f t="shared" si="1"/>
        <v>0</v>
      </c>
    </row>
    <row r="20" spans="1:18" ht="15.75" thickBot="1" x14ac:dyDescent="0.3">
      <c r="A20" t="s">
        <v>4</v>
      </c>
      <c r="E20" s="163">
        <f>SUM(E9:E19)</f>
        <v>5000</v>
      </c>
      <c r="F20" s="12"/>
      <c r="G20" s="12"/>
      <c r="H20" s="12"/>
      <c r="I20" s="12"/>
      <c r="J20" s="6"/>
      <c r="K20" s="6"/>
      <c r="L20" s="6"/>
      <c r="M20" s="6"/>
      <c r="N20" s="6"/>
      <c r="O20" s="6"/>
      <c r="P20" s="6"/>
      <c r="Q20" s="73">
        <f>SUM(Q9:Q19)</f>
        <v>2500</v>
      </c>
      <c r="R20" s="100">
        <f>SUM(R9:R19)</f>
        <v>2500</v>
      </c>
    </row>
    <row r="21" spans="1:18" ht="15.75" thickBot="1" x14ac:dyDescent="0.3"/>
    <row r="22" spans="1:18" ht="16.5" thickBot="1" x14ac:dyDescent="0.35">
      <c r="H22" s="291" t="s">
        <v>20</v>
      </c>
      <c r="I22" s="292"/>
      <c r="J22" s="15">
        <f>E20</f>
        <v>5000</v>
      </c>
    </row>
    <row r="23" spans="1:18" ht="19.5" thickBot="1" x14ac:dyDescent="0.45">
      <c r="H23" s="279" t="s">
        <v>3</v>
      </c>
      <c r="I23" s="280"/>
      <c r="J23" s="16">
        <f>Q20</f>
        <v>2500</v>
      </c>
    </row>
    <row r="24" spans="1:18" ht="19.5" thickBot="1" x14ac:dyDescent="0.45">
      <c r="H24" s="279" t="s">
        <v>7</v>
      </c>
      <c r="I24" s="279"/>
      <c r="J24" s="13">
        <f>R20</f>
        <v>2500</v>
      </c>
    </row>
    <row r="26" spans="1:18" ht="18.75" x14ac:dyDescent="0.25">
      <c r="D26" s="137">
        <v>45292</v>
      </c>
      <c r="E26" s="138" t="s">
        <v>47</v>
      </c>
      <c r="F26" s="138" t="s">
        <v>41</v>
      </c>
      <c r="G26" s="138" t="s">
        <v>42</v>
      </c>
      <c r="H26" s="138" t="s">
        <v>43</v>
      </c>
      <c r="I26" s="138" t="s">
        <v>44</v>
      </c>
      <c r="J26" s="139" t="s">
        <v>45</v>
      </c>
      <c r="K26" s="139" t="s">
        <v>46</v>
      </c>
    </row>
    <row r="27" spans="1:18" ht="18.75" x14ac:dyDescent="0.25">
      <c r="D27" s="140" t="s">
        <v>126</v>
      </c>
      <c r="E27" s="141">
        <v>45662</v>
      </c>
      <c r="F27" s="141">
        <v>45663</v>
      </c>
      <c r="G27" s="141">
        <v>45664</v>
      </c>
      <c r="H27" s="141">
        <v>45665</v>
      </c>
      <c r="I27" s="141">
        <v>45666</v>
      </c>
      <c r="J27" s="184">
        <v>45667</v>
      </c>
      <c r="K27" s="184">
        <v>45668</v>
      </c>
    </row>
    <row r="40" spans="11:11" x14ac:dyDescent="0.25">
      <c r="K40" t="s">
        <v>31</v>
      </c>
    </row>
  </sheetData>
  <sheetProtection algorithmName="SHA-512" hashValue="hCd6jEUbP5LVwJ/bBCVnK9bVKhgvWBX83Hy0Z7Gqag60zBOfe9iWoPYYX0W09ojrLqVfdqsE3MF387pajncJgQ==" saltValue="FymYQ8KjaLSp3FBAsoMO/A==" spinCount="100000" sheet="1" formatCells="0" formatColumns="0" formatRows="0" insertColumns="0" insertRows="0" insertHyperlinks="0" deleteColumns="0" deleteRows="0" sort="0" autoFilter="0" pivotTables="0"/>
  <autoFilter ref="A8:R8" xr:uid="{EF36151C-9E9A-4F6D-B17D-C0563D7409A5}"/>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923" priority="1">
      <formula>IFERROR(INDEX(DiasCategorias, E27-FechaInicio+1),0)=1</formula>
    </cfRule>
    <cfRule type="expression" dxfId="922" priority="2">
      <formula>IFERROR(INDEX(DiasCategorias, E27-FechaInicio+1),0)=2</formula>
    </cfRule>
    <cfRule type="expression" dxfId="921" priority="3">
      <formula>IFERROR(INDEX(DiasCategorias, E27-FechaInicio+1),0)=3</formula>
    </cfRule>
    <cfRule type="expression" dxfId="920" priority="4">
      <formula>IFERROR(INDEX(DiasCategorias, E27-FechaInicio+1),0)=4</formula>
    </cfRule>
    <cfRule type="expression" dxfId="919" priority="5">
      <formula>IFERROR(INDEX(DiasCategorias, E27-FechaInicio+1),0)=5</formula>
    </cfRule>
    <cfRule type="expression" dxfId="918" priority="6">
      <formula>IFERROR(INDEX(DiasCategorias, E27-FechaInicio+1),0)=6</formula>
    </cfRule>
    <cfRule type="expression" dxfId="917" priority="7">
      <formula>IFERROR(INDEX(DiasCategorias, E27-FechaInicio+1),0)=7</formula>
    </cfRule>
    <cfRule type="expression" dxfId="916" priority="8">
      <formula>IFERROR(INDEX(DiasCategorias, E27-FechaInicio+1),0)=8</formula>
    </cfRule>
    <cfRule type="expression" dxfId="915" priority="9">
      <formula>IFERROR(INDEX(DiasCategorias, E27-FechaInicio+1),0)=9</formula>
    </cfRule>
    <cfRule type="expression" dxfId="914" priority="10">
      <formula>IFERROR(INDEX(DiasCategorias, E27-FechaInicio+1),0)=10</formula>
    </cfRule>
    <cfRule type="expression" dxfId="913" priority="11">
      <formula>IFERROR(INDEX(DiasCategorias, E27-FechaInicio+1),0)=11</formula>
    </cfRule>
    <cfRule type="expression" dxfId="912" priority="12">
      <formula>IFERROR(INDEX(DiasCategorias, E27-FechaInicio+1),0)=12</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1443-6BBD-4952-94D0-B938E908EFFF}">
  <sheetPr codeName="Hoja52">
    <tabColor theme="9" tint="0.39997558519241921"/>
  </sheetPr>
  <dimension ref="A1:Y41"/>
  <sheetViews>
    <sheetView zoomScaleNormal="100" workbookViewId="0">
      <selection activeCell="L14" sqref="L14"/>
    </sheetView>
  </sheetViews>
  <sheetFormatPr baseColWidth="10" defaultRowHeight="15" x14ac:dyDescent="0.25"/>
  <cols>
    <col min="2" max="2" width="9.140625" customWidth="1"/>
    <col min="3" max="3" width="30.7109375" customWidth="1"/>
    <col min="4" max="4" width="14.140625" customWidth="1"/>
    <col min="5" max="5" width="13.140625" bestFit="1" customWidth="1"/>
    <col min="6" max="6" width="15.85546875" bestFit="1" customWidth="1"/>
    <col min="7" max="7" width="15" customWidth="1"/>
    <col min="8" max="8" width="16" customWidth="1"/>
    <col min="9" max="9" width="12.28515625" customWidth="1"/>
    <col min="10" max="10" width="13" customWidth="1"/>
    <col min="11" max="11" width="11.28515625" customWidth="1"/>
    <col min="12" max="12" width="11.85546875" customWidth="1"/>
    <col min="13" max="13" width="18" customWidth="1"/>
    <col min="14" max="14" width="10.7109375" customWidth="1"/>
    <col min="15" max="22" width="15.85546875" bestFit="1" customWidth="1"/>
  </cols>
  <sheetData>
    <row r="1" spans="1:25" ht="15" customHeight="1" x14ac:dyDescent="0.25">
      <c r="A1" s="268"/>
      <c r="B1" s="268"/>
      <c r="C1" s="281" t="s">
        <v>8</v>
      </c>
      <c r="D1" s="282"/>
      <c r="E1" s="282"/>
      <c r="F1" s="282"/>
      <c r="G1" s="283"/>
      <c r="H1" s="288"/>
      <c r="I1" s="289"/>
    </row>
    <row r="2" spans="1:25" ht="15.75" customHeight="1" thickBot="1" x14ac:dyDescent="0.3">
      <c r="A2" s="268"/>
      <c r="B2" s="268"/>
      <c r="C2" s="285"/>
      <c r="D2" s="286"/>
      <c r="E2" s="286"/>
      <c r="F2" s="286"/>
      <c r="G2" s="287"/>
      <c r="H2" s="288"/>
      <c r="I2" s="289"/>
    </row>
    <row r="3" spans="1:25" x14ac:dyDescent="0.25">
      <c r="A3" s="268"/>
      <c r="B3" s="268"/>
      <c r="C3" s="268"/>
      <c r="D3" s="268"/>
      <c r="E3" s="268"/>
      <c r="F3" s="268"/>
      <c r="G3" s="268"/>
      <c r="H3" s="268"/>
      <c r="I3" s="268"/>
    </row>
    <row r="4" spans="1:25" x14ac:dyDescent="0.25">
      <c r="A4" s="268"/>
      <c r="B4" s="268"/>
      <c r="C4" s="268"/>
      <c r="D4" s="268"/>
      <c r="E4" s="268"/>
      <c r="F4" s="268"/>
      <c r="G4" s="268"/>
      <c r="H4" s="268"/>
      <c r="I4" s="268"/>
    </row>
    <row r="5" spans="1:25" x14ac:dyDescent="0.25">
      <c r="A5" s="268"/>
      <c r="B5" s="268"/>
      <c r="C5" s="268"/>
      <c r="D5" s="268"/>
      <c r="E5" s="268"/>
      <c r="F5" s="268"/>
      <c r="G5" s="268"/>
      <c r="H5" s="268"/>
      <c r="I5" s="268"/>
    </row>
    <row r="6" spans="1:25" ht="27" x14ac:dyDescent="0.5">
      <c r="A6" s="273" t="s">
        <v>10</v>
      </c>
      <c r="B6" s="273"/>
      <c r="C6" s="268"/>
      <c r="D6" s="268"/>
      <c r="E6" s="268"/>
      <c r="F6" s="268"/>
      <c r="G6" s="268"/>
      <c r="H6" s="268"/>
      <c r="I6" s="268"/>
    </row>
    <row r="7" spans="1:25" ht="27.75" thickBot="1" x14ac:dyDescent="0.55000000000000004">
      <c r="A7" s="274">
        <v>3</v>
      </c>
      <c r="B7" s="274"/>
      <c r="C7" s="296"/>
      <c r="D7" s="296"/>
      <c r="E7" s="296"/>
      <c r="F7" s="296"/>
      <c r="G7" s="296"/>
      <c r="H7" s="296"/>
      <c r="I7" s="296"/>
    </row>
    <row r="8" spans="1:25" ht="19.5" thickBot="1" x14ac:dyDescent="0.45">
      <c r="A8" s="29" t="s">
        <v>14</v>
      </c>
      <c r="B8" s="29" t="s">
        <v>15</v>
      </c>
      <c r="C8" s="29" t="s">
        <v>16</v>
      </c>
      <c r="D8" s="29" t="s">
        <v>114</v>
      </c>
      <c r="E8" s="30" t="s">
        <v>17</v>
      </c>
      <c r="F8" s="75" t="s">
        <v>59</v>
      </c>
      <c r="G8" s="75" t="s">
        <v>61</v>
      </c>
      <c r="H8" s="75" t="s">
        <v>62</v>
      </c>
      <c r="I8" s="75" t="s">
        <v>63</v>
      </c>
      <c r="J8" s="75" t="s">
        <v>64</v>
      </c>
      <c r="K8" s="75" t="s">
        <v>65</v>
      </c>
      <c r="L8" s="75" t="s">
        <v>66</v>
      </c>
      <c r="M8" s="75" t="s">
        <v>67</v>
      </c>
      <c r="N8" s="75" t="s">
        <v>68</v>
      </c>
      <c r="O8" s="75" t="s">
        <v>69</v>
      </c>
      <c r="P8" s="75" t="s">
        <v>70</v>
      </c>
      <c r="Q8" s="75" t="s">
        <v>71</v>
      </c>
      <c r="R8" s="75" t="s">
        <v>72</v>
      </c>
      <c r="S8" s="75" t="s">
        <v>73</v>
      </c>
      <c r="T8" s="119" t="s">
        <v>74</v>
      </c>
      <c r="U8" s="119" t="s">
        <v>75</v>
      </c>
      <c r="V8" s="119" t="s">
        <v>76</v>
      </c>
      <c r="W8" s="120" t="s">
        <v>4</v>
      </c>
      <c r="X8" s="198" t="s">
        <v>18</v>
      </c>
    </row>
    <row r="9" spans="1:25" ht="15.75" thickBot="1" x14ac:dyDescent="0.3">
      <c r="A9" s="80">
        <v>46040</v>
      </c>
      <c r="B9" s="81">
        <v>382</v>
      </c>
      <c r="C9" s="81" t="s">
        <v>558</v>
      </c>
      <c r="D9" s="154" t="s">
        <v>559</v>
      </c>
      <c r="E9" s="162">
        <v>1500</v>
      </c>
      <c r="F9" s="78">
        <v>150</v>
      </c>
      <c r="G9" s="78">
        <v>150</v>
      </c>
      <c r="H9" s="197">
        <v>150</v>
      </c>
      <c r="I9" s="197">
        <v>150</v>
      </c>
      <c r="J9" s="81"/>
      <c r="K9" s="81"/>
      <c r="L9" s="81"/>
      <c r="M9" s="81"/>
      <c r="N9" s="81"/>
      <c r="O9" s="81"/>
      <c r="P9" s="81"/>
      <c r="Q9" s="81"/>
      <c r="R9" s="81"/>
      <c r="S9" s="81"/>
      <c r="T9" s="154"/>
      <c r="U9" s="81"/>
      <c r="V9" s="81"/>
      <c r="W9" s="73">
        <f>SUM(F9:V9)</f>
        <v>600</v>
      </c>
      <c r="X9" s="199">
        <f>E9-W9</f>
        <v>900</v>
      </c>
      <c r="Y9">
        <f>_xlfn.ISOWEEKNUM(A9)</f>
        <v>3</v>
      </c>
    </row>
    <row r="10" spans="1:25" ht="15.75" thickBot="1" x14ac:dyDescent="0.3">
      <c r="A10" s="80">
        <v>46040</v>
      </c>
      <c r="B10" s="81">
        <v>487</v>
      </c>
      <c r="C10" s="81" t="s">
        <v>565</v>
      </c>
      <c r="D10" s="154" t="s">
        <v>549</v>
      </c>
      <c r="E10" s="162">
        <v>3000</v>
      </c>
      <c r="F10" s="78">
        <v>300</v>
      </c>
      <c r="G10" s="78">
        <v>300</v>
      </c>
      <c r="H10" s="197">
        <v>300</v>
      </c>
      <c r="I10" s="197">
        <v>300</v>
      </c>
      <c r="J10" s="81"/>
      <c r="K10" s="81"/>
      <c r="L10" s="81"/>
      <c r="M10" s="81"/>
      <c r="N10" s="81"/>
      <c r="O10" s="81"/>
      <c r="P10" s="81"/>
      <c r="Q10" s="81"/>
      <c r="R10" s="81"/>
      <c r="S10" s="81"/>
      <c r="T10" s="154"/>
      <c r="U10" s="81"/>
      <c r="V10" s="81"/>
      <c r="W10" s="73">
        <f t="shared" ref="W10:W20" si="0">SUM(F10:V10)</f>
        <v>1200</v>
      </c>
      <c r="X10" s="199">
        <f t="shared" ref="X10:X20" si="1">E10-W10</f>
        <v>1800</v>
      </c>
    </row>
    <row r="11" spans="1:25" ht="15.75" thickBot="1" x14ac:dyDescent="0.3">
      <c r="A11" s="80">
        <v>46040</v>
      </c>
      <c r="B11" s="81">
        <v>563</v>
      </c>
      <c r="C11" s="81" t="s">
        <v>560</v>
      </c>
      <c r="D11" s="154" t="s">
        <v>549</v>
      </c>
      <c r="E11" s="162">
        <v>5000</v>
      </c>
      <c r="F11" s="78">
        <v>500</v>
      </c>
      <c r="G11" s="78">
        <v>500</v>
      </c>
      <c r="H11" s="78">
        <v>500</v>
      </c>
      <c r="I11" s="78">
        <v>500</v>
      </c>
      <c r="J11" s="78"/>
      <c r="K11" s="81"/>
      <c r="L11" s="81"/>
      <c r="M11" s="81"/>
      <c r="N11" s="81"/>
      <c r="O11" s="81"/>
      <c r="P11" s="81"/>
      <c r="Q11" s="81"/>
      <c r="R11" s="81"/>
      <c r="S11" s="81"/>
      <c r="T11" s="154"/>
      <c r="U11" s="81"/>
      <c r="V11" s="81"/>
      <c r="W11" s="73">
        <f t="shared" si="0"/>
        <v>2000</v>
      </c>
      <c r="X11" s="199">
        <f t="shared" si="1"/>
        <v>3000</v>
      </c>
    </row>
    <row r="12" spans="1:25" ht="16.5" customHeight="1" thickBot="1" x14ac:dyDescent="0.3">
      <c r="A12" s="80">
        <v>46040</v>
      </c>
      <c r="B12" s="81">
        <v>794</v>
      </c>
      <c r="C12" s="81" t="s">
        <v>561</v>
      </c>
      <c r="D12" s="156" t="s">
        <v>559</v>
      </c>
      <c r="E12" s="162">
        <v>5000</v>
      </c>
      <c r="F12" s="78">
        <v>500</v>
      </c>
      <c r="G12" s="78">
        <v>500</v>
      </c>
      <c r="H12" s="78">
        <v>500</v>
      </c>
      <c r="I12" s="78">
        <v>500</v>
      </c>
      <c r="J12" s="78"/>
      <c r="K12" s="81"/>
      <c r="L12" s="81"/>
      <c r="M12" s="81"/>
      <c r="N12" s="81"/>
      <c r="O12" s="81"/>
      <c r="P12" s="81"/>
      <c r="Q12" s="81"/>
      <c r="R12" s="81"/>
      <c r="S12" s="81"/>
      <c r="T12" s="154"/>
      <c r="U12" s="81"/>
      <c r="V12" s="81"/>
      <c r="W12" s="73">
        <f t="shared" si="0"/>
        <v>2000</v>
      </c>
      <c r="X12" s="199">
        <f t="shared" si="1"/>
        <v>3000</v>
      </c>
    </row>
    <row r="13" spans="1:25" ht="15.75" thickBot="1" x14ac:dyDescent="0.3">
      <c r="A13" s="80">
        <v>46040</v>
      </c>
      <c r="B13" s="81">
        <v>819</v>
      </c>
      <c r="C13" s="81" t="s">
        <v>562</v>
      </c>
      <c r="D13" s="154" t="s">
        <v>559</v>
      </c>
      <c r="E13" s="162">
        <v>3000</v>
      </c>
      <c r="F13" s="78">
        <v>300</v>
      </c>
      <c r="G13" s="78">
        <v>300</v>
      </c>
      <c r="H13" s="78">
        <v>300</v>
      </c>
      <c r="I13" s="78">
        <v>300</v>
      </c>
      <c r="J13" s="78"/>
      <c r="K13" s="81"/>
      <c r="L13" s="81"/>
      <c r="M13" s="81"/>
      <c r="N13" s="81"/>
      <c r="O13" s="81"/>
      <c r="P13" s="81"/>
      <c r="Q13" s="81"/>
      <c r="R13" s="81"/>
      <c r="S13" s="81"/>
      <c r="T13" s="154"/>
      <c r="U13" s="81"/>
      <c r="V13" s="81"/>
      <c r="W13" s="73">
        <f t="shared" si="0"/>
        <v>1200</v>
      </c>
      <c r="X13" s="199">
        <f t="shared" si="1"/>
        <v>1800</v>
      </c>
    </row>
    <row r="14" spans="1:25" ht="15.75" thickBot="1" x14ac:dyDescent="0.3">
      <c r="A14" s="80"/>
      <c r="B14" s="81"/>
      <c r="C14" s="81"/>
      <c r="D14" s="154"/>
      <c r="E14" s="162"/>
      <c r="F14" s="78"/>
      <c r="G14" s="78"/>
      <c r="H14" s="78"/>
      <c r="I14" s="78"/>
      <c r="J14" s="78"/>
      <c r="K14" s="81"/>
      <c r="L14" s="81"/>
      <c r="M14" s="81"/>
      <c r="N14" s="81"/>
      <c r="O14" s="81"/>
      <c r="P14" s="81"/>
      <c r="Q14" s="81"/>
      <c r="R14" s="81"/>
      <c r="S14" s="81"/>
      <c r="T14" s="154"/>
      <c r="U14" s="81"/>
      <c r="V14" s="81"/>
      <c r="W14" s="73">
        <f t="shared" si="0"/>
        <v>0</v>
      </c>
      <c r="X14" s="199">
        <f t="shared" si="1"/>
        <v>0</v>
      </c>
    </row>
    <row r="15" spans="1:25" ht="15.75" thickBot="1" x14ac:dyDescent="0.3">
      <c r="A15" s="80"/>
      <c r="B15" s="81"/>
      <c r="C15" s="81"/>
      <c r="D15" s="154"/>
      <c r="E15" s="162"/>
      <c r="F15" s="78"/>
      <c r="G15" s="78"/>
      <c r="H15" s="78"/>
      <c r="I15" s="78"/>
      <c r="J15" s="78"/>
      <c r="K15" s="81"/>
      <c r="L15" s="81"/>
      <c r="M15" s="81"/>
      <c r="N15" s="81"/>
      <c r="O15" s="81"/>
      <c r="P15" s="81"/>
      <c r="Q15" s="81"/>
      <c r="R15" s="81"/>
      <c r="S15" s="81"/>
      <c r="T15" s="154"/>
      <c r="U15" s="81"/>
      <c r="V15" s="81"/>
      <c r="W15" s="73">
        <f t="shared" si="0"/>
        <v>0</v>
      </c>
      <c r="X15" s="199">
        <f t="shared" si="1"/>
        <v>0</v>
      </c>
    </row>
    <row r="16" spans="1:25" ht="15.75" thickBot="1" x14ac:dyDescent="0.3">
      <c r="A16" s="80"/>
      <c r="B16" s="81"/>
      <c r="C16" s="81"/>
      <c r="D16" s="154"/>
      <c r="E16" s="162"/>
      <c r="F16" s="78"/>
      <c r="G16" s="78"/>
      <c r="H16" s="78"/>
      <c r="I16" s="78"/>
      <c r="J16" s="78"/>
      <c r="K16" s="81"/>
      <c r="L16" s="81"/>
      <c r="M16" s="81"/>
      <c r="N16" s="81"/>
      <c r="O16" s="81"/>
      <c r="P16" s="81"/>
      <c r="Q16" s="81"/>
      <c r="R16" s="81"/>
      <c r="S16" s="81"/>
      <c r="T16" s="154"/>
      <c r="U16" s="81"/>
      <c r="V16" s="81"/>
      <c r="W16" s="73">
        <f t="shared" si="0"/>
        <v>0</v>
      </c>
      <c r="X16" s="199">
        <f t="shared" si="1"/>
        <v>0</v>
      </c>
    </row>
    <row r="17" spans="1:24" ht="15.75" thickBot="1" x14ac:dyDescent="0.3">
      <c r="A17" s="80"/>
      <c r="B17" s="81"/>
      <c r="C17" s="81"/>
      <c r="D17" s="154"/>
      <c r="E17" s="162"/>
      <c r="F17" s="78"/>
      <c r="G17" s="78"/>
      <c r="H17" s="78"/>
      <c r="I17" s="78"/>
      <c r="J17" s="78"/>
      <c r="K17" s="81"/>
      <c r="L17" s="81"/>
      <c r="M17" s="81"/>
      <c r="N17" s="81"/>
      <c r="O17" s="81"/>
      <c r="P17" s="81"/>
      <c r="Q17" s="81"/>
      <c r="R17" s="81"/>
      <c r="S17" s="81"/>
      <c r="T17" s="154"/>
      <c r="U17" s="81"/>
      <c r="V17" s="81"/>
      <c r="W17" s="73">
        <f t="shared" si="0"/>
        <v>0</v>
      </c>
      <c r="X17" s="199">
        <f t="shared" si="1"/>
        <v>0</v>
      </c>
    </row>
    <row r="18" spans="1:24" ht="15.75" thickBot="1" x14ac:dyDescent="0.3">
      <c r="A18" s="80"/>
      <c r="B18" s="81"/>
      <c r="C18" s="81"/>
      <c r="D18" s="154"/>
      <c r="E18" s="162"/>
      <c r="F18" s="78"/>
      <c r="G18" s="78"/>
      <c r="H18" s="78"/>
      <c r="I18" s="78"/>
      <c r="J18" s="78"/>
      <c r="K18" s="81"/>
      <c r="L18" s="81"/>
      <c r="M18" s="81"/>
      <c r="N18" s="81"/>
      <c r="O18" s="81"/>
      <c r="P18" s="81"/>
      <c r="Q18" s="81"/>
      <c r="R18" s="81"/>
      <c r="S18" s="81"/>
      <c r="T18" s="154"/>
      <c r="U18" s="81"/>
      <c r="V18" s="81"/>
      <c r="W18" s="73">
        <f t="shared" si="0"/>
        <v>0</v>
      </c>
      <c r="X18" s="199">
        <f t="shared" si="1"/>
        <v>0</v>
      </c>
    </row>
    <row r="19" spans="1:24" ht="15.75" thickBot="1" x14ac:dyDescent="0.3">
      <c r="A19" s="80"/>
      <c r="B19" s="81"/>
      <c r="C19" s="81"/>
      <c r="D19" s="154"/>
      <c r="E19" s="162"/>
      <c r="F19" s="78"/>
      <c r="G19" s="78"/>
      <c r="H19" s="78"/>
      <c r="I19" s="78"/>
      <c r="J19" s="78"/>
      <c r="K19" s="81"/>
      <c r="L19" s="81"/>
      <c r="M19" s="81"/>
      <c r="N19" s="81"/>
      <c r="O19" s="81"/>
      <c r="P19" s="81"/>
      <c r="Q19" s="81"/>
      <c r="R19" s="81"/>
      <c r="S19" s="81"/>
      <c r="T19" s="154"/>
      <c r="U19" s="81"/>
      <c r="V19" s="81"/>
      <c r="W19" s="73">
        <f t="shared" si="0"/>
        <v>0</v>
      </c>
      <c r="X19" s="199">
        <f t="shared" si="1"/>
        <v>0</v>
      </c>
    </row>
    <row r="20" spans="1:24" ht="15.75" thickBot="1" x14ac:dyDescent="0.3">
      <c r="A20" s="80"/>
      <c r="B20" s="81"/>
      <c r="C20" s="81"/>
      <c r="D20" s="154"/>
      <c r="E20" s="162"/>
      <c r="F20" s="78"/>
      <c r="G20" s="78"/>
      <c r="H20" s="78"/>
      <c r="I20" s="78"/>
      <c r="J20" s="78"/>
      <c r="K20" s="81"/>
      <c r="L20" s="81"/>
      <c r="M20" s="81"/>
      <c r="N20" s="81"/>
      <c r="O20" s="81"/>
      <c r="P20" s="81"/>
      <c r="Q20" s="81"/>
      <c r="R20" s="81"/>
      <c r="S20" s="81"/>
      <c r="T20" s="154"/>
      <c r="U20" s="81"/>
      <c r="V20" s="81"/>
      <c r="W20" s="73">
        <f t="shared" si="0"/>
        <v>0</v>
      </c>
      <c r="X20" s="199">
        <f t="shared" si="1"/>
        <v>0</v>
      </c>
    </row>
    <row r="21" spans="1:24" ht="15.75" thickBot="1" x14ac:dyDescent="0.3">
      <c r="A21" t="s">
        <v>4</v>
      </c>
      <c r="E21" s="163">
        <f>SUM(E9:E20)</f>
        <v>17500</v>
      </c>
      <c r="F21" s="12"/>
      <c r="G21" s="12"/>
      <c r="H21" s="12"/>
      <c r="I21" s="12"/>
      <c r="J21" s="12"/>
      <c r="K21" s="6"/>
      <c r="L21" s="6"/>
      <c r="M21" s="6"/>
      <c r="N21" s="6"/>
      <c r="O21" s="6"/>
      <c r="P21" s="6"/>
      <c r="Q21" s="6"/>
      <c r="R21" s="6"/>
      <c r="S21" s="6"/>
      <c r="T21" s="155"/>
      <c r="U21" s="6"/>
      <c r="V21" s="6"/>
      <c r="W21" s="73">
        <f>SUM(W9:W20)</f>
        <v>7000</v>
      </c>
      <c r="X21" s="100">
        <f>SUM(X9:X20)</f>
        <v>10500</v>
      </c>
    </row>
    <row r="22" spans="1:24" ht="15.75" thickBot="1" x14ac:dyDescent="0.3"/>
    <row r="23" spans="1:24" ht="16.5" thickBot="1" x14ac:dyDescent="0.35">
      <c r="H23" s="291" t="s">
        <v>20</v>
      </c>
      <c r="I23" s="292"/>
      <c r="J23" s="15">
        <f>E21</f>
        <v>17500</v>
      </c>
    </row>
    <row r="24" spans="1:24" ht="19.5" thickBot="1" x14ac:dyDescent="0.45">
      <c r="H24" s="279" t="s">
        <v>3</v>
      </c>
      <c r="I24" s="280"/>
      <c r="J24" s="16">
        <f>W21</f>
        <v>7000</v>
      </c>
    </row>
    <row r="25" spans="1:24" ht="19.5" thickBot="1" x14ac:dyDescent="0.45">
      <c r="H25" s="279" t="s">
        <v>7</v>
      </c>
      <c r="I25" s="279"/>
      <c r="J25" s="13">
        <f>X21</f>
        <v>10500</v>
      </c>
    </row>
    <row r="27" spans="1:24" ht="18.75" x14ac:dyDescent="0.25">
      <c r="D27" s="137">
        <v>45292</v>
      </c>
      <c r="E27" s="138" t="s">
        <v>47</v>
      </c>
      <c r="F27" s="138" t="s">
        <v>41</v>
      </c>
      <c r="G27" s="138" t="s">
        <v>42</v>
      </c>
      <c r="H27" s="138" t="s">
        <v>43</v>
      </c>
      <c r="I27" s="138" t="s">
        <v>44</v>
      </c>
      <c r="J27" s="139" t="s">
        <v>45</v>
      </c>
      <c r="K27" s="139" t="s">
        <v>46</v>
      </c>
    </row>
    <row r="28" spans="1:24" ht="18.75" x14ac:dyDescent="0.25">
      <c r="D28" s="140" t="s">
        <v>127</v>
      </c>
      <c r="E28" s="141">
        <v>45669</v>
      </c>
      <c r="F28" s="141">
        <v>45670</v>
      </c>
      <c r="G28" s="141">
        <v>45671</v>
      </c>
      <c r="H28" s="141">
        <v>45672</v>
      </c>
      <c r="I28" s="141">
        <v>45673</v>
      </c>
      <c r="J28" s="184">
        <v>45674</v>
      </c>
      <c r="K28" s="184">
        <v>45675</v>
      </c>
    </row>
    <row r="41" spans="11:11" x14ac:dyDescent="0.25">
      <c r="K41" t="s">
        <v>31</v>
      </c>
    </row>
  </sheetData>
  <sheetProtection algorithmName="SHA-512" hashValue="2fhXd6qP6ssGYfJ2owvstAngWmfXN4PBj1DnrL3uSKkn0FyWfFITd1Y2Jjt4lCgmQZIFBy4FvahgJCF8z0kW1A==" saltValue="zqIfp7HPiIWGD7hVMCwNjg==" spinCount="100000" sheet="1" formatCells="0" formatColumns="0" formatRows="0" insertColumns="0" insertRows="0" insertHyperlinks="0" deleteColumns="0" deleteRows="0" sort="0" autoFilter="0" pivotTables="0"/>
  <autoFilter ref="A8:X8" xr:uid="{3AF61443-6BBD-4952-94D0-B938E908EFFF}"/>
  <mergeCells count="9">
    <mergeCell ref="H23:I23"/>
    <mergeCell ref="H24:I24"/>
    <mergeCell ref="H25:I25"/>
    <mergeCell ref="A1:B5"/>
    <mergeCell ref="C1:G2"/>
    <mergeCell ref="H1:I2"/>
    <mergeCell ref="C3:I7"/>
    <mergeCell ref="A6:B6"/>
    <mergeCell ref="A7:B7"/>
  </mergeCells>
  <phoneticPr fontId="18" type="noConversion"/>
  <conditionalFormatting sqref="E28:K28">
    <cfRule type="expression" dxfId="911" priority="1">
      <formula>IFERROR(INDEX(DiasCategorias, E28-FechaInicio+1),0)=1</formula>
    </cfRule>
    <cfRule type="expression" dxfId="910" priority="2">
      <formula>IFERROR(INDEX(DiasCategorias, E28-FechaInicio+1),0)=2</formula>
    </cfRule>
    <cfRule type="expression" dxfId="909" priority="3">
      <formula>IFERROR(INDEX(DiasCategorias, E28-FechaInicio+1),0)=3</formula>
    </cfRule>
    <cfRule type="expression" dxfId="908" priority="4">
      <formula>IFERROR(INDEX(DiasCategorias, E28-FechaInicio+1),0)=4</formula>
    </cfRule>
    <cfRule type="expression" dxfId="907" priority="5">
      <formula>IFERROR(INDEX(DiasCategorias, E28-FechaInicio+1),0)=5</formula>
    </cfRule>
    <cfRule type="expression" dxfId="906" priority="6">
      <formula>IFERROR(INDEX(DiasCategorias, E28-FechaInicio+1),0)=6</formula>
    </cfRule>
    <cfRule type="expression" dxfId="905" priority="7">
      <formula>IFERROR(INDEX(DiasCategorias, E28-FechaInicio+1),0)=7</formula>
    </cfRule>
    <cfRule type="expression" dxfId="904" priority="8">
      <formula>IFERROR(INDEX(DiasCategorias, E28-FechaInicio+1),0)=8</formula>
    </cfRule>
    <cfRule type="expression" dxfId="903" priority="9">
      <formula>IFERROR(INDEX(DiasCategorias, E28-FechaInicio+1),0)=9</formula>
    </cfRule>
    <cfRule type="expression" dxfId="902" priority="10">
      <formula>IFERROR(INDEX(DiasCategorias, E28-FechaInicio+1),0)=10</formula>
    </cfRule>
    <cfRule type="expression" dxfId="901" priority="11">
      <formula>IFERROR(INDEX(DiasCategorias, E28-FechaInicio+1),0)=11</formula>
    </cfRule>
    <cfRule type="expression" dxfId="900" priority="12">
      <formula>IFERROR(INDEX(DiasCategorias, E28-FechaInicio+1),0)=12</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6C41B-5DEF-4413-B8CA-DC7D66D2CEAB}">
  <sheetPr codeName="Hoja51">
    <tabColor rgb="FF7030A0"/>
  </sheetPr>
  <dimension ref="A1:AC40"/>
  <sheetViews>
    <sheetView workbookViewId="0">
      <selection activeCell="I12" sqref="I12"/>
    </sheetView>
  </sheetViews>
  <sheetFormatPr baseColWidth="10" defaultRowHeight="15" x14ac:dyDescent="0.25"/>
  <cols>
    <col min="2" max="2" width="9.140625" customWidth="1"/>
    <col min="3" max="3" width="27.5703125" bestFit="1" customWidth="1"/>
    <col min="4" max="4" width="13.7109375" customWidth="1"/>
    <col min="5" max="5" width="13.140625" bestFit="1" customWidth="1"/>
    <col min="6" max="6" width="15.7109375" customWidth="1"/>
    <col min="7" max="7" width="14.42578125" customWidth="1"/>
    <col min="8" max="8" width="15.5703125" customWidth="1"/>
    <col min="9" max="9" width="13.140625" bestFit="1" customWidth="1"/>
    <col min="10" max="10" width="15.140625" customWidth="1"/>
    <col min="11" max="16" width="16.28515625" customWidth="1"/>
    <col min="17" max="17" width="15.85546875" customWidth="1"/>
    <col min="18" max="26" width="16.28515625" customWidth="1"/>
  </cols>
  <sheetData>
    <row r="1" spans="1:29" ht="15" customHeight="1" x14ac:dyDescent="0.25">
      <c r="A1" s="268"/>
      <c r="B1" s="268"/>
      <c r="C1" s="281" t="s">
        <v>8</v>
      </c>
      <c r="D1" s="282"/>
      <c r="E1" s="282"/>
      <c r="F1" s="282"/>
      <c r="G1" s="283"/>
      <c r="H1" s="288"/>
      <c r="I1" s="289"/>
    </row>
    <row r="2" spans="1:29" ht="15.75" customHeight="1" thickBot="1" x14ac:dyDescent="0.3">
      <c r="A2" s="268"/>
      <c r="B2" s="268"/>
      <c r="C2" s="285"/>
      <c r="D2" s="286"/>
      <c r="E2" s="286"/>
      <c r="F2" s="286"/>
      <c r="G2" s="287"/>
      <c r="H2" s="288"/>
      <c r="I2" s="289"/>
    </row>
    <row r="3" spans="1:29" x14ac:dyDescent="0.25">
      <c r="A3" s="268"/>
      <c r="B3" s="268"/>
      <c r="C3" s="268"/>
      <c r="D3" s="268"/>
      <c r="E3" s="268"/>
      <c r="F3" s="268"/>
      <c r="G3" s="268"/>
      <c r="H3" s="268"/>
      <c r="I3" s="268"/>
    </row>
    <row r="4" spans="1:29" x14ac:dyDescent="0.25">
      <c r="A4" s="268"/>
      <c r="B4" s="268"/>
      <c r="C4" s="268"/>
      <c r="D4" s="268"/>
      <c r="E4" s="268"/>
      <c r="F4" s="268"/>
      <c r="G4" s="268"/>
      <c r="H4" s="268"/>
      <c r="I4" s="268"/>
    </row>
    <row r="5" spans="1:29" x14ac:dyDescent="0.25">
      <c r="A5" s="268"/>
      <c r="B5" s="268"/>
      <c r="C5" s="268"/>
      <c r="D5" s="268"/>
      <c r="E5" s="268"/>
      <c r="F5" s="268"/>
      <c r="G5" s="268"/>
      <c r="H5" s="268"/>
      <c r="I5" s="268"/>
    </row>
    <row r="6" spans="1:29" ht="27" x14ac:dyDescent="0.5">
      <c r="A6" s="273" t="s">
        <v>10</v>
      </c>
      <c r="B6" s="273"/>
      <c r="C6" s="268"/>
      <c r="D6" s="268"/>
      <c r="E6" s="268"/>
      <c r="F6" s="268"/>
      <c r="G6" s="268"/>
      <c r="H6" s="268"/>
      <c r="I6" s="268"/>
    </row>
    <row r="7" spans="1:29" ht="27" x14ac:dyDescent="0.5">
      <c r="A7" s="273">
        <v>4</v>
      </c>
      <c r="B7" s="273"/>
      <c r="C7" s="268"/>
      <c r="D7" s="268"/>
      <c r="E7" s="268"/>
      <c r="F7" s="268"/>
      <c r="G7" s="268"/>
      <c r="H7" s="268"/>
      <c r="I7" s="268"/>
    </row>
    <row r="8" spans="1:29" ht="18.75" x14ac:dyDescent="0.4">
      <c r="A8" s="159" t="s">
        <v>14</v>
      </c>
      <c r="B8" s="159" t="s">
        <v>15</v>
      </c>
      <c r="C8" s="159" t="s">
        <v>16</v>
      </c>
      <c r="D8" s="159" t="s">
        <v>114</v>
      </c>
      <c r="E8" s="171" t="s">
        <v>17</v>
      </c>
      <c r="F8" s="160" t="s">
        <v>61</v>
      </c>
      <c r="G8" s="160" t="s">
        <v>62</v>
      </c>
      <c r="H8" s="160" t="s">
        <v>63</v>
      </c>
      <c r="I8" s="160" t="s">
        <v>64</v>
      </c>
      <c r="J8" s="160" t="s">
        <v>65</v>
      </c>
      <c r="K8" s="160" t="s">
        <v>66</v>
      </c>
      <c r="L8" s="160" t="s">
        <v>67</v>
      </c>
      <c r="M8" s="160" t="s">
        <v>68</v>
      </c>
      <c r="N8" s="160" t="s">
        <v>69</v>
      </c>
      <c r="O8" s="160" t="s">
        <v>70</v>
      </c>
      <c r="P8" s="160" t="s">
        <v>71</v>
      </c>
      <c r="Q8" s="160" t="s">
        <v>72</v>
      </c>
      <c r="R8" s="160" t="s">
        <v>73</v>
      </c>
      <c r="S8" s="160" t="s">
        <v>74</v>
      </c>
      <c r="T8" s="160" t="s">
        <v>75</v>
      </c>
      <c r="U8" s="160" t="s">
        <v>76</v>
      </c>
      <c r="V8" s="160" t="s">
        <v>77</v>
      </c>
      <c r="W8" s="160" t="s">
        <v>78</v>
      </c>
      <c r="X8" s="160" t="s">
        <v>79</v>
      </c>
      <c r="Y8" s="160" t="s">
        <v>80</v>
      </c>
      <c r="Z8" s="160" t="s">
        <v>81</v>
      </c>
      <c r="AA8" s="171" t="s">
        <v>4</v>
      </c>
      <c r="AB8" s="172" t="s">
        <v>18</v>
      </c>
    </row>
    <row r="9" spans="1:29" x14ac:dyDescent="0.25">
      <c r="A9" s="80">
        <v>46047</v>
      </c>
      <c r="B9" s="81">
        <v>614</v>
      </c>
      <c r="C9" s="81" t="s">
        <v>563</v>
      </c>
      <c r="D9" s="81" t="s">
        <v>559</v>
      </c>
      <c r="E9" s="167">
        <v>3000</v>
      </c>
      <c r="F9" s="78">
        <v>300</v>
      </c>
      <c r="G9" s="78">
        <v>300</v>
      </c>
      <c r="H9" s="78">
        <v>300</v>
      </c>
      <c r="I9" s="78"/>
      <c r="J9" s="78"/>
      <c r="K9" s="78"/>
      <c r="L9" s="78"/>
      <c r="M9" s="78"/>
      <c r="N9" s="78"/>
      <c r="O9" s="78"/>
      <c r="P9" s="78"/>
      <c r="Q9" s="78"/>
      <c r="R9" s="78"/>
      <c r="S9" s="78"/>
      <c r="T9" s="78"/>
      <c r="U9" s="78"/>
      <c r="V9" s="78"/>
      <c r="W9" s="78"/>
      <c r="X9" s="78"/>
      <c r="Y9" s="78"/>
      <c r="Z9" s="78"/>
      <c r="AA9" s="17">
        <f>SUM(F9:S9)</f>
        <v>900</v>
      </c>
      <c r="AB9" s="166">
        <f>E9-AA9</f>
        <v>2100</v>
      </c>
      <c r="AC9">
        <f>_xlfn.ISOWEEKNUM(A9)</f>
        <v>4</v>
      </c>
    </row>
    <row r="10" spans="1:29" ht="15.75" customHeight="1" x14ac:dyDescent="0.25">
      <c r="A10" s="80">
        <v>46047</v>
      </c>
      <c r="B10" s="81">
        <v>763</v>
      </c>
      <c r="C10" s="81" t="s">
        <v>564</v>
      </c>
      <c r="D10" s="200" t="s">
        <v>559</v>
      </c>
      <c r="E10" s="167">
        <v>5000</v>
      </c>
      <c r="F10" s="78">
        <v>500</v>
      </c>
      <c r="G10" s="78">
        <v>500</v>
      </c>
      <c r="H10" s="78">
        <v>500</v>
      </c>
      <c r="I10" s="78"/>
      <c r="J10" s="78"/>
      <c r="K10" s="78"/>
      <c r="L10" s="78"/>
      <c r="M10" s="78"/>
      <c r="N10" s="78"/>
      <c r="O10" s="78"/>
      <c r="P10" s="78"/>
      <c r="Q10" s="78"/>
      <c r="R10" s="78"/>
      <c r="S10" s="78"/>
      <c r="T10" s="78"/>
      <c r="U10" s="78"/>
      <c r="V10" s="78"/>
      <c r="W10" s="78"/>
      <c r="X10" s="78"/>
      <c r="Y10" s="78"/>
      <c r="Z10" s="78"/>
      <c r="AA10" s="17">
        <f>SUM(F10:Z10)</f>
        <v>1500</v>
      </c>
      <c r="AB10" s="166">
        <f t="shared" ref="AB10:AB19" si="0">E10-AA10</f>
        <v>3500</v>
      </c>
    </row>
    <row r="11" spans="1:29" x14ac:dyDescent="0.25">
      <c r="A11" s="80">
        <v>46047</v>
      </c>
      <c r="B11" s="81">
        <v>631</v>
      </c>
      <c r="C11" s="81" t="s">
        <v>567</v>
      </c>
      <c r="D11" s="154" t="s">
        <v>568</v>
      </c>
      <c r="E11" s="162">
        <v>6000</v>
      </c>
      <c r="F11" s="78">
        <v>600</v>
      </c>
      <c r="G11" s="78">
        <v>600</v>
      </c>
      <c r="H11" s="78">
        <v>600</v>
      </c>
      <c r="I11" s="78"/>
      <c r="J11" s="78"/>
      <c r="K11" s="78"/>
      <c r="L11" s="78"/>
      <c r="M11" s="78"/>
      <c r="N11" s="78"/>
      <c r="O11" s="78"/>
      <c r="P11" s="78"/>
      <c r="Q11" s="78"/>
      <c r="R11" s="78"/>
      <c r="S11" s="78"/>
      <c r="T11" s="78"/>
      <c r="U11" s="78"/>
      <c r="V11" s="78"/>
      <c r="W11" s="78"/>
      <c r="X11" s="78"/>
      <c r="Y11" s="78"/>
      <c r="Z11" s="78"/>
      <c r="AA11" s="17">
        <f t="shared" ref="AA11:AA19" si="1">SUM(F11:Z11)</f>
        <v>1800</v>
      </c>
      <c r="AB11" s="166">
        <f t="shared" si="0"/>
        <v>4200</v>
      </c>
    </row>
    <row r="12" spans="1:29" x14ac:dyDescent="0.25">
      <c r="A12" s="80"/>
      <c r="B12" s="81"/>
      <c r="C12" s="81"/>
      <c r="D12" s="156"/>
      <c r="E12" s="162"/>
      <c r="F12" s="78"/>
      <c r="G12" s="78"/>
      <c r="H12" s="78"/>
      <c r="I12" s="78"/>
      <c r="J12" s="78"/>
      <c r="K12" s="78"/>
      <c r="L12" s="78"/>
      <c r="M12" s="78"/>
      <c r="N12" s="78"/>
      <c r="O12" s="78"/>
      <c r="P12" s="78"/>
      <c r="Q12" s="78"/>
      <c r="R12" s="78"/>
      <c r="S12" s="78"/>
      <c r="T12" s="78"/>
      <c r="U12" s="78"/>
      <c r="V12" s="78"/>
      <c r="W12" s="78"/>
      <c r="X12" s="78"/>
      <c r="Y12" s="78"/>
      <c r="Z12" s="78"/>
      <c r="AA12" s="17">
        <f t="shared" si="1"/>
        <v>0</v>
      </c>
      <c r="AB12" s="166">
        <f t="shared" si="0"/>
        <v>0</v>
      </c>
    </row>
    <row r="13" spans="1:29" x14ac:dyDescent="0.25">
      <c r="A13" s="80"/>
      <c r="B13" s="81"/>
      <c r="C13" s="81"/>
      <c r="D13" s="154"/>
      <c r="E13" s="162"/>
      <c r="F13" s="78"/>
      <c r="G13" s="78"/>
      <c r="H13" s="78"/>
      <c r="I13" s="78"/>
      <c r="J13" s="78"/>
      <c r="K13" s="78"/>
      <c r="L13" s="78"/>
      <c r="M13" s="78"/>
      <c r="N13" s="78"/>
      <c r="O13" s="78"/>
      <c r="P13" s="78"/>
      <c r="Q13" s="78"/>
      <c r="R13" s="78"/>
      <c r="S13" s="78"/>
      <c r="T13" s="78"/>
      <c r="U13" s="78"/>
      <c r="V13" s="78"/>
      <c r="W13" s="78"/>
      <c r="X13" s="78"/>
      <c r="Y13" s="78"/>
      <c r="Z13" s="78"/>
      <c r="AA13" s="17">
        <f t="shared" si="1"/>
        <v>0</v>
      </c>
      <c r="AB13" s="166">
        <f t="shared" si="0"/>
        <v>0</v>
      </c>
    </row>
    <row r="14" spans="1:29" x14ac:dyDescent="0.25">
      <c r="A14" s="80"/>
      <c r="B14" s="81"/>
      <c r="C14" s="81"/>
      <c r="D14" s="81"/>
      <c r="E14" s="167"/>
      <c r="F14" s="78"/>
      <c r="G14" s="78"/>
      <c r="H14" s="78"/>
      <c r="I14" s="78"/>
      <c r="J14" s="78"/>
      <c r="K14" s="78"/>
      <c r="L14" s="78"/>
      <c r="M14" s="78"/>
      <c r="N14" s="78"/>
      <c r="O14" s="78"/>
      <c r="P14" s="78"/>
      <c r="Q14" s="78"/>
      <c r="R14" s="78"/>
      <c r="S14" s="78"/>
      <c r="T14" s="78"/>
      <c r="U14" s="78"/>
      <c r="V14" s="78"/>
      <c r="W14" s="78"/>
      <c r="X14" s="78"/>
      <c r="Y14" s="78"/>
      <c r="Z14" s="78"/>
      <c r="AA14" s="17">
        <f t="shared" si="1"/>
        <v>0</v>
      </c>
      <c r="AB14" s="166">
        <f t="shared" si="0"/>
        <v>0</v>
      </c>
    </row>
    <row r="15" spans="1:29" x14ac:dyDescent="0.25">
      <c r="A15" s="80"/>
      <c r="B15" s="81"/>
      <c r="C15" s="81"/>
      <c r="D15" s="81"/>
      <c r="E15" s="167"/>
      <c r="F15" s="78"/>
      <c r="G15" s="78"/>
      <c r="H15" s="78"/>
      <c r="I15" s="78"/>
      <c r="J15" s="78"/>
      <c r="K15" s="78"/>
      <c r="L15" s="78"/>
      <c r="M15" s="78"/>
      <c r="N15" s="78"/>
      <c r="O15" s="78"/>
      <c r="P15" s="78"/>
      <c r="Q15" s="78"/>
      <c r="R15" s="78"/>
      <c r="S15" s="78"/>
      <c r="T15" s="78"/>
      <c r="U15" s="78"/>
      <c r="V15" s="78"/>
      <c r="W15" s="78"/>
      <c r="X15" s="78"/>
      <c r="Y15" s="78"/>
      <c r="Z15" s="78"/>
      <c r="AA15" s="17">
        <f t="shared" si="1"/>
        <v>0</v>
      </c>
      <c r="AB15" s="166">
        <f t="shared" si="0"/>
        <v>0</v>
      </c>
    </row>
    <row r="16" spans="1:29" x14ac:dyDescent="0.25">
      <c r="A16" s="80"/>
      <c r="B16" s="81"/>
      <c r="C16" s="81"/>
      <c r="D16" s="81"/>
      <c r="E16" s="167"/>
      <c r="F16" s="78"/>
      <c r="G16" s="78"/>
      <c r="H16" s="78"/>
      <c r="I16" s="78"/>
      <c r="J16" s="78"/>
      <c r="K16" s="78"/>
      <c r="L16" s="78"/>
      <c r="M16" s="78"/>
      <c r="N16" s="78"/>
      <c r="O16" s="78"/>
      <c r="P16" s="78"/>
      <c r="Q16" s="78"/>
      <c r="R16" s="78"/>
      <c r="S16" s="78"/>
      <c r="T16" s="78"/>
      <c r="U16" s="78"/>
      <c r="V16" s="78"/>
      <c r="W16" s="78"/>
      <c r="X16" s="78"/>
      <c r="Y16" s="78"/>
      <c r="Z16" s="78"/>
      <c r="AA16" s="17">
        <f t="shared" si="1"/>
        <v>0</v>
      </c>
      <c r="AB16" s="166">
        <f t="shared" si="0"/>
        <v>0</v>
      </c>
    </row>
    <row r="17" spans="1:28" x14ac:dyDescent="0.25">
      <c r="A17" s="80"/>
      <c r="B17" s="81"/>
      <c r="C17" s="81"/>
      <c r="D17" s="81"/>
      <c r="E17" s="167"/>
      <c r="F17" s="78"/>
      <c r="G17" s="78"/>
      <c r="H17" s="78"/>
      <c r="I17" s="78"/>
      <c r="J17" s="78"/>
      <c r="K17" s="78"/>
      <c r="L17" s="78"/>
      <c r="M17" s="78"/>
      <c r="N17" s="78"/>
      <c r="O17" s="78"/>
      <c r="P17" s="78"/>
      <c r="Q17" s="78"/>
      <c r="R17" s="78"/>
      <c r="S17" s="78"/>
      <c r="T17" s="78"/>
      <c r="U17" s="78"/>
      <c r="V17" s="78"/>
      <c r="W17" s="78"/>
      <c r="X17" s="78"/>
      <c r="Y17" s="78"/>
      <c r="Z17" s="78"/>
      <c r="AA17" s="17">
        <f t="shared" si="1"/>
        <v>0</v>
      </c>
      <c r="AB17" s="166">
        <f t="shared" si="0"/>
        <v>0</v>
      </c>
    </row>
    <row r="18" spans="1:28" x14ac:dyDescent="0.25">
      <c r="A18" s="80"/>
      <c r="B18" s="81"/>
      <c r="C18" s="81"/>
      <c r="D18" s="81"/>
      <c r="E18" s="167"/>
      <c r="F18" s="78"/>
      <c r="G18" s="78"/>
      <c r="H18" s="78"/>
      <c r="I18" s="78"/>
      <c r="J18" s="78"/>
      <c r="K18" s="78"/>
      <c r="L18" s="78"/>
      <c r="M18" s="78"/>
      <c r="N18" s="78"/>
      <c r="O18" s="78"/>
      <c r="P18" s="78"/>
      <c r="Q18" s="78"/>
      <c r="R18" s="78"/>
      <c r="S18" s="78"/>
      <c r="T18" s="78"/>
      <c r="U18" s="78"/>
      <c r="V18" s="78"/>
      <c r="W18" s="78"/>
      <c r="X18" s="78"/>
      <c r="Y18" s="78"/>
      <c r="Z18" s="78"/>
      <c r="AA18" s="17">
        <f t="shared" si="1"/>
        <v>0</v>
      </c>
      <c r="AB18" s="166">
        <f t="shared" si="0"/>
        <v>0</v>
      </c>
    </row>
    <row r="19" spans="1:28" x14ac:dyDescent="0.25">
      <c r="A19" s="80"/>
      <c r="B19" s="81"/>
      <c r="C19" s="81"/>
      <c r="D19" s="81"/>
      <c r="E19" s="167"/>
      <c r="F19" s="78"/>
      <c r="G19" s="78"/>
      <c r="H19" s="78"/>
      <c r="I19" s="78"/>
      <c r="J19" s="78"/>
      <c r="K19" s="78"/>
      <c r="L19" s="78"/>
      <c r="M19" s="78"/>
      <c r="N19" s="78"/>
      <c r="O19" s="78"/>
      <c r="P19" s="78"/>
      <c r="Q19" s="78"/>
      <c r="R19" s="78"/>
      <c r="S19" s="78"/>
      <c r="T19" s="78"/>
      <c r="U19" s="78"/>
      <c r="V19" s="78"/>
      <c r="W19" s="78"/>
      <c r="X19" s="78"/>
      <c r="Y19" s="78"/>
      <c r="Z19" s="78"/>
      <c r="AA19" s="17">
        <f t="shared" si="1"/>
        <v>0</v>
      </c>
      <c r="AB19" s="166">
        <f t="shared" si="0"/>
        <v>0</v>
      </c>
    </row>
    <row r="20" spans="1:28" x14ac:dyDescent="0.25">
      <c r="A20" s="6" t="s">
        <v>4</v>
      </c>
      <c r="B20" s="6"/>
      <c r="C20" s="6"/>
      <c r="D20" s="6"/>
      <c r="E20" s="17">
        <f>SUM(E9:E19)</f>
        <v>14000</v>
      </c>
      <c r="F20" s="12"/>
      <c r="G20" s="12"/>
      <c r="H20" s="12"/>
      <c r="I20" s="12"/>
      <c r="J20" s="6"/>
      <c r="K20" s="6"/>
      <c r="L20" s="6"/>
      <c r="M20" s="6"/>
      <c r="N20" s="6"/>
      <c r="O20" s="6"/>
      <c r="P20" s="6"/>
      <c r="Q20" s="6"/>
      <c r="R20" s="6"/>
      <c r="S20" s="6"/>
      <c r="T20" s="6"/>
      <c r="U20" s="6"/>
      <c r="V20" s="6"/>
      <c r="W20" s="6"/>
      <c r="X20" s="6"/>
      <c r="Y20" s="6"/>
      <c r="Z20" s="6"/>
      <c r="AA20" s="17">
        <f>SUM(AA9:AA19)</f>
        <v>4200</v>
      </c>
      <c r="AB20" s="166">
        <f>SUM(AB9:AB19)</f>
        <v>9800</v>
      </c>
    </row>
    <row r="21" spans="1:28" ht="15.75" thickBot="1" x14ac:dyDescent="0.3"/>
    <row r="22" spans="1:28" ht="16.5" thickBot="1" x14ac:dyDescent="0.35">
      <c r="H22" s="291" t="s">
        <v>20</v>
      </c>
      <c r="I22" s="292"/>
      <c r="J22" s="15">
        <f>E20</f>
        <v>14000</v>
      </c>
    </row>
    <row r="23" spans="1:28" ht="19.5" thickBot="1" x14ac:dyDescent="0.45">
      <c r="H23" s="279" t="s">
        <v>3</v>
      </c>
      <c r="I23" s="280"/>
      <c r="J23" s="16">
        <f>AA20</f>
        <v>4200</v>
      </c>
    </row>
    <row r="24" spans="1:28" ht="19.5" thickBot="1" x14ac:dyDescent="0.45">
      <c r="H24" s="279" t="s">
        <v>7</v>
      </c>
      <c r="I24" s="279"/>
      <c r="J24" s="13">
        <f>AB20</f>
        <v>9800</v>
      </c>
    </row>
    <row r="26" spans="1:28" ht="18.75" x14ac:dyDescent="0.25">
      <c r="D26" s="137">
        <v>45292</v>
      </c>
      <c r="E26" s="138" t="s">
        <v>47</v>
      </c>
      <c r="F26" s="138" t="s">
        <v>41</v>
      </c>
      <c r="G26" s="138" t="s">
        <v>42</v>
      </c>
      <c r="H26" s="138" t="s">
        <v>43</v>
      </c>
      <c r="I26" s="138" t="s">
        <v>44</v>
      </c>
      <c r="J26" s="139" t="s">
        <v>45</v>
      </c>
      <c r="K26" s="139" t="s">
        <v>46</v>
      </c>
    </row>
    <row r="27" spans="1:28" ht="18.75" x14ac:dyDescent="0.25">
      <c r="D27" s="140" t="s">
        <v>128</v>
      </c>
      <c r="E27" s="141">
        <v>45676</v>
      </c>
      <c r="F27" s="141">
        <v>45677</v>
      </c>
      <c r="G27" s="141">
        <v>45678</v>
      </c>
      <c r="H27" s="141">
        <v>45679</v>
      </c>
      <c r="I27" s="141">
        <v>45680</v>
      </c>
      <c r="J27" s="184">
        <v>45681</v>
      </c>
      <c r="K27" s="184">
        <v>45682</v>
      </c>
    </row>
    <row r="40" spans="11:11" x14ac:dyDescent="0.25">
      <c r="K40" t="s">
        <v>31</v>
      </c>
    </row>
  </sheetData>
  <sheetProtection algorithmName="SHA-512" hashValue="tvt/56V9Nhzst2W/zKn9H0HvZw1Kq7SAIjR8bKNUWZTBeJUa+VY3VgRSTt6sPYIgUvbW6g938QrJmRYjJP/zZA==" saltValue="CI8MgCOZhdQIs5RplWl2uw==" spinCount="100000" sheet="1" formatCells="0" formatColumns="0" formatRows="0" insertColumns="0" insertRows="0" insertHyperlinks="0" deleteColumns="0" deleteRows="0" sort="0" autoFilter="0" pivotTables="0"/>
  <autoFilter ref="A8:AB8" xr:uid="{4F66C41B-5DEF-4413-B8CA-DC7D66D2CEAB}"/>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99" priority="1">
      <formula>IFERROR(INDEX(DiasCategorias, E27-FechaInicio+1),0)=1</formula>
    </cfRule>
    <cfRule type="expression" dxfId="898" priority="2">
      <formula>IFERROR(INDEX(DiasCategorias, E27-FechaInicio+1),0)=2</formula>
    </cfRule>
    <cfRule type="expression" dxfId="897" priority="3">
      <formula>IFERROR(INDEX(DiasCategorias, E27-FechaInicio+1),0)=3</formula>
    </cfRule>
    <cfRule type="expression" dxfId="896" priority="4">
      <formula>IFERROR(INDEX(DiasCategorias, E27-FechaInicio+1),0)=4</formula>
    </cfRule>
    <cfRule type="expression" dxfId="895" priority="5">
      <formula>IFERROR(INDEX(DiasCategorias, E27-FechaInicio+1),0)=5</formula>
    </cfRule>
    <cfRule type="expression" dxfId="894" priority="6">
      <formula>IFERROR(INDEX(DiasCategorias, E27-FechaInicio+1),0)=6</formula>
    </cfRule>
    <cfRule type="expression" dxfId="893" priority="7">
      <formula>IFERROR(INDEX(DiasCategorias, E27-FechaInicio+1),0)=7</formula>
    </cfRule>
    <cfRule type="expression" dxfId="892" priority="8">
      <formula>IFERROR(INDEX(DiasCategorias, E27-FechaInicio+1),0)=8</formula>
    </cfRule>
    <cfRule type="expression" dxfId="891" priority="9">
      <formula>IFERROR(INDEX(DiasCategorias, E27-FechaInicio+1),0)=9</formula>
    </cfRule>
    <cfRule type="expression" dxfId="890" priority="10">
      <formula>IFERROR(INDEX(DiasCategorias, E27-FechaInicio+1),0)=10</formula>
    </cfRule>
    <cfRule type="expression" dxfId="889" priority="11">
      <formula>IFERROR(INDEX(DiasCategorias, E27-FechaInicio+1),0)=11</formula>
    </cfRule>
    <cfRule type="expression" dxfId="888" priority="12">
      <formula>IFERROR(INDEX(DiasCategorias, E27-FechaInicio+1),0)=12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27DA-331D-4699-8408-46515E881B72}">
  <sheetPr codeName="Hoja50">
    <tabColor rgb="FF00B0F0"/>
  </sheetPr>
  <dimension ref="A1:S40"/>
  <sheetViews>
    <sheetView topLeftCell="A3" workbookViewId="0">
      <selection activeCell="G14" sqref="G14"/>
    </sheetView>
  </sheetViews>
  <sheetFormatPr baseColWidth="10" defaultRowHeight="15" x14ac:dyDescent="0.25"/>
  <cols>
    <col min="2" max="2" width="9.140625" customWidth="1"/>
    <col min="3" max="3" width="33.28515625" customWidth="1"/>
    <col min="4" max="4" width="13.7109375" customWidth="1"/>
    <col min="5" max="5" width="13.140625" bestFit="1" customWidth="1"/>
    <col min="6" max="16" width="15.42578125" bestFit="1"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5</v>
      </c>
      <c r="B7" s="274"/>
      <c r="C7" s="296"/>
      <c r="D7" s="296"/>
      <c r="E7" s="296"/>
      <c r="F7" s="296"/>
      <c r="G7" s="296"/>
      <c r="H7" s="296"/>
      <c r="I7" s="296"/>
    </row>
    <row r="8" spans="1:19" ht="19.5" thickBot="1" x14ac:dyDescent="0.45">
      <c r="A8" s="29" t="s">
        <v>14</v>
      </c>
      <c r="B8" s="29" t="s">
        <v>15</v>
      </c>
      <c r="C8" s="29" t="s">
        <v>16</v>
      </c>
      <c r="D8" s="29" t="s">
        <v>114</v>
      </c>
      <c r="E8" s="30" t="s">
        <v>17</v>
      </c>
      <c r="F8" s="75" t="s">
        <v>62</v>
      </c>
      <c r="G8" s="75" t="s">
        <v>63</v>
      </c>
      <c r="H8" s="75" t="s">
        <v>64</v>
      </c>
      <c r="I8" s="75" t="s">
        <v>65</v>
      </c>
      <c r="J8" s="75" t="s">
        <v>66</v>
      </c>
      <c r="K8" s="119" t="s">
        <v>67</v>
      </c>
      <c r="L8" s="119" t="s">
        <v>68</v>
      </c>
      <c r="M8" s="119" t="s">
        <v>69</v>
      </c>
      <c r="N8" s="119" t="s">
        <v>70</v>
      </c>
      <c r="O8" s="119" t="s">
        <v>71</v>
      </c>
      <c r="P8" s="119" t="s">
        <v>72</v>
      </c>
      <c r="Q8" s="120" t="s">
        <v>4</v>
      </c>
      <c r="R8" s="198" t="s">
        <v>18</v>
      </c>
    </row>
    <row r="9" spans="1:19" ht="15.75" thickBot="1" x14ac:dyDescent="0.3">
      <c r="A9" s="80">
        <v>46054</v>
      </c>
      <c r="B9" s="81">
        <v>244</v>
      </c>
      <c r="C9" s="81" t="s">
        <v>569</v>
      </c>
      <c r="D9" s="81" t="s">
        <v>559</v>
      </c>
      <c r="E9" s="167">
        <v>8000</v>
      </c>
      <c r="F9" s="78">
        <v>850</v>
      </c>
      <c r="G9" s="78">
        <v>850</v>
      </c>
      <c r="H9" s="78"/>
      <c r="I9" s="78"/>
      <c r="J9" s="78"/>
      <c r="K9" s="78"/>
      <c r="L9" s="78"/>
      <c r="M9" s="78"/>
      <c r="N9" s="78"/>
      <c r="O9" s="78"/>
      <c r="P9" s="78"/>
      <c r="Q9" s="73">
        <f>SUM(F9:P9)</f>
        <v>1700</v>
      </c>
      <c r="R9" s="199">
        <f t="shared" ref="R9:R19" si="0">E9-Q9</f>
        <v>6300</v>
      </c>
      <c r="S9">
        <f>_xlfn.ISOWEEKNUM(A9)</f>
        <v>5</v>
      </c>
    </row>
    <row r="10" spans="1:19" ht="15.75" thickBot="1" x14ac:dyDescent="0.3">
      <c r="A10" s="80">
        <v>46054</v>
      </c>
      <c r="B10" s="81">
        <v>474</v>
      </c>
      <c r="C10" s="81" t="s">
        <v>570</v>
      </c>
      <c r="D10" s="200" t="s">
        <v>559</v>
      </c>
      <c r="E10" s="167">
        <v>2500</v>
      </c>
      <c r="F10" s="78">
        <v>250</v>
      </c>
      <c r="G10" s="78">
        <v>250</v>
      </c>
      <c r="H10" s="78"/>
      <c r="I10" s="78"/>
      <c r="J10" s="78"/>
      <c r="K10" s="78"/>
      <c r="L10" s="78"/>
      <c r="M10" s="78"/>
      <c r="N10" s="78"/>
      <c r="O10" s="78"/>
      <c r="P10" s="78"/>
      <c r="Q10" s="73">
        <f t="shared" ref="Q10:Q19" si="1">SUM(F10:P10)</f>
        <v>500</v>
      </c>
      <c r="R10" s="199">
        <f t="shared" si="0"/>
        <v>2000</v>
      </c>
    </row>
    <row r="11" spans="1:19" ht="15.75" thickBot="1" x14ac:dyDescent="0.3">
      <c r="A11" s="80">
        <v>46054</v>
      </c>
      <c r="B11" s="81">
        <v>479</v>
      </c>
      <c r="C11" s="81" t="s">
        <v>571</v>
      </c>
      <c r="D11" s="154" t="s">
        <v>559</v>
      </c>
      <c r="E11" s="162">
        <v>5000</v>
      </c>
      <c r="F11" s="78">
        <v>500</v>
      </c>
      <c r="G11" s="78">
        <v>500</v>
      </c>
      <c r="H11" s="78"/>
      <c r="I11" s="78"/>
      <c r="J11" s="78"/>
      <c r="K11" s="78"/>
      <c r="L11" s="78"/>
      <c r="M11" s="78"/>
      <c r="N11" s="78"/>
      <c r="O11" s="78"/>
      <c r="P11" s="78"/>
      <c r="Q11" s="73">
        <f t="shared" si="1"/>
        <v>1000</v>
      </c>
      <c r="R11" s="199">
        <f t="shared" si="0"/>
        <v>4000</v>
      </c>
    </row>
    <row r="12" spans="1:19" ht="15.75" thickBot="1" x14ac:dyDescent="0.3">
      <c r="A12" s="80">
        <v>46054</v>
      </c>
      <c r="B12" s="81">
        <v>592</v>
      </c>
      <c r="C12" s="81" t="s">
        <v>572</v>
      </c>
      <c r="D12" s="156" t="s">
        <v>575</v>
      </c>
      <c r="E12" s="162">
        <v>3000</v>
      </c>
      <c r="F12" s="78">
        <v>300</v>
      </c>
      <c r="G12" s="78">
        <v>300</v>
      </c>
      <c r="H12" s="78"/>
      <c r="I12" s="78"/>
      <c r="J12" s="78"/>
      <c r="K12" s="78"/>
      <c r="L12" s="78"/>
      <c r="M12" s="78"/>
      <c r="N12" s="78"/>
      <c r="O12" s="78"/>
      <c r="P12" s="78"/>
      <c r="Q12" s="73">
        <f t="shared" si="1"/>
        <v>600</v>
      </c>
      <c r="R12" s="199">
        <f t="shared" si="0"/>
        <v>2400</v>
      </c>
    </row>
    <row r="13" spans="1:19" ht="15.75" thickBot="1" x14ac:dyDescent="0.3">
      <c r="A13" s="80">
        <v>46054</v>
      </c>
      <c r="B13" s="81">
        <v>809</v>
      </c>
      <c r="C13" s="81" t="s">
        <v>573</v>
      </c>
      <c r="D13" s="154" t="s">
        <v>574</v>
      </c>
      <c r="E13" s="162">
        <v>1750</v>
      </c>
      <c r="F13" s="78">
        <v>200</v>
      </c>
      <c r="G13" s="78">
        <v>200</v>
      </c>
      <c r="H13" s="78"/>
      <c r="I13" s="78"/>
      <c r="J13" s="78"/>
      <c r="K13" s="78"/>
      <c r="L13" s="78"/>
      <c r="M13" s="78"/>
      <c r="N13" s="78"/>
      <c r="O13" s="78"/>
      <c r="P13" s="78"/>
      <c r="Q13" s="73">
        <f t="shared" si="1"/>
        <v>400</v>
      </c>
      <c r="R13" s="199">
        <f t="shared" si="0"/>
        <v>1350</v>
      </c>
    </row>
    <row r="14" spans="1:19" ht="15.75" thickBot="1" x14ac:dyDescent="0.3">
      <c r="A14" s="80"/>
      <c r="B14" s="81"/>
      <c r="C14" s="81"/>
      <c r="D14" s="154"/>
      <c r="E14" s="162"/>
      <c r="F14" s="78"/>
      <c r="G14" s="78"/>
      <c r="H14" s="78"/>
      <c r="I14" s="78"/>
      <c r="J14" s="78"/>
      <c r="K14" s="78"/>
      <c r="L14" s="78"/>
      <c r="M14" s="78"/>
      <c r="N14" s="78"/>
      <c r="O14" s="78"/>
      <c r="P14" s="78"/>
      <c r="Q14" s="73">
        <f t="shared" si="1"/>
        <v>0</v>
      </c>
      <c r="R14" s="199">
        <f t="shared" si="0"/>
        <v>0</v>
      </c>
    </row>
    <row r="15" spans="1:19" ht="15.75" thickBot="1" x14ac:dyDescent="0.3">
      <c r="A15" s="80"/>
      <c r="B15" s="81"/>
      <c r="C15" s="81"/>
      <c r="D15" s="154"/>
      <c r="E15" s="162"/>
      <c r="F15" s="78"/>
      <c r="G15" s="78"/>
      <c r="H15" s="78"/>
      <c r="I15" s="78"/>
      <c r="J15" s="78"/>
      <c r="K15" s="78"/>
      <c r="L15" s="78"/>
      <c r="M15" s="78"/>
      <c r="N15" s="78"/>
      <c r="O15" s="78"/>
      <c r="P15" s="78"/>
      <c r="Q15" s="73">
        <f t="shared" si="1"/>
        <v>0</v>
      </c>
      <c r="R15" s="199">
        <f t="shared" si="0"/>
        <v>0</v>
      </c>
    </row>
    <row r="16" spans="1:19" ht="15.75" thickBot="1" x14ac:dyDescent="0.3">
      <c r="A16" s="80"/>
      <c r="B16" s="81"/>
      <c r="C16" s="81"/>
      <c r="D16" s="154"/>
      <c r="E16" s="162"/>
      <c r="F16" s="78"/>
      <c r="G16" s="78"/>
      <c r="H16" s="78"/>
      <c r="I16" s="78"/>
      <c r="J16" s="78"/>
      <c r="K16" s="78"/>
      <c r="L16" s="78"/>
      <c r="M16" s="78"/>
      <c r="N16" s="78"/>
      <c r="O16" s="78"/>
      <c r="P16" s="78"/>
      <c r="Q16" s="73">
        <f t="shared" si="1"/>
        <v>0</v>
      </c>
      <c r="R16" s="199">
        <f t="shared" si="0"/>
        <v>0</v>
      </c>
    </row>
    <row r="17" spans="1:18" ht="15.75" thickBot="1" x14ac:dyDescent="0.3">
      <c r="A17" s="80"/>
      <c r="B17" s="81"/>
      <c r="C17" s="81"/>
      <c r="D17" s="154"/>
      <c r="E17" s="162"/>
      <c r="F17" s="78"/>
      <c r="G17" s="78"/>
      <c r="H17" s="78"/>
      <c r="I17" s="78"/>
      <c r="J17" s="78"/>
      <c r="K17" s="78"/>
      <c r="L17" s="78"/>
      <c r="M17" s="78"/>
      <c r="N17" s="78"/>
      <c r="O17" s="78"/>
      <c r="P17" s="78"/>
      <c r="Q17" s="73">
        <f t="shared" si="1"/>
        <v>0</v>
      </c>
      <c r="R17" s="199">
        <f t="shared" si="0"/>
        <v>0</v>
      </c>
    </row>
    <row r="18" spans="1:18" ht="15.75" thickBot="1" x14ac:dyDescent="0.3">
      <c r="A18" s="80"/>
      <c r="B18" s="81"/>
      <c r="C18" s="81"/>
      <c r="D18" s="154"/>
      <c r="E18" s="162"/>
      <c r="F18" s="78"/>
      <c r="G18" s="78"/>
      <c r="H18" s="78"/>
      <c r="I18" s="78"/>
      <c r="J18" s="78"/>
      <c r="K18" s="78"/>
      <c r="L18" s="78"/>
      <c r="M18" s="78"/>
      <c r="N18" s="78"/>
      <c r="O18" s="78"/>
      <c r="P18" s="78"/>
      <c r="Q18" s="73">
        <f t="shared" si="1"/>
        <v>0</v>
      </c>
      <c r="R18" s="199">
        <f t="shared" si="0"/>
        <v>0</v>
      </c>
    </row>
    <row r="19" spans="1:18" ht="15.75" thickBot="1" x14ac:dyDescent="0.3">
      <c r="A19" s="80"/>
      <c r="B19" s="81"/>
      <c r="C19" s="81"/>
      <c r="D19" s="154"/>
      <c r="E19" s="162"/>
      <c r="F19" s="78"/>
      <c r="G19" s="78"/>
      <c r="H19" s="78"/>
      <c r="I19" s="78"/>
      <c r="J19" s="78"/>
      <c r="K19" s="78"/>
      <c r="L19" s="78"/>
      <c r="M19" s="78"/>
      <c r="N19" s="78"/>
      <c r="O19" s="78"/>
      <c r="P19" s="78"/>
      <c r="Q19" s="73">
        <f t="shared" si="1"/>
        <v>0</v>
      </c>
      <c r="R19" s="199">
        <f t="shared" si="0"/>
        <v>0</v>
      </c>
    </row>
    <row r="20" spans="1:18" ht="15.75" thickBot="1" x14ac:dyDescent="0.3">
      <c r="A20" t="s">
        <v>4</v>
      </c>
      <c r="E20" s="163">
        <f>SUM(E9:E19)</f>
        <v>20250</v>
      </c>
      <c r="F20" s="12"/>
      <c r="G20" s="12"/>
      <c r="H20" s="12"/>
      <c r="I20" s="12"/>
      <c r="J20" s="6"/>
      <c r="K20" s="155"/>
      <c r="L20" s="6"/>
      <c r="M20" s="6"/>
      <c r="N20" s="6"/>
      <c r="O20" s="6"/>
      <c r="P20" s="6"/>
      <c r="Q20" s="17">
        <f>SUM(Q9:Q19)</f>
        <v>4200</v>
      </c>
      <c r="R20" s="100">
        <f>SUM(R9:R19)</f>
        <v>16050</v>
      </c>
    </row>
    <row r="21" spans="1:18" ht="15.75" thickBot="1" x14ac:dyDescent="0.3"/>
    <row r="22" spans="1:18" ht="16.5" thickBot="1" x14ac:dyDescent="0.35">
      <c r="H22" s="291" t="s">
        <v>20</v>
      </c>
      <c r="I22" s="292"/>
      <c r="J22" s="15">
        <f>E20</f>
        <v>20250</v>
      </c>
    </row>
    <row r="23" spans="1:18" ht="19.5" thickBot="1" x14ac:dyDescent="0.45">
      <c r="H23" s="279" t="s">
        <v>3</v>
      </c>
      <c r="I23" s="280"/>
      <c r="J23" s="16">
        <f>Q20</f>
        <v>4200</v>
      </c>
    </row>
    <row r="24" spans="1:18" ht="19.5" thickBot="1" x14ac:dyDescent="0.45">
      <c r="H24" s="279" t="s">
        <v>7</v>
      </c>
      <c r="I24" s="279"/>
      <c r="J24" s="13">
        <f>R20</f>
        <v>16050</v>
      </c>
    </row>
    <row r="26" spans="1:18" ht="18.75" x14ac:dyDescent="0.25">
      <c r="D26" s="137">
        <v>45292</v>
      </c>
      <c r="E26" s="138" t="s">
        <v>47</v>
      </c>
      <c r="F26" s="138" t="s">
        <v>41</v>
      </c>
      <c r="G26" s="138" t="s">
        <v>42</v>
      </c>
      <c r="H26" s="138" t="s">
        <v>43</v>
      </c>
      <c r="I26" s="138" t="s">
        <v>44</v>
      </c>
      <c r="J26" s="139" t="s">
        <v>45</v>
      </c>
      <c r="K26" s="139" t="s">
        <v>46</v>
      </c>
    </row>
    <row r="27" spans="1:18" ht="18.75" x14ac:dyDescent="0.25">
      <c r="D27" s="140" t="s">
        <v>129</v>
      </c>
      <c r="E27" s="141" t="s">
        <v>180</v>
      </c>
      <c r="F27" s="141" t="s">
        <v>181</v>
      </c>
      <c r="G27" s="141" t="s">
        <v>182</v>
      </c>
      <c r="H27" s="141" t="s">
        <v>183</v>
      </c>
      <c r="I27" s="141" t="s">
        <v>184</v>
      </c>
      <c r="J27" s="184" t="s">
        <v>185</v>
      </c>
      <c r="K27" s="184" t="s">
        <v>186</v>
      </c>
    </row>
    <row r="40" spans="11:11" x14ac:dyDescent="0.25">
      <c r="K40" t="s">
        <v>31</v>
      </c>
    </row>
  </sheetData>
  <sheetProtection algorithmName="SHA-512" hashValue="4clJzQYToocEBCQ08W/u9jRw7cA/Vbs6crxfbEyhUIBTN51uhzN0LANEYYOsfshA1kxlLjsI3Hj9mgaIuxMIFg==" saltValue="XHTMasuDjz9PFTOUWtEiTA==" spinCount="100000" sheet="1" formatCells="0" formatColumns="0" formatRows="0" insertColumns="0" insertRows="0" insertHyperlinks="0" deleteColumns="0" deleteRows="0" sort="0" autoFilter="0" pivotTables="0"/>
  <autoFilter ref="A8:R8" xr:uid="{92D727DA-331D-4699-8408-46515E881B72}"/>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87" priority="1">
      <formula>IFERROR(INDEX(DiasCategorias, E27-FechaInicio+1),0)=1</formula>
    </cfRule>
    <cfRule type="expression" dxfId="886" priority="2">
      <formula>IFERROR(INDEX(DiasCategorias, E27-FechaInicio+1),0)=2</formula>
    </cfRule>
    <cfRule type="expression" dxfId="885" priority="3">
      <formula>IFERROR(INDEX(DiasCategorias, E27-FechaInicio+1),0)=3</formula>
    </cfRule>
    <cfRule type="expression" dxfId="884" priority="4">
      <formula>IFERROR(INDEX(DiasCategorias, E27-FechaInicio+1),0)=4</formula>
    </cfRule>
    <cfRule type="expression" dxfId="883" priority="5">
      <formula>IFERROR(INDEX(DiasCategorias, E27-FechaInicio+1),0)=5</formula>
    </cfRule>
    <cfRule type="expression" dxfId="882" priority="6">
      <formula>IFERROR(INDEX(DiasCategorias, E27-FechaInicio+1),0)=6</formula>
    </cfRule>
    <cfRule type="expression" dxfId="881" priority="7">
      <formula>IFERROR(INDEX(DiasCategorias, E27-FechaInicio+1),0)=7</formula>
    </cfRule>
    <cfRule type="expression" dxfId="880" priority="8">
      <formula>IFERROR(INDEX(DiasCategorias, E27-FechaInicio+1),0)=8</formula>
    </cfRule>
    <cfRule type="expression" dxfId="879" priority="9">
      <formula>IFERROR(INDEX(DiasCategorias, E27-FechaInicio+1),0)=9</formula>
    </cfRule>
    <cfRule type="expression" dxfId="878" priority="10">
      <formula>IFERROR(INDEX(DiasCategorias, E27-FechaInicio+1),0)=10</formula>
    </cfRule>
    <cfRule type="expression" dxfId="877" priority="11">
      <formula>IFERROR(INDEX(DiasCategorias, E27-FechaInicio+1),0)=11</formula>
    </cfRule>
    <cfRule type="expression" dxfId="876" priority="12">
      <formula>IFERROR(INDEX(DiasCategorias, E27-FechaInicio+1),0)=12</formula>
    </cfRule>
  </conditionalFormatting>
  <pageMargins left="0.7" right="0.7" top="0.75" bottom="0.75" header="0.3" footer="0.3"/>
  <pageSetup orientation="portrait" r:id="rId1"/>
  <ignoredErrors>
    <ignoredError sqref="Q9:Q19"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F79F5-2A09-4B25-9BF0-03AFB2B167B0}">
  <sheetPr codeName="Hoja48">
    <tabColor rgb="FFFFC000"/>
  </sheetPr>
  <dimension ref="A1:S40"/>
  <sheetViews>
    <sheetView topLeftCell="A3" workbookViewId="0">
      <selection activeCell="F11" sqref="F11"/>
    </sheetView>
  </sheetViews>
  <sheetFormatPr baseColWidth="10" defaultRowHeight="15" x14ac:dyDescent="0.25"/>
  <cols>
    <col min="2" max="2" width="9.140625" customWidth="1"/>
    <col min="3" max="3" width="27.5703125" bestFit="1" customWidth="1"/>
    <col min="4" max="4" width="13.28515625" bestFit="1" customWidth="1"/>
    <col min="5" max="5" width="13.140625" bestFit="1" customWidth="1"/>
    <col min="6" max="16" width="15.42578125" bestFit="1"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6</v>
      </c>
      <c r="B7" s="274"/>
      <c r="C7" s="296"/>
      <c r="D7" s="296"/>
      <c r="E7" s="296"/>
      <c r="F7" s="296"/>
      <c r="G7" s="296"/>
      <c r="H7" s="296"/>
      <c r="I7" s="296"/>
    </row>
    <row r="8" spans="1:19" ht="19.5" thickBot="1" x14ac:dyDescent="0.45">
      <c r="A8" s="29" t="s">
        <v>14</v>
      </c>
      <c r="B8" s="29" t="s">
        <v>15</v>
      </c>
      <c r="C8" s="29" t="s">
        <v>16</v>
      </c>
      <c r="D8" s="29" t="s">
        <v>114</v>
      </c>
      <c r="E8" s="30" t="s">
        <v>17</v>
      </c>
      <c r="F8" s="75" t="s">
        <v>63</v>
      </c>
      <c r="G8" s="75" t="s">
        <v>64</v>
      </c>
      <c r="H8" s="75" t="s">
        <v>65</v>
      </c>
      <c r="I8" s="75" t="s">
        <v>66</v>
      </c>
      <c r="J8" s="75" t="s">
        <v>67</v>
      </c>
      <c r="K8" s="119" t="s">
        <v>68</v>
      </c>
      <c r="L8" s="119" t="s">
        <v>69</v>
      </c>
      <c r="M8" s="119" t="s">
        <v>70</v>
      </c>
      <c r="N8" s="119" t="s">
        <v>71</v>
      </c>
      <c r="O8" s="119" t="s">
        <v>72</v>
      </c>
      <c r="P8" s="119" t="s">
        <v>73</v>
      </c>
      <c r="Q8" s="120" t="s">
        <v>4</v>
      </c>
      <c r="R8" s="198" t="s">
        <v>18</v>
      </c>
    </row>
    <row r="9" spans="1:19" ht="15.75" thickBot="1" x14ac:dyDescent="0.3">
      <c r="A9" s="80">
        <v>46061</v>
      </c>
      <c r="B9" s="81">
        <v>24</v>
      </c>
      <c r="C9" s="81" t="s">
        <v>521</v>
      </c>
      <c r="D9" s="154" t="s">
        <v>549</v>
      </c>
      <c r="E9" s="162">
        <v>5000</v>
      </c>
      <c r="F9" s="78">
        <v>500</v>
      </c>
      <c r="G9" s="78"/>
      <c r="H9" s="78"/>
      <c r="I9" s="78"/>
      <c r="J9" s="78"/>
      <c r="K9" s="78"/>
      <c r="L9" s="78"/>
      <c r="M9" s="78"/>
      <c r="N9" s="78"/>
      <c r="O9" s="78"/>
      <c r="P9" s="78"/>
      <c r="Q9" s="73">
        <f>SUM(F9:P9)</f>
        <v>500</v>
      </c>
      <c r="R9" s="199">
        <f t="shared" ref="R9:R19" si="0">E9-Q9</f>
        <v>4500</v>
      </c>
      <c r="S9">
        <f>_xlfn.ISOWEEKNUM(A9)</f>
        <v>6</v>
      </c>
    </row>
    <row r="10" spans="1:19" ht="15.75" thickBot="1" x14ac:dyDescent="0.3">
      <c r="A10" s="80">
        <v>46061</v>
      </c>
      <c r="B10" s="81">
        <v>672</v>
      </c>
      <c r="C10" s="81" t="s">
        <v>576</v>
      </c>
      <c r="D10" s="154" t="s">
        <v>575</v>
      </c>
      <c r="E10" s="162">
        <v>3000</v>
      </c>
      <c r="F10" s="78">
        <v>300</v>
      </c>
      <c r="G10" s="78"/>
      <c r="H10" s="78"/>
      <c r="I10" s="78"/>
      <c r="J10" s="78"/>
      <c r="K10" s="78"/>
      <c r="L10" s="78"/>
      <c r="M10" s="78"/>
      <c r="N10" s="78"/>
      <c r="O10" s="78"/>
      <c r="P10" s="78"/>
      <c r="Q10" s="73">
        <f t="shared" ref="Q10:Q19" si="1">SUM(F10:P10)</f>
        <v>300</v>
      </c>
      <c r="R10" s="199">
        <f t="shared" si="0"/>
        <v>2700</v>
      </c>
    </row>
    <row r="11" spans="1:19" ht="15.75" thickBot="1" x14ac:dyDescent="0.3">
      <c r="A11" s="80"/>
      <c r="B11" s="81"/>
      <c r="C11" s="81"/>
      <c r="D11" s="154"/>
      <c r="E11" s="162"/>
      <c r="F11" s="78"/>
      <c r="G11" s="78"/>
      <c r="H11" s="78"/>
      <c r="I11" s="78"/>
      <c r="J11" s="78"/>
      <c r="K11" s="78"/>
      <c r="L11" s="78"/>
      <c r="M11" s="78"/>
      <c r="N11" s="78"/>
      <c r="O11" s="78"/>
      <c r="P11" s="78"/>
      <c r="Q11" s="73">
        <f t="shared" si="1"/>
        <v>0</v>
      </c>
      <c r="R11" s="199">
        <f t="shared" si="0"/>
        <v>0</v>
      </c>
    </row>
    <row r="12" spans="1:19" ht="15.75" thickBot="1" x14ac:dyDescent="0.3">
      <c r="A12" s="80"/>
      <c r="B12" s="81"/>
      <c r="C12" s="81"/>
      <c r="D12" s="154"/>
      <c r="E12" s="162"/>
      <c r="F12" s="78"/>
      <c r="G12" s="78"/>
      <c r="H12" s="78"/>
      <c r="I12" s="78"/>
      <c r="J12" s="78"/>
      <c r="K12" s="78"/>
      <c r="L12" s="78"/>
      <c r="M12" s="78"/>
      <c r="N12" s="78"/>
      <c r="O12" s="78"/>
      <c r="P12" s="78"/>
      <c r="Q12" s="73">
        <f t="shared" si="1"/>
        <v>0</v>
      </c>
      <c r="R12" s="199">
        <f t="shared" si="0"/>
        <v>0</v>
      </c>
    </row>
    <row r="13" spans="1:19" ht="15.75" thickBot="1" x14ac:dyDescent="0.3">
      <c r="A13" s="80"/>
      <c r="B13" s="81"/>
      <c r="C13" s="81"/>
      <c r="D13" s="154"/>
      <c r="E13" s="162"/>
      <c r="F13" s="78"/>
      <c r="G13" s="78"/>
      <c r="H13" s="78"/>
      <c r="I13" s="78"/>
      <c r="J13" s="78"/>
      <c r="K13" s="78"/>
      <c r="L13" s="78"/>
      <c r="M13" s="78"/>
      <c r="N13" s="78"/>
      <c r="O13" s="78"/>
      <c r="P13" s="78"/>
      <c r="Q13" s="73">
        <f t="shared" si="1"/>
        <v>0</v>
      </c>
      <c r="R13" s="199">
        <f t="shared" si="0"/>
        <v>0</v>
      </c>
    </row>
    <row r="14" spans="1:19" ht="15.75" thickBot="1" x14ac:dyDescent="0.3">
      <c r="A14" s="80"/>
      <c r="B14" s="81"/>
      <c r="C14" s="81"/>
      <c r="D14" s="154"/>
      <c r="E14" s="162"/>
      <c r="F14" s="78"/>
      <c r="G14" s="78"/>
      <c r="H14" s="78"/>
      <c r="I14" s="78"/>
      <c r="J14" s="78"/>
      <c r="K14" s="78"/>
      <c r="L14" s="78"/>
      <c r="M14" s="78"/>
      <c r="N14" s="78"/>
      <c r="O14" s="78"/>
      <c r="P14" s="78"/>
      <c r="Q14" s="73">
        <f t="shared" si="1"/>
        <v>0</v>
      </c>
      <c r="R14" s="199">
        <f t="shared" si="0"/>
        <v>0</v>
      </c>
    </row>
    <row r="15" spans="1:19" ht="15.75" thickBot="1" x14ac:dyDescent="0.3">
      <c r="A15" s="80"/>
      <c r="B15" s="81"/>
      <c r="C15" s="81"/>
      <c r="D15" s="154"/>
      <c r="E15" s="162"/>
      <c r="F15" s="78"/>
      <c r="G15" s="78"/>
      <c r="H15" s="78"/>
      <c r="I15" s="78"/>
      <c r="J15" s="78"/>
      <c r="K15" s="78"/>
      <c r="L15" s="78"/>
      <c r="M15" s="78"/>
      <c r="N15" s="78"/>
      <c r="O15" s="78"/>
      <c r="P15" s="78"/>
      <c r="Q15" s="73">
        <f t="shared" si="1"/>
        <v>0</v>
      </c>
      <c r="R15" s="199">
        <f t="shared" si="0"/>
        <v>0</v>
      </c>
    </row>
    <row r="16" spans="1:19" ht="15.75" thickBot="1" x14ac:dyDescent="0.3">
      <c r="A16" s="80"/>
      <c r="B16" s="81"/>
      <c r="C16" s="81"/>
      <c r="D16" s="154"/>
      <c r="E16" s="162"/>
      <c r="F16" s="78"/>
      <c r="G16" s="78"/>
      <c r="H16" s="78"/>
      <c r="I16" s="78"/>
      <c r="J16" s="78"/>
      <c r="K16" s="78"/>
      <c r="L16" s="78"/>
      <c r="M16" s="78"/>
      <c r="N16" s="78"/>
      <c r="O16" s="78"/>
      <c r="P16" s="78"/>
      <c r="Q16" s="73">
        <f t="shared" si="1"/>
        <v>0</v>
      </c>
      <c r="R16" s="199">
        <f t="shared" si="0"/>
        <v>0</v>
      </c>
    </row>
    <row r="17" spans="1:18" ht="15.75" thickBot="1" x14ac:dyDescent="0.3">
      <c r="A17" s="80"/>
      <c r="B17" s="81"/>
      <c r="C17" s="81"/>
      <c r="D17" s="154"/>
      <c r="E17" s="162"/>
      <c r="F17" s="78"/>
      <c r="G17" s="78"/>
      <c r="H17" s="78"/>
      <c r="I17" s="78"/>
      <c r="J17" s="78"/>
      <c r="K17" s="78"/>
      <c r="L17" s="78"/>
      <c r="M17" s="78"/>
      <c r="N17" s="78"/>
      <c r="O17" s="78"/>
      <c r="P17" s="78"/>
      <c r="Q17" s="73">
        <f t="shared" si="1"/>
        <v>0</v>
      </c>
      <c r="R17" s="199">
        <f t="shared" si="0"/>
        <v>0</v>
      </c>
    </row>
    <row r="18" spans="1:18" ht="15.75" thickBot="1" x14ac:dyDescent="0.3">
      <c r="A18" s="80"/>
      <c r="B18" s="81"/>
      <c r="C18" s="81"/>
      <c r="D18" s="154"/>
      <c r="E18" s="162"/>
      <c r="F18" s="78"/>
      <c r="G18" s="78"/>
      <c r="H18" s="78"/>
      <c r="I18" s="78"/>
      <c r="J18" s="78"/>
      <c r="K18" s="78"/>
      <c r="L18" s="78"/>
      <c r="M18" s="78"/>
      <c r="N18" s="78"/>
      <c r="O18" s="78"/>
      <c r="P18" s="78"/>
      <c r="Q18" s="73">
        <f t="shared" si="1"/>
        <v>0</v>
      </c>
      <c r="R18" s="199">
        <f t="shared" si="0"/>
        <v>0</v>
      </c>
    </row>
    <row r="19" spans="1:18" ht="15.75" thickBot="1" x14ac:dyDescent="0.3">
      <c r="A19" s="80"/>
      <c r="B19" s="81"/>
      <c r="C19" s="81"/>
      <c r="D19" s="154"/>
      <c r="E19" s="162"/>
      <c r="F19" s="78"/>
      <c r="G19" s="78"/>
      <c r="H19" s="78"/>
      <c r="I19" s="78"/>
      <c r="J19" s="78"/>
      <c r="K19" s="78"/>
      <c r="L19" s="78"/>
      <c r="M19" s="78"/>
      <c r="N19" s="78"/>
      <c r="O19" s="78"/>
      <c r="P19" s="78"/>
      <c r="Q19" s="73">
        <f t="shared" si="1"/>
        <v>0</v>
      </c>
      <c r="R19" s="199">
        <f t="shared" si="0"/>
        <v>0</v>
      </c>
    </row>
    <row r="20" spans="1:18" ht="15.75" thickBot="1" x14ac:dyDescent="0.3">
      <c r="A20" t="s">
        <v>4</v>
      </c>
      <c r="E20" s="163">
        <f>SUM(E9:E19)</f>
        <v>8000</v>
      </c>
      <c r="F20" s="78"/>
      <c r="G20" s="78"/>
      <c r="H20" s="78"/>
      <c r="I20" s="78"/>
      <c r="J20" s="78"/>
      <c r="K20" s="78"/>
      <c r="L20" s="78"/>
      <c r="M20" s="78"/>
      <c r="N20" s="78"/>
      <c r="O20" s="78"/>
      <c r="P20" s="78"/>
      <c r="Q20" s="73">
        <f>SUM(Q9:Q19)</f>
        <v>800</v>
      </c>
      <c r="R20" s="100">
        <f>SUM(R9:R19)</f>
        <v>7200</v>
      </c>
    </row>
    <row r="21" spans="1:18" ht="15.75" thickBot="1" x14ac:dyDescent="0.3"/>
    <row r="22" spans="1:18" ht="16.5" thickBot="1" x14ac:dyDescent="0.35">
      <c r="H22" s="291" t="s">
        <v>20</v>
      </c>
      <c r="I22" s="292"/>
      <c r="J22" s="15">
        <f>E20</f>
        <v>8000</v>
      </c>
    </row>
    <row r="23" spans="1:18" ht="19.5" thickBot="1" x14ac:dyDescent="0.45">
      <c r="H23" s="279" t="s">
        <v>3</v>
      </c>
      <c r="I23" s="280"/>
      <c r="J23" s="16">
        <f>Q20</f>
        <v>800</v>
      </c>
    </row>
    <row r="24" spans="1:18" ht="19.5" thickBot="1" x14ac:dyDescent="0.45">
      <c r="H24" s="279" t="s">
        <v>7</v>
      </c>
      <c r="I24" s="279"/>
      <c r="J24" s="13">
        <f>R20</f>
        <v>7200</v>
      </c>
    </row>
    <row r="26" spans="1:18" ht="18.75" x14ac:dyDescent="0.25">
      <c r="D26" s="137">
        <v>45292</v>
      </c>
      <c r="E26" s="138" t="s">
        <v>47</v>
      </c>
      <c r="F26" s="138" t="s">
        <v>41</v>
      </c>
      <c r="G26" s="138" t="s">
        <v>42</v>
      </c>
      <c r="H26" s="138" t="s">
        <v>43</v>
      </c>
      <c r="I26" s="138" t="s">
        <v>44</v>
      </c>
      <c r="J26" s="139" t="s">
        <v>45</v>
      </c>
      <c r="K26" s="139" t="s">
        <v>46</v>
      </c>
    </row>
    <row r="27" spans="1:18" ht="18.75" x14ac:dyDescent="0.25">
      <c r="D27" s="140" t="s">
        <v>130</v>
      </c>
      <c r="E27" s="141" t="s">
        <v>187</v>
      </c>
      <c r="F27" s="141" t="s">
        <v>188</v>
      </c>
      <c r="G27" s="141" t="s">
        <v>189</v>
      </c>
      <c r="H27" s="141" t="s">
        <v>190</v>
      </c>
      <c r="I27" s="141" t="s">
        <v>191</v>
      </c>
      <c r="J27" s="184" t="s">
        <v>192</v>
      </c>
      <c r="K27" s="184" t="s">
        <v>193</v>
      </c>
    </row>
    <row r="40" spans="11:11" x14ac:dyDescent="0.25">
      <c r="K40" t="s">
        <v>31</v>
      </c>
    </row>
  </sheetData>
  <sheetProtection algorithmName="SHA-512" hashValue="S19Q8Z/8UDsiAPXlz+8/Lhv5GbdoN3GHf2ovGD4cOrpdbrmQU5P7NhK0ybXxRq57XYrpfrKz35ZnydKqBcBDKw==" saltValue="sq4lJKXRWQ9MTuRd8pI7qg==" spinCount="100000" sheet="1" formatCells="0" formatColumns="0" formatRows="0" insertColumns="0" insertRows="0" insertHyperlinks="0" deleteColumns="0" deleteRows="0" sort="0" autoFilter="0" pivotTables="0"/>
  <autoFilter ref="A8:R8" xr:uid="{77FF79F5-2A09-4B25-9BF0-03AFB2B167B0}"/>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75" priority="1">
      <formula>IFERROR(INDEX(DiasCategorias, E27-FechaInicio+1),0)=1</formula>
    </cfRule>
    <cfRule type="expression" dxfId="874" priority="2">
      <formula>IFERROR(INDEX(DiasCategorias, E27-FechaInicio+1),0)=2</formula>
    </cfRule>
    <cfRule type="expression" dxfId="873" priority="3">
      <formula>IFERROR(INDEX(DiasCategorias, E27-FechaInicio+1),0)=3</formula>
    </cfRule>
    <cfRule type="expression" dxfId="872" priority="4">
      <formula>IFERROR(INDEX(DiasCategorias, E27-FechaInicio+1),0)=4</formula>
    </cfRule>
    <cfRule type="expression" dxfId="871" priority="5">
      <formula>IFERROR(INDEX(DiasCategorias, E27-FechaInicio+1),0)=5</formula>
    </cfRule>
    <cfRule type="expression" dxfId="870" priority="6">
      <formula>IFERROR(INDEX(DiasCategorias, E27-FechaInicio+1),0)=6</formula>
    </cfRule>
    <cfRule type="expression" dxfId="869" priority="7">
      <formula>IFERROR(INDEX(DiasCategorias, E27-FechaInicio+1),0)=7</formula>
    </cfRule>
    <cfRule type="expression" dxfId="868" priority="8">
      <formula>IFERROR(INDEX(DiasCategorias, E27-FechaInicio+1),0)=8</formula>
    </cfRule>
    <cfRule type="expression" dxfId="867" priority="9">
      <formula>IFERROR(INDEX(DiasCategorias, E27-FechaInicio+1),0)=9</formula>
    </cfRule>
    <cfRule type="expression" dxfId="866" priority="10">
      <formula>IFERROR(INDEX(DiasCategorias, E27-FechaInicio+1),0)=10</formula>
    </cfRule>
    <cfRule type="expression" dxfId="865" priority="11">
      <formula>IFERROR(INDEX(DiasCategorias, E27-FechaInicio+1),0)=11</formula>
    </cfRule>
    <cfRule type="expression" dxfId="864" priority="12">
      <formula>IFERROR(INDEX(DiasCategorias, E27-FechaInicio+1),0)=12</formula>
    </cfRule>
  </conditionalFormatting>
  <pageMargins left="0.7" right="0.7" top="0.75" bottom="0.75" header="0.3" footer="0.3"/>
  <pageSetup orientation="portrait" r:id="rId1"/>
  <ignoredErrors>
    <ignoredError sqref="Q9:Q19"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948F3-CCE3-4922-888D-B4CDD4DF42CE}">
  <sheetPr codeName="Hoja49">
    <tabColor theme="2" tint="-9.9978637043366805E-2"/>
  </sheetPr>
  <dimension ref="A1:Y40"/>
  <sheetViews>
    <sheetView workbookViewId="0">
      <selection activeCell="F9" sqref="F9"/>
    </sheetView>
  </sheetViews>
  <sheetFormatPr baseColWidth="10" defaultRowHeight="15" x14ac:dyDescent="0.25"/>
  <cols>
    <col min="2" max="2" width="9.140625" customWidth="1"/>
    <col min="3" max="3" width="27.5703125" bestFit="1" customWidth="1"/>
    <col min="5" max="5" width="13.42578125" bestFit="1" customWidth="1"/>
    <col min="6" max="22" width="15.42578125" bestFit="1" customWidth="1"/>
  </cols>
  <sheetData>
    <row r="1" spans="1:25" ht="15" customHeight="1" x14ac:dyDescent="0.25">
      <c r="A1" s="268"/>
      <c r="B1" s="268"/>
      <c r="C1" s="281" t="s">
        <v>8</v>
      </c>
      <c r="D1" s="282"/>
      <c r="E1" s="282"/>
      <c r="F1" s="282"/>
      <c r="G1" s="283"/>
      <c r="H1" s="288"/>
      <c r="I1" s="289"/>
    </row>
    <row r="2" spans="1:25" ht="15.75" customHeight="1" thickBot="1" x14ac:dyDescent="0.3">
      <c r="A2" s="268"/>
      <c r="B2" s="268"/>
      <c r="C2" s="285"/>
      <c r="D2" s="286"/>
      <c r="E2" s="286"/>
      <c r="F2" s="286"/>
      <c r="G2" s="287"/>
      <c r="H2" s="288"/>
      <c r="I2" s="289"/>
    </row>
    <row r="3" spans="1:25" x14ac:dyDescent="0.25">
      <c r="A3" s="268"/>
      <c r="B3" s="268"/>
      <c r="C3" s="268"/>
      <c r="D3" s="268"/>
      <c r="E3" s="268"/>
      <c r="F3" s="268"/>
      <c r="G3" s="268"/>
      <c r="H3" s="268"/>
      <c r="I3" s="268"/>
    </row>
    <row r="4" spans="1:25" x14ac:dyDescent="0.25">
      <c r="A4" s="268"/>
      <c r="B4" s="268"/>
      <c r="C4" s="268"/>
      <c r="D4" s="268"/>
      <c r="E4" s="268"/>
      <c r="F4" s="268"/>
      <c r="G4" s="268"/>
      <c r="H4" s="268"/>
      <c r="I4" s="268"/>
    </row>
    <row r="5" spans="1:25" x14ac:dyDescent="0.25">
      <c r="A5" s="268"/>
      <c r="B5" s="268"/>
      <c r="C5" s="268"/>
      <c r="D5" s="268"/>
      <c r="E5" s="268"/>
      <c r="F5" s="268"/>
      <c r="G5" s="268"/>
      <c r="H5" s="268"/>
      <c r="I5" s="268"/>
    </row>
    <row r="6" spans="1:25" ht="27" x14ac:dyDescent="0.5">
      <c r="A6" s="273" t="s">
        <v>10</v>
      </c>
      <c r="B6" s="273"/>
      <c r="C6" s="268"/>
      <c r="D6" s="268"/>
      <c r="E6" s="268"/>
      <c r="F6" s="268"/>
      <c r="G6" s="268"/>
      <c r="H6" s="268"/>
      <c r="I6" s="268"/>
    </row>
    <row r="7" spans="1:25" ht="27.75" thickBot="1" x14ac:dyDescent="0.55000000000000004">
      <c r="A7" s="274">
        <v>7</v>
      </c>
      <c r="B7" s="274"/>
      <c r="C7" s="296"/>
      <c r="D7" s="296"/>
      <c r="E7" s="296"/>
      <c r="F7" s="296"/>
      <c r="G7" s="296"/>
      <c r="H7" s="296"/>
      <c r="I7" s="296"/>
    </row>
    <row r="8" spans="1:25" ht="19.5" thickBot="1" x14ac:dyDescent="0.45">
      <c r="A8" s="29" t="s">
        <v>14</v>
      </c>
      <c r="B8" s="29" t="s">
        <v>15</v>
      </c>
      <c r="C8" s="29" t="s">
        <v>16</v>
      </c>
      <c r="D8" s="29" t="s">
        <v>114</v>
      </c>
      <c r="E8" s="30" t="s">
        <v>17</v>
      </c>
      <c r="F8" s="75" t="s">
        <v>64</v>
      </c>
      <c r="G8" s="75" t="s">
        <v>65</v>
      </c>
      <c r="H8" s="75" t="s">
        <v>66</v>
      </c>
      <c r="I8" s="75" t="s">
        <v>67</v>
      </c>
      <c r="J8" s="75" t="s">
        <v>68</v>
      </c>
      <c r="K8" s="75" t="s">
        <v>69</v>
      </c>
      <c r="L8" s="75" t="s">
        <v>70</v>
      </c>
      <c r="M8" s="75" t="s">
        <v>71</v>
      </c>
      <c r="N8" s="75" t="s">
        <v>72</v>
      </c>
      <c r="O8" s="75" t="s">
        <v>73</v>
      </c>
      <c r="P8" s="75" t="s">
        <v>74</v>
      </c>
      <c r="Q8" s="75" t="s">
        <v>75</v>
      </c>
      <c r="R8" s="75" t="s">
        <v>76</v>
      </c>
      <c r="S8" s="75" t="s">
        <v>77</v>
      </c>
      <c r="T8" s="75" t="s">
        <v>78</v>
      </c>
      <c r="U8" s="75" t="s">
        <v>79</v>
      </c>
      <c r="V8" s="75" t="s">
        <v>80</v>
      </c>
      <c r="W8" s="30" t="s">
        <v>4</v>
      </c>
      <c r="X8" s="164" t="s">
        <v>18</v>
      </c>
    </row>
    <row r="9" spans="1:25" ht="15.75" thickBot="1" x14ac:dyDescent="0.3">
      <c r="A9" s="80">
        <v>46068</v>
      </c>
      <c r="B9" s="81">
        <v>787</v>
      </c>
      <c r="C9" s="81" t="s">
        <v>578</v>
      </c>
      <c r="D9" s="154" t="s">
        <v>568</v>
      </c>
      <c r="E9" s="162">
        <v>3000</v>
      </c>
      <c r="F9" s="78"/>
      <c r="G9" s="78"/>
      <c r="H9" s="81"/>
      <c r="I9" s="81"/>
      <c r="J9" s="81"/>
      <c r="K9" s="81"/>
      <c r="L9" s="81"/>
      <c r="M9" s="81"/>
      <c r="N9" s="81"/>
      <c r="O9" s="81"/>
      <c r="P9" s="81"/>
      <c r="Q9" s="81"/>
      <c r="R9" s="81"/>
      <c r="S9" s="81"/>
      <c r="T9" s="81"/>
      <c r="U9" s="81"/>
      <c r="V9" s="81"/>
      <c r="W9" s="73">
        <f>SUM(F9:V9)</f>
        <v>0</v>
      </c>
      <c r="X9" s="165">
        <f t="shared" ref="X9:X19" si="0">E9-W9</f>
        <v>3000</v>
      </c>
      <c r="Y9">
        <f>_xlfn.ISOWEEKNUM(A9)</f>
        <v>7</v>
      </c>
    </row>
    <row r="10" spans="1:25" ht="15.75" thickBot="1" x14ac:dyDescent="0.3">
      <c r="A10" s="80"/>
      <c r="B10" s="81"/>
      <c r="C10" s="81"/>
      <c r="D10" s="154"/>
      <c r="E10" s="162"/>
      <c r="F10" s="78"/>
      <c r="G10" s="78"/>
      <c r="H10" s="78"/>
      <c r="I10" s="78"/>
      <c r="J10" s="81"/>
      <c r="K10" s="81"/>
      <c r="L10" s="81"/>
      <c r="M10" s="81"/>
      <c r="N10" s="81"/>
      <c r="O10" s="81"/>
      <c r="P10" s="81"/>
      <c r="Q10" s="81"/>
      <c r="R10" s="81"/>
      <c r="S10" s="81"/>
      <c r="T10" s="81"/>
      <c r="U10" s="81"/>
      <c r="V10" s="81"/>
      <c r="W10" s="73">
        <f t="shared" ref="W10:W19" si="1">SUM(F10:V10)</f>
        <v>0</v>
      </c>
      <c r="X10" s="165">
        <f t="shared" si="0"/>
        <v>0</v>
      </c>
    </row>
    <row r="11" spans="1:25" ht="15.75" thickBot="1" x14ac:dyDescent="0.3">
      <c r="A11" s="80"/>
      <c r="B11" s="81"/>
      <c r="C11" s="81"/>
      <c r="D11" s="154"/>
      <c r="E11" s="162"/>
      <c r="F11" s="78"/>
      <c r="G11" s="78"/>
      <c r="H11" s="78"/>
      <c r="I11" s="78"/>
      <c r="J11" s="81"/>
      <c r="K11" s="81"/>
      <c r="L11" s="81"/>
      <c r="M11" s="81"/>
      <c r="N11" s="81"/>
      <c r="O11" s="81"/>
      <c r="P11" s="81"/>
      <c r="Q11" s="81"/>
      <c r="R11" s="81"/>
      <c r="S11" s="81"/>
      <c r="T11" s="81"/>
      <c r="U11" s="81"/>
      <c r="V11" s="81"/>
      <c r="W11" s="73">
        <f t="shared" si="1"/>
        <v>0</v>
      </c>
      <c r="X11" s="165">
        <f t="shared" si="0"/>
        <v>0</v>
      </c>
    </row>
    <row r="12" spans="1:25" ht="15.75" thickBot="1" x14ac:dyDescent="0.3">
      <c r="A12" s="80"/>
      <c r="B12" s="81"/>
      <c r="C12" s="81"/>
      <c r="D12" s="154"/>
      <c r="E12" s="162"/>
      <c r="F12" s="78"/>
      <c r="G12" s="78"/>
      <c r="H12" s="78"/>
      <c r="I12" s="78"/>
      <c r="J12" s="81"/>
      <c r="K12" s="81"/>
      <c r="L12" s="81"/>
      <c r="M12" s="81"/>
      <c r="N12" s="81"/>
      <c r="O12" s="81"/>
      <c r="P12" s="81"/>
      <c r="Q12" s="81"/>
      <c r="R12" s="81"/>
      <c r="S12" s="81"/>
      <c r="T12" s="81"/>
      <c r="U12" s="81"/>
      <c r="V12" s="81"/>
      <c r="W12" s="73">
        <f t="shared" si="1"/>
        <v>0</v>
      </c>
      <c r="X12" s="165">
        <f t="shared" si="0"/>
        <v>0</v>
      </c>
    </row>
    <row r="13" spans="1:25" ht="15.75" thickBot="1" x14ac:dyDescent="0.3">
      <c r="A13" s="80"/>
      <c r="B13" s="81"/>
      <c r="C13" s="81"/>
      <c r="D13" s="154"/>
      <c r="E13" s="162"/>
      <c r="F13" s="78"/>
      <c r="G13" s="78"/>
      <c r="H13" s="78"/>
      <c r="I13" s="78"/>
      <c r="J13" s="81"/>
      <c r="K13" s="81"/>
      <c r="L13" s="81"/>
      <c r="M13" s="81"/>
      <c r="N13" s="81"/>
      <c r="O13" s="81"/>
      <c r="P13" s="81"/>
      <c r="Q13" s="81"/>
      <c r="R13" s="81"/>
      <c r="S13" s="81"/>
      <c r="T13" s="81"/>
      <c r="U13" s="81"/>
      <c r="V13" s="81"/>
      <c r="W13" s="73">
        <f t="shared" si="1"/>
        <v>0</v>
      </c>
      <c r="X13" s="165">
        <f t="shared" si="0"/>
        <v>0</v>
      </c>
    </row>
    <row r="14" spans="1:25" ht="15.75" thickBot="1" x14ac:dyDescent="0.3">
      <c r="A14" s="80"/>
      <c r="B14" s="81"/>
      <c r="C14" s="81"/>
      <c r="D14" s="154"/>
      <c r="E14" s="162"/>
      <c r="F14" s="78"/>
      <c r="G14" s="78"/>
      <c r="H14" s="78"/>
      <c r="I14" s="78"/>
      <c r="J14" s="81"/>
      <c r="K14" s="81"/>
      <c r="L14" s="81"/>
      <c r="M14" s="81"/>
      <c r="N14" s="81"/>
      <c r="O14" s="81"/>
      <c r="P14" s="81"/>
      <c r="Q14" s="81"/>
      <c r="R14" s="81"/>
      <c r="S14" s="81"/>
      <c r="T14" s="81"/>
      <c r="U14" s="81"/>
      <c r="V14" s="81"/>
      <c r="W14" s="73">
        <f t="shared" si="1"/>
        <v>0</v>
      </c>
      <c r="X14" s="165">
        <f t="shared" si="0"/>
        <v>0</v>
      </c>
    </row>
    <row r="15" spans="1:25" ht="15.75" thickBot="1" x14ac:dyDescent="0.3">
      <c r="A15" s="80"/>
      <c r="B15" s="81"/>
      <c r="C15" s="81"/>
      <c r="D15" s="154"/>
      <c r="E15" s="162"/>
      <c r="F15" s="78"/>
      <c r="G15" s="78"/>
      <c r="H15" s="78"/>
      <c r="I15" s="78"/>
      <c r="J15" s="81"/>
      <c r="K15" s="81"/>
      <c r="L15" s="81"/>
      <c r="M15" s="81"/>
      <c r="N15" s="81"/>
      <c r="O15" s="81"/>
      <c r="P15" s="81"/>
      <c r="Q15" s="81"/>
      <c r="R15" s="81"/>
      <c r="S15" s="81"/>
      <c r="T15" s="81"/>
      <c r="U15" s="81"/>
      <c r="V15" s="81"/>
      <c r="W15" s="73">
        <f t="shared" si="1"/>
        <v>0</v>
      </c>
      <c r="X15" s="165">
        <f t="shared" si="0"/>
        <v>0</v>
      </c>
    </row>
    <row r="16" spans="1:25" ht="15.75" thickBot="1" x14ac:dyDescent="0.3">
      <c r="A16" s="80"/>
      <c r="B16" s="81"/>
      <c r="C16" s="81"/>
      <c r="D16" s="154"/>
      <c r="E16" s="162"/>
      <c r="F16" s="78"/>
      <c r="G16" s="78"/>
      <c r="H16" s="78"/>
      <c r="I16" s="78"/>
      <c r="J16" s="81"/>
      <c r="K16" s="81"/>
      <c r="L16" s="81"/>
      <c r="M16" s="81"/>
      <c r="N16" s="81"/>
      <c r="O16" s="81"/>
      <c r="P16" s="81"/>
      <c r="Q16" s="81"/>
      <c r="R16" s="81"/>
      <c r="S16" s="81"/>
      <c r="T16" s="81"/>
      <c r="U16" s="81"/>
      <c r="V16" s="81"/>
      <c r="W16" s="73">
        <f t="shared" si="1"/>
        <v>0</v>
      </c>
      <c r="X16" s="165">
        <f t="shared" si="0"/>
        <v>0</v>
      </c>
    </row>
    <row r="17" spans="1:24" ht="15.75" thickBot="1" x14ac:dyDescent="0.3">
      <c r="A17" s="80"/>
      <c r="B17" s="81"/>
      <c r="C17" s="81"/>
      <c r="D17" s="154"/>
      <c r="E17" s="162"/>
      <c r="F17" s="78"/>
      <c r="G17" s="78"/>
      <c r="H17" s="78"/>
      <c r="I17" s="78"/>
      <c r="J17" s="81"/>
      <c r="K17" s="81"/>
      <c r="L17" s="81"/>
      <c r="M17" s="81"/>
      <c r="N17" s="81"/>
      <c r="O17" s="81"/>
      <c r="P17" s="81"/>
      <c r="Q17" s="81"/>
      <c r="R17" s="81"/>
      <c r="S17" s="81"/>
      <c r="T17" s="81"/>
      <c r="U17" s="81"/>
      <c r="V17" s="81"/>
      <c r="W17" s="73">
        <f t="shared" si="1"/>
        <v>0</v>
      </c>
      <c r="X17" s="165">
        <f t="shared" si="0"/>
        <v>0</v>
      </c>
    </row>
    <row r="18" spans="1:24" ht="15.75" thickBot="1" x14ac:dyDescent="0.3">
      <c r="A18" s="80"/>
      <c r="B18" s="81"/>
      <c r="C18" s="81"/>
      <c r="D18" s="154"/>
      <c r="E18" s="162"/>
      <c r="F18" s="78"/>
      <c r="G18" s="78"/>
      <c r="H18" s="78"/>
      <c r="I18" s="78"/>
      <c r="J18" s="81"/>
      <c r="K18" s="81"/>
      <c r="L18" s="81"/>
      <c r="M18" s="81"/>
      <c r="N18" s="81"/>
      <c r="O18" s="81"/>
      <c r="P18" s="81"/>
      <c r="Q18" s="81"/>
      <c r="R18" s="81"/>
      <c r="S18" s="81"/>
      <c r="T18" s="81"/>
      <c r="U18" s="81"/>
      <c r="V18" s="81"/>
      <c r="W18" s="73">
        <f t="shared" si="1"/>
        <v>0</v>
      </c>
      <c r="X18" s="165">
        <f t="shared" si="0"/>
        <v>0</v>
      </c>
    </row>
    <row r="19" spans="1:24" ht="15.75" thickBot="1" x14ac:dyDescent="0.3">
      <c r="A19" s="80"/>
      <c r="B19" s="81"/>
      <c r="C19" s="81"/>
      <c r="D19" s="154"/>
      <c r="E19" s="162"/>
      <c r="F19" s="78"/>
      <c r="G19" s="78"/>
      <c r="H19" s="78"/>
      <c r="I19" s="78"/>
      <c r="J19" s="81"/>
      <c r="K19" s="81"/>
      <c r="L19" s="81"/>
      <c r="M19" s="81"/>
      <c r="N19" s="81"/>
      <c r="O19" s="81"/>
      <c r="P19" s="81"/>
      <c r="Q19" s="81"/>
      <c r="R19" s="81"/>
      <c r="S19" s="81"/>
      <c r="T19" s="81"/>
      <c r="U19" s="81"/>
      <c r="V19" s="81"/>
      <c r="W19" s="73">
        <f t="shared" si="1"/>
        <v>0</v>
      </c>
      <c r="X19" s="165">
        <f t="shared" si="0"/>
        <v>0</v>
      </c>
    </row>
    <row r="20" spans="1:24" ht="15.75" thickBot="1" x14ac:dyDescent="0.3">
      <c r="A20" t="s">
        <v>4</v>
      </c>
      <c r="E20" s="163">
        <f>SUM(E9:E19)</f>
        <v>3000</v>
      </c>
      <c r="F20" s="12"/>
      <c r="G20" s="12"/>
      <c r="H20" s="12"/>
      <c r="I20" s="12"/>
      <c r="J20" s="6"/>
      <c r="K20" s="6"/>
      <c r="L20" s="6"/>
      <c r="M20" s="6"/>
      <c r="N20" s="6"/>
      <c r="O20" s="6"/>
      <c r="P20" s="6"/>
      <c r="Q20" s="6"/>
      <c r="R20" s="6"/>
      <c r="S20" s="6"/>
      <c r="T20" s="6"/>
      <c r="U20" s="6"/>
      <c r="V20" s="6"/>
      <c r="W20" s="73">
        <f>SUM(W9:W19)</f>
        <v>0</v>
      </c>
      <c r="X20" s="166">
        <f>SUM(X9:X19)</f>
        <v>3000</v>
      </c>
    </row>
    <row r="21" spans="1:24" ht="15.75" thickBot="1" x14ac:dyDescent="0.3"/>
    <row r="22" spans="1:24" ht="16.5" thickBot="1" x14ac:dyDescent="0.35">
      <c r="H22" s="291" t="s">
        <v>20</v>
      </c>
      <c r="I22" s="292"/>
      <c r="J22" s="15">
        <f>E20</f>
        <v>3000</v>
      </c>
      <c r="K22" s="4"/>
      <c r="L22" s="4"/>
      <c r="M22" s="4"/>
    </row>
    <row r="23" spans="1:24" ht="19.5" thickBot="1" x14ac:dyDescent="0.45">
      <c r="H23" s="279" t="s">
        <v>3</v>
      </c>
      <c r="I23" s="280"/>
      <c r="J23" s="16">
        <f>W20</f>
        <v>0</v>
      </c>
      <c r="K23" s="4"/>
      <c r="L23" s="4"/>
      <c r="M23" s="4"/>
    </row>
    <row r="24" spans="1:24" ht="19.5" thickBot="1" x14ac:dyDescent="0.45">
      <c r="H24" s="279" t="s">
        <v>7</v>
      </c>
      <c r="I24" s="279"/>
      <c r="J24" s="13">
        <f>X20</f>
        <v>3000</v>
      </c>
      <c r="K24" s="175"/>
      <c r="L24" s="175"/>
      <c r="M24" s="175"/>
    </row>
    <row r="26" spans="1:24" ht="18.75" x14ac:dyDescent="0.25">
      <c r="D26" s="137">
        <v>45292</v>
      </c>
      <c r="E26" s="138" t="s">
        <v>47</v>
      </c>
      <c r="F26" s="138" t="s">
        <v>41</v>
      </c>
      <c r="G26" s="138" t="s">
        <v>42</v>
      </c>
      <c r="H26" s="138" t="s">
        <v>43</v>
      </c>
      <c r="I26" s="138" t="s">
        <v>44</v>
      </c>
      <c r="J26" s="139" t="s">
        <v>45</v>
      </c>
      <c r="K26" s="139" t="s">
        <v>46</v>
      </c>
    </row>
    <row r="27" spans="1:24" ht="18.75" x14ac:dyDescent="0.25">
      <c r="D27" s="140" t="s">
        <v>131</v>
      </c>
      <c r="E27" s="141" t="s">
        <v>194</v>
      </c>
      <c r="F27" s="141" t="s">
        <v>195</v>
      </c>
      <c r="G27" s="141" t="s">
        <v>196</v>
      </c>
      <c r="H27" s="141" t="s">
        <v>197</v>
      </c>
      <c r="I27" s="141" t="s">
        <v>198</v>
      </c>
      <c r="J27" s="184" t="s">
        <v>199</v>
      </c>
      <c r="K27" s="184" t="s">
        <v>200</v>
      </c>
    </row>
    <row r="40" spans="14:14" x14ac:dyDescent="0.25">
      <c r="N40" t="s">
        <v>31</v>
      </c>
    </row>
  </sheetData>
  <sheetProtection algorithmName="SHA-512" hashValue="PqNis2Tqy8ErabC/Zww2TpjRxldGEecMwAL4VOn/fXA4IlGzHehOfFIO21JbrE5enOix9Zg1DiGzwC/0WxnvDQ==" saltValue="oPEk0YsUjrkZCkvsk6NN7w==" spinCount="100000" sheet="1" formatCells="0" formatColumns="0" formatRows="0" insertColumns="0" insertRows="0" insertHyperlinks="0" deleteColumns="0" deleteRows="0" sort="0" autoFilter="0" pivotTables="0"/>
  <autoFilter ref="A8:X8" xr:uid="{678948F3-CCE3-4922-888D-B4CDD4DF42CE}"/>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63" priority="1">
      <formula>IFERROR(INDEX(DiasCategorias, E27-FechaInicio+1),0)=1</formula>
    </cfRule>
    <cfRule type="expression" dxfId="862" priority="2">
      <formula>IFERROR(INDEX(DiasCategorias, E27-FechaInicio+1),0)=2</formula>
    </cfRule>
    <cfRule type="expression" dxfId="861" priority="3">
      <formula>IFERROR(INDEX(DiasCategorias, E27-FechaInicio+1),0)=3</formula>
    </cfRule>
    <cfRule type="expression" dxfId="860" priority="4">
      <formula>IFERROR(INDEX(DiasCategorias, E27-FechaInicio+1),0)=4</formula>
    </cfRule>
    <cfRule type="expression" dxfId="859" priority="5">
      <formula>IFERROR(INDEX(DiasCategorias, E27-FechaInicio+1),0)=5</formula>
    </cfRule>
    <cfRule type="expression" dxfId="858" priority="6">
      <formula>IFERROR(INDEX(DiasCategorias, E27-FechaInicio+1),0)=6</formula>
    </cfRule>
    <cfRule type="expression" dxfId="857" priority="7">
      <formula>IFERROR(INDEX(DiasCategorias, E27-FechaInicio+1),0)=7</formula>
    </cfRule>
    <cfRule type="expression" dxfId="856" priority="8">
      <formula>IFERROR(INDEX(DiasCategorias, E27-FechaInicio+1),0)=8</formula>
    </cfRule>
    <cfRule type="expression" dxfId="855" priority="9">
      <formula>IFERROR(INDEX(DiasCategorias, E27-FechaInicio+1),0)=9</formula>
    </cfRule>
    <cfRule type="expression" dxfId="854" priority="10">
      <formula>IFERROR(INDEX(DiasCategorias, E27-FechaInicio+1),0)=10</formula>
    </cfRule>
    <cfRule type="expression" dxfId="853" priority="11">
      <formula>IFERROR(INDEX(DiasCategorias, E27-FechaInicio+1),0)=11</formula>
    </cfRule>
    <cfRule type="expression" dxfId="852" priority="12">
      <formula>IFERROR(INDEX(DiasCategorias, E27-FechaInicio+1),0)=12</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B0581-835C-4C25-B438-50DA88619FD1}">
  <sheetPr codeName="Hoja47">
    <tabColor theme="8" tint="0.39997558519241921"/>
  </sheetPr>
  <dimension ref="A1:U40"/>
  <sheetViews>
    <sheetView topLeftCell="A3" workbookViewId="0">
      <selection activeCell="B15" sqref="B15"/>
    </sheetView>
  </sheetViews>
  <sheetFormatPr baseColWidth="10" defaultRowHeight="15" x14ac:dyDescent="0.25"/>
  <cols>
    <col min="2" max="2" width="9.140625" customWidth="1"/>
    <col min="3" max="3" width="27.5703125" bestFit="1" customWidth="1"/>
    <col min="4" max="4" width="13.28515625" bestFit="1" customWidth="1"/>
    <col min="5" max="5" width="13.140625" bestFit="1" customWidth="1"/>
    <col min="6" max="17" width="15.42578125" bestFit="1" customWidth="1"/>
    <col min="18" max="18" width="15.42578125" customWidth="1"/>
  </cols>
  <sheetData>
    <row r="1" spans="1:21" ht="15" customHeight="1" x14ac:dyDescent="0.25">
      <c r="A1" s="268"/>
      <c r="B1" s="268"/>
      <c r="C1" s="281" t="s">
        <v>8</v>
      </c>
      <c r="D1" s="282"/>
      <c r="E1" s="282"/>
      <c r="F1" s="282"/>
      <c r="G1" s="283"/>
      <c r="H1" s="288"/>
      <c r="I1" s="289"/>
    </row>
    <row r="2" spans="1:21" ht="15.75" customHeight="1" thickBot="1" x14ac:dyDescent="0.3">
      <c r="A2" s="268"/>
      <c r="B2" s="268"/>
      <c r="C2" s="285"/>
      <c r="D2" s="286"/>
      <c r="E2" s="286"/>
      <c r="F2" s="286"/>
      <c r="G2" s="287"/>
      <c r="H2" s="288"/>
      <c r="I2" s="289"/>
    </row>
    <row r="3" spans="1:21" x14ac:dyDescent="0.25">
      <c r="A3" s="268"/>
      <c r="B3" s="268"/>
      <c r="C3" s="268"/>
      <c r="D3" s="268"/>
      <c r="E3" s="268"/>
      <c r="F3" s="268"/>
      <c r="G3" s="268"/>
      <c r="H3" s="268"/>
      <c r="I3" s="268"/>
    </row>
    <row r="4" spans="1:21" x14ac:dyDescent="0.25">
      <c r="A4" s="268"/>
      <c r="B4" s="268"/>
      <c r="C4" s="268"/>
      <c r="D4" s="268"/>
      <c r="E4" s="268"/>
      <c r="F4" s="268"/>
      <c r="G4" s="268"/>
      <c r="H4" s="268"/>
      <c r="I4" s="268"/>
    </row>
    <row r="5" spans="1:21" x14ac:dyDescent="0.25">
      <c r="A5" s="268"/>
      <c r="B5" s="268"/>
      <c r="C5" s="268"/>
      <c r="D5" s="268"/>
      <c r="E5" s="268"/>
      <c r="F5" s="268"/>
      <c r="G5" s="268"/>
      <c r="H5" s="268"/>
      <c r="I5" s="268"/>
    </row>
    <row r="6" spans="1:21" ht="27" x14ac:dyDescent="0.5">
      <c r="A6" s="273" t="s">
        <v>10</v>
      </c>
      <c r="B6" s="273"/>
      <c r="C6" s="268"/>
      <c r="D6" s="268"/>
      <c r="E6" s="268"/>
      <c r="F6" s="268"/>
      <c r="G6" s="268"/>
      <c r="H6" s="268"/>
      <c r="I6" s="268"/>
    </row>
    <row r="7" spans="1:21" ht="27.75" thickBot="1" x14ac:dyDescent="0.55000000000000004">
      <c r="A7" s="274">
        <v>8</v>
      </c>
      <c r="B7" s="274"/>
      <c r="C7" s="296"/>
      <c r="D7" s="296"/>
      <c r="E7" s="296"/>
      <c r="F7" s="296"/>
      <c r="G7" s="296"/>
      <c r="H7" s="296"/>
      <c r="I7" s="296"/>
    </row>
    <row r="8" spans="1:21" ht="19.5" thickBot="1" x14ac:dyDescent="0.45">
      <c r="A8" s="29" t="s">
        <v>14</v>
      </c>
      <c r="B8" s="29" t="s">
        <v>15</v>
      </c>
      <c r="C8" s="29" t="s">
        <v>16</v>
      </c>
      <c r="D8" s="29" t="s">
        <v>114</v>
      </c>
      <c r="E8" s="30" t="s">
        <v>17</v>
      </c>
      <c r="F8" s="75" t="s">
        <v>65</v>
      </c>
      <c r="G8" s="75" t="s">
        <v>66</v>
      </c>
      <c r="H8" s="75" t="s">
        <v>67</v>
      </c>
      <c r="I8" s="75" t="s">
        <v>68</v>
      </c>
      <c r="J8" s="75" t="s">
        <v>69</v>
      </c>
      <c r="K8" s="75" t="s">
        <v>70</v>
      </c>
      <c r="L8" s="75" t="s">
        <v>71</v>
      </c>
      <c r="M8" s="75" t="s">
        <v>72</v>
      </c>
      <c r="N8" s="75" t="s">
        <v>73</v>
      </c>
      <c r="O8" s="75" t="s">
        <v>74</v>
      </c>
      <c r="P8" s="75" t="s">
        <v>75</v>
      </c>
      <c r="Q8" s="75" t="s">
        <v>76</v>
      </c>
      <c r="R8" s="75" t="s">
        <v>77</v>
      </c>
      <c r="S8" s="30" t="s">
        <v>4</v>
      </c>
      <c r="T8" s="164" t="s">
        <v>18</v>
      </c>
    </row>
    <row r="9" spans="1:21" ht="15.75" thickBot="1" x14ac:dyDescent="0.3">
      <c r="A9" s="80">
        <v>46075</v>
      </c>
      <c r="B9" s="81">
        <v>477</v>
      </c>
      <c r="C9" s="81" t="s">
        <v>579</v>
      </c>
      <c r="D9" s="197" t="s">
        <v>549</v>
      </c>
      <c r="E9" s="202">
        <v>3500</v>
      </c>
      <c r="F9" s="78"/>
      <c r="G9" s="78"/>
      <c r="H9" s="197"/>
      <c r="I9" s="81"/>
      <c r="J9" s="81"/>
      <c r="K9" s="81"/>
      <c r="L9" s="81"/>
      <c r="M9" s="81"/>
      <c r="N9" s="81"/>
      <c r="O9" s="81"/>
      <c r="P9" s="81"/>
      <c r="Q9" s="81"/>
      <c r="R9" s="81"/>
      <c r="S9" s="73">
        <f>SUM(F9:R9)</f>
        <v>0</v>
      </c>
      <c r="T9" s="165">
        <f t="shared" ref="T9:T19" si="0">E9-S9</f>
        <v>3500</v>
      </c>
      <c r="U9">
        <f>_xlfn.ISOWEEKNUM(A9)</f>
        <v>8</v>
      </c>
    </row>
    <row r="10" spans="1:21" ht="15.75" thickBot="1" x14ac:dyDescent="0.3">
      <c r="A10" s="80">
        <v>46075</v>
      </c>
      <c r="B10" s="81">
        <v>485</v>
      </c>
      <c r="C10" s="81" t="s">
        <v>580</v>
      </c>
      <c r="D10" s="201" t="s">
        <v>549</v>
      </c>
      <c r="E10" s="203">
        <v>3000</v>
      </c>
      <c r="F10" s="78"/>
      <c r="G10" s="78"/>
      <c r="H10" s="78"/>
      <c r="I10" s="78"/>
      <c r="J10" s="81"/>
      <c r="K10" s="81"/>
      <c r="L10" s="81"/>
      <c r="M10" s="81"/>
      <c r="N10" s="81"/>
      <c r="O10" s="81"/>
      <c r="P10" s="81"/>
      <c r="Q10" s="81"/>
      <c r="R10" s="81"/>
      <c r="S10" s="73">
        <f t="shared" ref="S10:S19" si="1">SUM(F10:R10)</f>
        <v>0</v>
      </c>
      <c r="T10" s="165">
        <f t="shared" si="0"/>
        <v>3000</v>
      </c>
    </row>
    <row r="11" spans="1:21" ht="15.75" thickBot="1" x14ac:dyDescent="0.3">
      <c r="A11" s="80">
        <v>46075</v>
      </c>
      <c r="B11" s="81">
        <v>596</v>
      </c>
      <c r="C11" s="81" t="s">
        <v>581</v>
      </c>
      <c r="D11" s="201" t="s">
        <v>549</v>
      </c>
      <c r="E11" s="203">
        <v>3000</v>
      </c>
      <c r="F11" s="78"/>
      <c r="G11" s="78"/>
      <c r="H11" s="78"/>
      <c r="I11" s="78"/>
      <c r="J11" s="81"/>
      <c r="K11" s="81"/>
      <c r="L11" s="81"/>
      <c r="M11" s="81"/>
      <c r="N11" s="81"/>
      <c r="O11" s="81"/>
      <c r="P11" s="81"/>
      <c r="Q11" s="81"/>
      <c r="R11" s="81"/>
      <c r="S11" s="73">
        <f t="shared" si="1"/>
        <v>0</v>
      </c>
      <c r="T11" s="165">
        <f t="shared" si="0"/>
        <v>3000</v>
      </c>
    </row>
    <row r="12" spans="1:21" ht="15.75" thickBot="1" x14ac:dyDescent="0.3">
      <c r="A12" s="80"/>
      <c r="B12" s="81"/>
      <c r="C12" s="81"/>
      <c r="D12" s="154"/>
      <c r="E12" s="162"/>
      <c r="F12" s="78"/>
      <c r="G12" s="78"/>
      <c r="H12" s="78"/>
      <c r="I12" s="78"/>
      <c r="J12" s="81"/>
      <c r="K12" s="81"/>
      <c r="L12" s="81"/>
      <c r="M12" s="81"/>
      <c r="N12" s="81"/>
      <c r="O12" s="81"/>
      <c r="P12" s="81"/>
      <c r="Q12" s="81"/>
      <c r="R12" s="81"/>
      <c r="S12" s="73">
        <f t="shared" si="1"/>
        <v>0</v>
      </c>
      <c r="T12" s="165">
        <f t="shared" si="0"/>
        <v>0</v>
      </c>
    </row>
    <row r="13" spans="1:21" ht="15.75" thickBot="1" x14ac:dyDescent="0.3">
      <c r="A13" s="80"/>
      <c r="B13" s="81"/>
      <c r="C13" s="81"/>
      <c r="D13" s="154"/>
      <c r="E13" s="162"/>
      <c r="F13" s="78"/>
      <c r="G13" s="78"/>
      <c r="H13" s="78"/>
      <c r="I13" s="78"/>
      <c r="J13" s="81"/>
      <c r="K13" s="81"/>
      <c r="L13" s="81"/>
      <c r="M13" s="81"/>
      <c r="N13" s="81"/>
      <c r="O13" s="81"/>
      <c r="P13" s="81"/>
      <c r="Q13" s="81"/>
      <c r="R13" s="81"/>
      <c r="S13" s="73">
        <f t="shared" si="1"/>
        <v>0</v>
      </c>
      <c r="T13" s="165">
        <f t="shared" si="0"/>
        <v>0</v>
      </c>
    </row>
    <row r="14" spans="1:21" ht="15.75" thickBot="1" x14ac:dyDescent="0.3">
      <c r="A14" s="80"/>
      <c r="B14" s="81"/>
      <c r="C14" s="81"/>
      <c r="D14" s="154"/>
      <c r="E14" s="162"/>
      <c r="F14" s="78"/>
      <c r="G14" s="78"/>
      <c r="H14" s="78"/>
      <c r="I14" s="78"/>
      <c r="J14" s="81"/>
      <c r="K14" s="81"/>
      <c r="L14" s="81"/>
      <c r="M14" s="81"/>
      <c r="N14" s="81"/>
      <c r="O14" s="81"/>
      <c r="P14" s="81"/>
      <c r="Q14" s="81"/>
      <c r="R14" s="81"/>
      <c r="S14" s="73">
        <f t="shared" si="1"/>
        <v>0</v>
      </c>
      <c r="T14" s="165">
        <f t="shared" si="0"/>
        <v>0</v>
      </c>
    </row>
    <row r="15" spans="1:21" ht="15.75" thickBot="1" x14ac:dyDescent="0.3">
      <c r="A15" s="80"/>
      <c r="B15" s="81"/>
      <c r="C15" s="81"/>
      <c r="D15" s="154"/>
      <c r="E15" s="162"/>
      <c r="F15" s="78"/>
      <c r="G15" s="78"/>
      <c r="H15" s="78"/>
      <c r="I15" s="78"/>
      <c r="J15" s="81"/>
      <c r="K15" s="81"/>
      <c r="L15" s="81"/>
      <c r="M15" s="81"/>
      <c r="N15" s="81"/>
      <c r="O15" s="81"/>
      <c r="P15" s="81"/>
      <c r="Q15" s="81"/>
      <c r="R15" s="81"/>
      <c r="S15" s="73">
        <f t="shared" si="1"/>
        <v>0</v>
      </c>
      <c r="T15" s="165">
        <f t="shared" si="0"/>
        <v>0</v>
      </c>
    </row>
    <row r="16" spans="1:21" ht="15.75" thickBot="1" x14ac:dyDescent="0.3">
      <c r="A16" s="80"/>
      <c r="B16" s="81"/>
      <c r="C16" s="81"/>
      <c r="D16" s="154"/>
      <c r="E16" s="162"/>
      <c r="F16" s="78"/>
      <c r="G16" s="78"/>
      <c r="H16" s="78"/>
      <c r="I16" s="78"/>
      <c r="J16" s="81"/>
      <c r="K16" s="81"/>
      <c r="L16" s="81"/>
      <c r="M16" s="81"/>
      <c r="N16" s="81"/>
      <c r="O16" s="81"/>
      <c r="P16" s="81"/>
      <c r="Q16" s="81"/>
      <c r="R16" s="81"/>
      <c r="S16" s="73">
        <f t="shared" si="1"/>
        <v>0</v>
      </c>
      <c r="T16" s="165">
        <f t="shared" si="0"/>
        <v>0</v>
      </c>
    </row>
    <row r="17" spans="1:20" ht="15.75" thickBot="1" x14ac:dyDescent="0.3">
      <c r="A17" s="80"/>
      <c r="B17" s="81"/>
      <c r="C17" s="81"/>
      <c r="D17" s="154"/>
      <c r="E17" s="162"/>
      <c r="F17" s="78"/>
      <c r="G17" s="78"/>
      <c r="H17" s="78"/>
      <c r="I17" s="78"/>
      <c r="J17" s="81"/>
      <c r="K17" s="81"/>
      <c r="L17" s="81"/>
      <c r="M17" s="81"/>
      <c r="N17" s="81"/>
      <c r="O17" s="81"/>
      <c r="P17" s="81"/>
      <c r="Q17" s="81"/>
      <c r="R17" s="81"/>
      <c r="S17" s="73">
        <f t="shared" si="1"/>
        <v>0</v>
      </c>
      <c r="T17" s="165">
        <f t="shared" si="0"/>
        <v>0</v>
      </c>
    </row>
    <row r="18" spans="1:20" ht="15.75" thickBot="1" x14ac:dyDescent="0.3">
      <c r="A18" s="80"/>
      <c r="B18" s="81"/>
      <c r="C18" s="81"/>
      <c r="D18" s="154"/>
      <c r="E18" s="162"/>
      <c r="F18" s="78"/>
      <c r="G18" s="78"/>
      <c r="H18" s="78"/>
      <c r="I18" s="78"/>
      <c r="J18" s="81"/>
      <c r="K18" s="81"/>
      <c r="L18" s="81"/>
      <c r="M18" s="81"/>
      <c r="N18" s="81"/>
      <c r="O18" s="81"/>
      <c r="P18" s="81"/>
      <c r="Q18" s="81"/>
      <c r="R18" s="81"/>
      <c r="S18" s="73">
        <f t="shared" si="1"/>
        <v>0</v>
      </c>
      <c r="T18" s="165">
        <f t="shared" si="0"/>
        <v>0</v>
      </c>
    </row>
    <row r="19" spans="1:20" ht="15.75" thickBot="1" x14ac:dyDescent="0.3">
      <c r="A19" s="80"/>
      <c r="B19" s="81"/>
      <c r="C19" s="81"/>
      <c r="D19" s="154"/>
      <c r="E19" s="162"/>
      <c r="F19" s="78"/>
      <c r="G19" s="78"/>
      <c r="H19" s="78"/>
      <c r="I19" s="78"/>
      <c r="J19" s="81"/>
      <c r="K19" s="81"/>
      <c r="L19" s="81"/>
      <c r="M19" s="81"/>
      <c r="N19" s="81"/>
      <c r="O19" s="81"/>
      <c r="P19" s="81"/>
      <c r="Q19" s="81"/>
      <c r="R19" s="81"/>
      <c r="S19" s="73">
        <f t="shared" si="1"/>
        <v>0</v>
      </c>
      <c r="T19" s="165">
        <f t="shared" si="0"/>
        <v>0</v>
      </c>
    </row>
    <row r="20" spans="1:20" ht="15.75" thickBot="1" x14ac:dyDescent="0.3">
      <c r="A20" t="s">
        <v>4</v>
      </c>
      <c r="E20" s="163">
        <f>SUM(E9:E19)</f>
        <v>9500</v>
      </c>
      <c r="F20" s="12"/>
      <c r="G20" s="12"/>
      <c r="H20" s="12"/>
      <c r="I20" s="12"/>
      <c r="J20" s="6"/>
      <c r="K20" s="6"/>
      <c r="L20" s="6"/>
      <c r="M20" s="6"/>
      <c r="N20" s="6"/>
      <c r="O20" s="6"/>
      <c r="P20" s="6"/>
      <c r="Q20" s="6"/>
      <c r="R20" s="6"/>
      <c r="S20" s="73">
        <f>SUM(S9:S19)</f>
        <v>0</v>
      </c>
      <c r="T20" s="166">
        <f>SUM(T9:T19)</f>
        <v>9500</v>
      </c>
    </row>
    <row r="21" spans="1:20" ht="15.75" thickBot="1" x14ac:dyDescent="0.3"/>
    <row r="22" spans="1:20" ht="16.5" thickBot="1" x14ac:dyDescent="0.35">
      <c r="H22" s="291" t="s">
        <v>20</v>
      </c>
      <c r="I22" s="292"/>
      <c r="J22" s="15">
        <f>E20</f>
        <v>9500</v>
      </c>
      <c r="K22" s="4"/>
      <c r="L22" s="4"/>
      <c r="M22" s="4"/>
    </row>
    <row r="23" spans="1:20" ht="19.5" thickBot="1" x14ac:dyDescent="0.45">
      <c r="H23" s="279" t="s">
        <v>3</v>
      </c>
      <c r="I23" s="280"/>
      <c r="J23" s="16">
        <f>S20</f>
        <v>0</v>
      </c>
      <c r="K23" s="4"/>
      <c r="L23" s="4"/>
      <c r="M23" s="4"/>
    </row>
    <row r="24" spans="1:20" ht="19.5" thickBot="1" x14ac:dyDescent="0.45">
      <c r="H24" s="279" t="s">
        <v>7</v>
      </c>
      <c r="I24" s="279"/>
      <c r="J24" s="13">
        <f>T20</f>
        <v>9500</v>
      </c>
      <c r="K24" s="175"/>
      <c r="L24" s="175"/>
      <c r="M24" s="175"/>
    </row>
    <row r="26" spans="1:20" ht="18.75" x14ac:dyDescent="0.25">
      <c r="D26" s="137">
        <v>45292</v>
      </c>
      <c r="E26" s="138" t="s">
        <v>47</v>
      </c>
      <c r="F26" s="138" t="s">
        <v>41</v>
      </c>
      <c r="G26" s="138" t="s">
        <v>42</v>
      </c>
      <c r="H26" s="138" t="s">
        <v>43</v>
      </c>
      <c r="I26" s="138" t="s">
        <v>44</v>
      </c>
      <c r="J26" s="139" t="s">
        <v>45</v>
      </c>
      <c r="K26" s="139" t="s">
        <v>46</v>
      </c>
    </row>
    <row r="27" spans="1:20" ht="18.75" x14ac:dyDescent="0.25">
      <c r="D27" s="140" t="s">
        <v>132</v>
      </c>
      <c r="E27" s="141" t="s">
        <v>201</v>
      </c>
      <c r="F27" s="141" t="s">
        <v>202</v>
      </c>
      <c r="G27" s="141" t="s">
        <v>203</v>
      </c>
      <c r="H27" s="141" t="s">
        <v>204</v>
      </c>
      <c r="I27" s="141" t="s">
        <v>205</v>
      </c>
      <c r="J27" s="184" t="s">
        <v>206</v>
      </c>
      <c r="K27" s="184" t="s">
        <v>207</v>
      </c>
    </row>
    <row r="40" spans="14:14" x14ac:dyDescent="0.25">
      <c r="N40" t="s">
        <v>31</v>
      </c>
    </row>
  </sheetData>
  <sheetProtection algorithmName="SHA-512" hashValue="+asKggwVszoya0Ao1sg9gzarNhuIQ6D9TcMC/li9ESpETyYJhGSfB6WL0SacxKxKPuXkZqJrVJtesYlOd9xCyQ==" saltValue="QrrtYvNvnkb5Fb/Iew40Xg==" spinCount="100000" sheet="1" formatCells="0" formatColumns="0" formatRows="0" insertColumns="0" insertRows="0" insertHyperlinks="0" deleteColumns="0" deleteRows="0" sort="0" autoFilter="0" pivotTables="0"/>
  <autoFilter ref="A8:T8" xr:uid="{DE2B0581-835C-4C25-B438-50DA88619FD1}"/>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51" priority="1">
      <formula>IFERROR(INDEX(DiasCategorias, E27-FechaInicio+1),0)=1</formula>
    </cfRule>
    <cfRule type="expression" dxfId="850" priority="2">
      <formula>IFERROR(INDEX(DiasCategorias, E27-FechaInicio+1),0)=2</formula>
    </cfRule>
    <cfRule type="expression" dxfId="849" priority="3">
      <formula>IFERROR(INDEX(DiasCategorias, E27-FechaInicio+1),0)=3</formula>
    </cfRule>
    <cfRule type="expression" dxfId="848" priority="4">
      <formula>IFERROR(INDEX(DiasCategorias, E27-FechaInicio+1),0)=4</formula>
    </cfRule>
    <cfRule type="expression" dxfId="847" priority="5">
      <formula>IFERROR(INDEX(DiasCategorias, E27-FechaInicio+1),0)=5</formula>
    </cfRule>
    <cfRule type="expression" dxfId="846" priority="6">
      <formula>IFERROR(INDEX(DiasCategorias, E27-FechaInicio+1),0)=6</formula>
    </cfRule>
    <cfRule type="expression" dxfId="845" priority="7">
      <formula>IFERROR(INDEX(DiasCategorias, E27-FechaInicio+1),0)=7</formula>
    </cfRule>
    <cfRule type="expression" dxfId="844" priority="8">
      <formula>IFERROR(INDEX(DiasCategorias, E27-FechaInicio+1),0)=8</formula>
    </cfRule>
    <cfRule type="expression" dxfId="843" priority="9">
      <formula>IFERROR(INDEX(DiasCategorias, E27-FechaInicio+1),0)=9</formula>
    </cfRule>
    <cfRule type="expression" dxfId="842" priority="10">
      <formula>IFERROR(INDEX(DiasCategorias, E27-FechaInicio+1),0)=10</formula>
    </cfRule>
    <cfRule type="expression" dxfId="841" priority="11">
      <formula>IFERROR(INDEX(DiasCategorias, E27-FechaInicio+1),0)=11</formula>
    </cfRule>
    <cfRule type="expression" dxfId="840" priority="12">
      <formula>IFERROR(INDEX(DiasCategorias, E27-FechaInicio+1),0)=12</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8B71F-5B06-4415-A294-1CB72EB4FBC5}">
  <sheetPr codeName="Hoja46">
    <tabColor theme="7" tint="0.59999389629810485"/>
  </sheetPr>
  <dimension ref="A1:V40"/>
  <sheetViews>
    <sheetView workbookViewId="0">
      <selection activeCell="E27" sqref="E27:K27"/>
    </sheetView>
  </sheetViews>
  <sheetFormatPr baseColWidth="10" defaultRowHeight="15" x14ac:dyDescent="0.25"/>
  <cols>
    <col min="2" max="2" width="9.140625" customWidth="1"/>
    <col min="3" max="3" width="27.5703125" bestFit="1" customWidth="1"/>
    <col min="4" max="4" width="21.7109375" customWidth="1"/>
    <col min="5" max="5" width="13.140625" bestFit="1" customWidth="1"/>
    <col min="6" max="12" width="15.42578125" bestFit="1" customWidth="1"/>
    <col min="13" max="13" width="15.42578125" customWidth="1"/>
    <col min="14" max="19" width="15.42578125" bestFit="1"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9</v>
      </c>
      <c r="B7" s="274"/>
      <c r="C7" s="296"/>
      <c r="D7" s="296"/>
      <c r="E7" s="296"/>
      <c r="F7" s="296"/>
      <c r="G7" s="296"/>
      <c r="H7" s="296"/>
      <c r="I7" s="296"/>
    </row>
    <row r="8" spans="1:22" ht="19.5" thickBot="1" x14ac:dyDescent="0.45">
      <c r="A8" s="29" t="s">
        <v>14</v>
      </c>
      <c r="B8" s="29" t="s">
        <v>15</v>
      </c>
      <c r="C8" s="29" t="s">
        <v>16</v>
      </c>
      <c r="D8" s="29" t="s">
        <v>114</v>
      </c>
      <c r="E8" s="30" t="s">
        <v>17</v>
      </c>
      <c r="F8" s="75" t="s">
        <v>66</v>
      </c>
      <c r="G8" s="75" t="s">
        <v>67</v>
      </c>
      <c r="H8" s="75" t="s">
        <v>68</v>
      </c>
      <c r="I8" s="75" t="s">
        <v>69</v>
      </c>
      <c r="J8" s="75" t="s">
        <v>70</v>
      </c>
      <c r="K8" s="75" t="s">
        <v>71</v>
      </c>
      <c r="L8" s="75" t="s">
        <v>72</v>
      </c>
      <c r="M8" s="75" t="s">
        <v>73</v>
      </c>
      <c r="N8" s="75" t="s">
        <v>74</v>
      </c>
      <c r="O8" s="119" t="s">
        <v>75</v>
      </c>
      <c r="P8" s="119" t="s">
        <v>76</v>
      </c>
      <c r="Q8" s="119" t="s">
        <v>77</v>
      </c>
      <c r="R8" s="119" t="s">
        <v>78</v>
      </c>
      <c r="S8" s="119" t="s">
        <v>79</v>
      </c>
      <c r="T8" s="120" t="s">
        <v>4</v>
      </c>
      <c r="U8" s="164" t="s">
        <v>18</v>
      </c>
    </row>
    <row r="9" spans="1:22" ht="15.75" thickBot="1" x14ac:dyDescent="0.3">
      <c r="A9" s="80"/>
      <c r="B9" s="81"/>
      <c r="C9" s="81"/>
      <c r="D9" s="154"/>
      <c r="E9" s="162"/>
      <c r="F9" s="78"/>
      <c r="G9" s="78"/>
      <c r="H9" s="81"/>
      <c r="I9" s="81"/>
      <c r="J9" s="81"/>
      <c r="K9" s="81"/>
      <c r="L9" s="81"/>
      <c r="M9" s="81"/>
      <c r="N9" s="81"/>
      <c r="O9" s="154"/>
      <c r="P9" s="81"/>
      <c r="Q9" s="81"/>
      <c r="R9" s="81"/>
      <c r="S9" s="81"/>
      <c r="T9" s="73">
        <f>SUM(F9:S9)</f>
        <v>0</v>
      </c>
      <c r="U9" s="165">
        <f t="shared" ref="U9:U19" si="0">E9-T9</f>
        <v>0</v>
      </c>
      <c r="V9">
        <f>_xlfn.ISOWEEKNUM(A9)</f>
        <v>52</v>
      </c>
    </row>
    <row r="10" spans="1:22" ht="29.25" customHeight="1" thickBot="1" x14ac:dyDescent="0.3">
      <c r="A10" s="80"/>
      <c r="B10" s="81"/>
      <c r="C10" s="81"/>
      <c r="D10" s="204"/>
      <c r="E10" s="162"/>
      <c r="F10" s="78"/>
      <c r="G10" s="78"/>
      <c r="H10" s="78"/>
      <c r="I10" s="78"/>
      <c r="J10" s="81"/>
      <c r="K10" s="81"/>
      <c r="L10" s="81"/>
      <c r="M10" s="81"/>
      <c r="N10" s="81"/>
      <c r="O10" s="154"/>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81"/>
      <c r="O11" s="154"/>
      <c r="P11" s="81"/>
      <c r="Q11" s="81"/>
      <c r="R11" s="81"/>
      <c r="S11" s="81"/>
      <c r="T11" s="73">
        <f t="shared" si="1"/>
        <v>0</v>
      </c>
      <c r="U11" s="165">
        <f t="shared" si="0"/>
        <v>0</v>
      </c>
    </row>
    <row r="12" spans="1:22" ht="15.75" thickBot="1" x14ac:dyDescent="0.3">
      <c r="A12" s="80"/>
      <c r="B12" s="81"/>
      <c r="C12" s="81"/>
      <c r="D12" s="205"/>
      <c r="E12" s="162"/>
      <c r="F12" s="78"/>
      <c r="G12" s="78"/>
      <c r="H12" s="78"/>
      <c r="I12" s="78"/>
      <c r="J12" s="81"/>
      <c r="K12" s="81"/>
      <c r="L12" s="81"/>
      <c r="M12" s="81"/>
      <c r="N12" s="81"/>
      <c r="O12" s="154"/>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81"/>
      <c r="O13" s="154"/>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154"/>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81"/>
      <c r="O15" s="154"/>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154"/>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154"/>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154"/>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154"/>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155"/>
      <c r="P20" s="6"/>
      <c r="Q20" s="6"/>
      <c r="R20" s="6"/>
      <c r="S20" s="6"/>
      <c r="T20" s="73">
        <f>SUM(T9:T19)</f>
        <v>0</v>
      </c>
      <c r="U20" s="166">
        <f>SUM(U9:U19)</f>
        <v>0</v>
      </c>
    </row>
    <row r="21" spans="1:21" ht="15.75" thickBot="1" x14ac:dyDescent="0.3"/>
    <row r="22" spans="1:21" ht="16.5" thickBot="1" x14ac:dyDescent="0.35">
      <c r="H22" s="291" t="s">
        <v>20</v>
      </c>
      <c r="I22" s="292"/>
      <c r="J22" s="15">
        <f>E20</f>
        <v>0</v>
      </c>
      <c r="K22" s="4"/>
      <c r="L22" s="4"/>
      <c r="M22" s="4"/>
      <c r="N22" s="4"/>
    </row>
    <row r="23" spans="1:21" ht="19.5" thickBot="1" x14ac:dyDescent="0.45">
      <c r="H23" s="279" t="s">
        <v>3</v>
      </c>
      <c r="I23" s="280"/>
      <c r="J23" s="16">
        <f>T20</f>
        <v>0</v>
      </c>
      <c r="K23" s="4"/>
      <c r="L23" s="4"/>
      <c r="M23" s="4"/>
      <c r="N23" s="4"/>
    </row>
    <row r="24" spans="1:21" ht="19.5" thickBot="1" x14ac:dyDescent="0.45">
      <c r="H24" s="279" t="s">
        <v>7</v>
      </c>
      <c r="I24" s="279"/>
      <c r="J24" s="13">
        <f>U20</f>
        <v>0</v>
      </c>
      <c r="K24" s="175"/>
      <c r="L24" s="175"/>
      <c r="M24" s="175"/>
      <c r="N24" s="175"/>
    </row>
    <row r="26" spans="1:21" ht="18.75" x14ac:dyDescent="0.25">
      <c r="D26" s="137">
        <v>45292</v>
      </c>
      <c r="E26" s="138" t="s">
        <v>47</v>
      </c>
      <c r="F26" s="138" t="s">
        <v>41</v>
      </c>
      <c r="G26" s="138" t="s">
        <v>42</v>
      </c>
      <c r="H26" s="138" t="s">
        <v>43</v>
      </c>
      <c r="I26" s="138" t="s">
        <v>44</v>
      </c>
      <c r="J26" s="139" t="s">
        <v>45</v>
      </c>
      <c r="K26" s="139" t="s">
        <v>46</v>
      </c>
    </row>
    <row r="27" spans="1:21" ht="18.75" x14ac:dyDescent="0.25">
      <c r="D27" s="140" t="s">
        <v>133</v>
      </c>
      <c r="E27" s="141" t="s">
        <v>208</v>
      </c>
      <c r="F27" s="141" t="s">
        <v>209</v>
      </c>
      <c r="G27" s="141" t="s">
        <v>210</v>
      </c>
      <c r="H27" s="141" t="s">
        <v>211</v>
      </c>
      <c r="I27" s="141" t="s">
        <v>212</v>
      </c>
      <c r="J27" s="184" t="s">
        <v>213</v>
      </c>
      <c r="K27" s="184" t="s">
        <v>214</v>
      </c>
    </row>
    <row r="40" spans="15:15" x14ac:dyDescent="0.25">
      <c r="O40" t="s">
        <v>31</v>
      </c>
    </row>
  </sheetData>
  <sheetProtection algorithmName="SHA-512" hashValue="EsBJI7DH0y6lvBAnFLSRYjnfY/EHABCIAgOdHxvJUYKSc2DiGyJjzbo3okaAFyiPF3az0OJ7dX47k0wj95nTIw==" saltValue="aif/PPr7u4Nco0ibiqGGcg==" spinCount="100000" sheet="1" formatCells="0" formatColumns="0" formatRows="0" insertColumns="0" insertRows="0" insertHyperlinks="0" deleteColumns="0" deleteRows="0" sort="0" autoFilter="0" pivotTables="0"/>
  <autoFilter ref="A8:U8" xr:uid="{32D8B71F-5B06-4415-A294-1CB72EB4FBC5}"/>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39" priority="1">
      <formula>IFERROR(INDEX(DiasCategorias, E27-FechaInicio+1),0)=1</formula>
    </cfRule>
    <cfRule type="expression" dxfId="838" priority="2">
      <formula>IFERROR(INDEX(DiasCategorias, E27-FechaInicio+1),0)=2</formula>
    </cfRule>
    <cfRule type="expression" dxfId="837" priority="3">
      <formula>IFERROR(INDEX(DiasCategorias, E27-FechaInicio+1),0)=3</formula>
    </cfRule>
    <cfRule type="expression" dxfId="836" priority="4">
      <formula>IFERROR(INDEX(DiasCategorias, E27-FechaInicio+1),0)=4</formula>
    </cfRule>
    <cfRule type="expression" dxfId="835" priority="5">
      <formula>IFERROR(INDEX(DiasCategorias, E27-FechaInicio+1),0)=5</formula>
    </cfRule>
    <cfRule type="expression" dxfId="834" priority="6">
      <formula>IFERROR(INDEX(DiasCategorias, E27-FechaInicio+1),0)=6</formula>
    </cfRule>
    <cfRule type="expression" dxfId="833" priority="7">
      <formula>IFERROR(INDEX(DiasCategorias, E27-FechaInicio+1),0)=7</formula>
    </cfRule>
    <cfRule type="expression" dxfId="832" priority="8">
      <formula>IFERROR(INDEX(DiasCategorias, E27-FechaInicio+1),0)=8</formula>
    </cfRule>
    <cfRule type="expression" dxfId="831" priority="9">
      <formula>IFERROR(INDEX(DiasCategorias, E27-FechaInicio+1),0)=9</formula>
    </cfRule>
    <cfRule type="expression" dxfId="830" priority="10">
      <formula>IFERROR(INDEX(DiasCategorias, E27-FechaInicio+1),0)=10</formula>
    </cfRule>
    <cfRule type="expression" dxfId="829" priority="11">
      <formula>IFERROR(INDEX(DiasCategorias, E27-FechaInicio+1),0)=11</formula>
    </cfRule>
    <cfRule type="expression" dxfId="828" priority="12">
      <formula>IFERROR(INDEX(DiasCategorias, E27-FechaInicio+1),0)=12</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803E8-52B9-46F7-875E-FC0BCEB9C3F9}">
  <sheetPr codeName="Hoja45">
    <tabColor theme="4" tint="0.59999389629810485"/>
  </sheetPr>
  <dimension ref="A1:V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5.28515625" customWidth="1"/>
    <col min="7" max="7" width="16.42578125" customWidth="1"/>
    <col min="8" max="9" width="16.140625" customWidth="1"/>
    <col min="10" max="14" width="17" customWidth="1"/>
    <col min="15" max="19" width="15.7109375"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10</v>
      </c>
      <c r="B7" s="274"/>
      <c r="C7" s="296"/>
      <c r="D7" s="296"/>
      <c r="E7" s="296"/>
      <c r="F7" s="296"/>
      <c r="G7" s="296"/>
      <c r="H7" s="296"/>
      <c r="I7" s="296"/>
    </row>
    <row r="8" spans="1:22" ht="19.5" thickBot="1" x14ac:dyDescent="0.45">
      <c r="A8" s="29" t="s">
        <v>14</v>
      </c>
      <c r="B8" s="29" t="s">
        <v>15</v>
      </c>
      <c r="C8" s="29" t="s">
        <v>16</v>
      </c>
      <c r="D8" s="29" t="s">
        <v>114</v>
      </c>
      <c r="E8" s="30" t="s">
        <v>17</v>
      </c>
      <c r="F8" s="75" t="s">
        <v>67</v>
      </c>
      <c r="G8" s="75" t="s">
        <v>68</v>
      </c>
      <c r="H8" s="75" t="s">
        <v>69</v>
      </c>
      <c r="I8" s="75" t="s">
        <v>70</v>
      </c>
      <c r="J8" s="75" t="s">
        <v>71</v>
      </c>
      <c r="K8" s="75" t="s">
        <v>72</v>
      </c>
      <c r="L8" s="75" t="s">
        <v>73</v>
      </c>
      <c r="M8" s="75" t="s">
        <v>74</v>
      </c>
      <c r="N8" s="75" t="s">
        <v>75</v>
      </c>
      <c r="O8" s="75" t="s">
        <v>76</v>
      </c>
      <c r="P8" s="75" t="s">
        <v>77</v>
      </c>
      <c r="Q8" s="75" t="s">
        <v>78</v>
      </c>
      <c r="R8" s="75" t="s">
        <v>79</v>
      </c>
      <c r="S8" s="75" t="s">
        <v>80</v>
      </c>
      <c r="T8" s="30" t="s">
        <v>4</v>
      </c>
      <c r="U8" s="164" t="s">
        <v>18</v>
      </c>
    </row>
    <row r="9" spans="1:22" ht="15.75" thickBot="1" x14ac:dyDescent="0.3">
      <c r="A9" s="80"/>
      <c r="B9" s="81"/>
      <c r="C9" s="81"/>
      <c r="D9" s="154"/>
      <c r="E9" s="162"/>
      <c r="F9" s="78"/>
      <c r="G9" s="78"/>
      <c r="H9" s="81"/>
      <c r="I9" s="81"/>
      <c r="J9" s="81"/>
      <c r="K9" s="81"/>
      <c r="L9" s="81"/>
      <c r="M9" s="81"/>
      <c r="N9" s="81"/>
      <c r="O9" s="81"/>
      <c r="P9" s="81"/>
      <c r="Q9" s="81"/>
      <c r="R9" s="81"/>
      <c r="S9" s="81"/>
      <c r="T9" s="73">
        <f>SUM(F9:S9)</f>
        <v>0</v>
      </c>
      <c r="U9" s="165">
        <f t="shared" ref="U9:U19" si="0">E9-T9</f>
        <v>0</v>
      </c>
      <c r="V9">
        <f>_xlfn.ISOWEEKNUM(A9)</f>
        <v>52</v>
      </c>
    </row>
    <row r="10" spans="1:22" ht="15.75" thickBot="1" x14ac:dyDescent="0.3">
      <c r="A10" s="80"/>
      <c r="B10" s="81"/>
      <c r="C10" s="81"/>
      <c r="D10" s="154"/>
      <c r="E10" s="162"/>
      <c r="F10" s="78"/>
      <c r="G10" s="78"/>
      <c r="H10" s="78"/>
      <c r="I10" s="78"/>
      <c r="J10" s="81"/>
      <c r="K10" s="81"/>
      <c r="L10" s="81"/>
      <c r="M10" s="81"/>
      <c r="N10" s="81"/>
      <c r="O10" s="81"/>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81"/>
      <c r="O11" s="81"/>
      <c r="P11" s="81"/>
      <c r="Q11" s="81"/>
      <c r="R11" s="81"/>
      <c r="S11" s="81"/>
      <c r="T11" s="73">
        <f t="shared" si="1"/>
        <v>0</v>
      </c>
      <c r="U11" s="165">
        <f t="shared" si="0"/>
        <v>0</v>
      </c>
    </row>
    <row r="12" spans="1:22" ht="15.75" thickBot="1" x14ac:dyDescent="0.3">
      <c r="A12" s="80"/>
      <c r="B12" s="81"/>
      <c r="C12" s="81"/>
      <c r="D12" s="154"/>
      <c r="E12" s="162"/>
      <c r="F12" s="78"/>
      <c r="G12" s="78"/>
      <c r="H12" s="78"/>
      <c r="I12" s="78"/>
      <c r="J12" s="81"/>
      <c r="K12" s="81"/>
      <c r="L12" s="81"/>
      <c r="M12" s="81"/>
      <c r="N12" s="81"/>
      <c r="O12" s="81"/>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81"/>
      <c r="O13" s="81"/>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81"/>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81"/>
      <c r="O15" s="81"/>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81"/>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81"/>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81"/>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81"/>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6"/>
      <c r="P20" s="6"/>
      <c r="Q20" s="6"/>
      <c r="R20" s="6"/>
      <c r="S20" s="6"/>
      <c r="T20" s="73">
        <f>SUM(T9:T19)</f>
        <v>0</v>
      </c>
      <c r="U20" s="166">
        <f>SUM(U9:U19)</f>
        <v>0</v>
      </c>
    </row>
    <row r="21" spans="1:21" ht="15.75" thickBot="1" x14ac:dyDescent="0.3"/>
    <row r="22" spans="1:21" ht="16.5" thickBot="1" x14ac:dyDescent="0.35">
      <c r="H22" s="291" t="s">
        <v>20</v>
      </c>
      <c r="I22" s="292"/>
      <c r="J22" s="15">
        <f>E20</f>
        <v>0</v>
      </c>
      <c r="K22" s="4"/>
      <c r="L22" s="4"/>
      <c r="M22" s="4"/>
      <c r="N22" s="4"/>
    </row>
    <row r="23" spans="1:21" ht="19.5" thickBot="1" x14ac:dyDescent="0.45">
      <c r="H23" s="279" t="s">
        <v>3</v>
      </c>
      <c r="I23" s="280"/>
      <c r="J23" s="16">
        <f>T20</f>
        <v>0</v>
      </c>
      <c r="K23" s="4"/>
      <c r="L23" s="4"/>
      <c r="M23" s="4"/>
      <c r="N23" s="4"/>
    </row>
    <row r="24" spans="1:21" ht="19.5" thickBot="1" x14ac:dyDescent="0.45">
      <c r="H24" s="279" t="s">
        <v>7</v>
      </c>
      <c r="I24" s="279"/>
      <c r="J24" s="13">
        <f>U20</f>
        <v>0</v>
      </c>
      <c r="K24" s="175"/>
      <c r="L24" s="175"/>
      <c r="M24" s="175"/>
      <c r="N24" s="175"/>
    </row>
    <row r="26" spans="1:21" ht="18.75" x14ac:dyDescent="0.25">
      <c r="D26" s="137">
        <v>45292</v>
      </c>
      <c r="E26" s="138" t="s">
        <v>47</v>
      </c>
      <c r="F26" s="138" t="s">
        <v>41</v>
      </c>
      <c r="G26" s="138" t="s">
        <v>42</v>
      </c>
      <c r="H26" s="138" t="s">
        <v>43</v>
      </c>
      <c r="I26" s="138" t="s">
        <v>44</v>
      </c>
      <c r="J26" s="139" t="s">
        <v>45</v>
      </c>
      <c r="K26" s="139" t="s">
        <v>46</v>
      </c>
    </row>
    <row r="27" spans="1:21" ht="18.75" x14ac:dyDescent="0.25">
      <c r="D27" s="140" t="s">
        <v>134</v>
      </c>
      <c r="E27" s="141" t="s">
        <v>215</v>
      </c>
      <c r="F27" s="141" t="s">
        <v>216</v>
      </c>
      <c r="G27" s="141" t="s">
        <v>217</v>
      </c>
      <c r="H27" s="141" t="s">
        <v>218</v>
      </c>
      <c r="I27" s="141" t="s">
        <v>219</v>
      </c>
      <c r="J27" s="184" t="s">
        <v>220</v>
      </c>
      <c r="K27" s="184" t="s">
        <v>221</v>
      </c>
    </row>
    <row r="40" spans="15:15" x14ac:dyDescent="0.25">
      <c r="O40" t="s">
        <v>31</v>
      </c>
    </row>
  </sheetData>
  <sheetProtection algorithmName="SHA-512" hashValue="jsxJ+EkmdcPQIC1pclz64+R1iMIc1gWQfOp8wXxczAKtdL0adp1xiZqV4rRH1EL7JNsut8PoLZeZUTWoimH6SQ==" saltValue="A9RL0Zvlp6VUaO+c22KpvQ==" spinCount="100000" sheet="1" formatCells="0" formatColumns="0" formatRows="0" insertColumns="0" insertRows="0" insertHyperlinks="0" deleteColumns="0" deleteRows="0" sort="0" autoFilter="0" pivotTables="0"/>
  <autoFilter ref="A8:U8" xr:uid="{750803E8-52B9-46F7-875E-FC0BCEB9C3F9}"/>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27" priority="1">
      <formula>IFERROR(INDEX(DiasCategorias, E27-FechaInicio+1),0)=1</formula>
    </cfRule>
    <cfRule type="expression" dxfId="826" priority="2">
      <formula>IFERROR(INDEX(DiasCategorias, E27-FechaInicio+1),0)=2</formula>
    </cfRule>
    <cfRule type="expression" dxfId="825" priority="3">
      <formula>IFERROR(INDEX(DiasCategorias, E27-FechaInicio+1),0)=3</formula>
    </cfRule>
    <cfRule type="expression" dxfId="824" priority="4">
      <formula>IFERROR(INDEX(DiasCategorias, E27-FechaInicio+1),0)=4</formula>
    </cfRule>
    <cfRule type="expression" dxfId="823" priority="5">
      <formula>IFERROR(INDEX(DiasCategorias, E27-FechaInicio+1),0)=5</formula>
    </cfRule>
    <cfRule type="expression" dxfId="822" priority="6">
      <formula>IFERROR(INDEX(DiasCategorias, E27-FechaInicio+1),0)=6</formula>
    </cfRule>
    <cfRule type="expression" dxfId="821" priority="7">
      <formula>IFERROR(INDEX(DiasCategorias, E27-FechaInicio+1),0)=7</formula>
    </cfRule>
    <cfRule type="expression" dxfId="820" priority="8">
      <formula>IFERROR(INDEX(DiasCategorias, E27-FechaInicio+1),0)=8</formula>
    </cfRule>
    <cfRule type="expression" dxfId="819" priority="9">
      <formula>IFERROR(INDEX(DiasCategorias, E27-FechaInicio+1),0)=9</formula>
    </cfRule>
    <cfRule type="expression" dxfId="818" priority="10">
      <formula>IFERROR(INDEX(DiasCategorias, E27-FechaInicio+1),0)=10</formula>
    </cfRule>
    <cfRule type="expression" dxfId="817" priority="11">
      <formula>IFERROR(INDEX(DiasCategorias, E27-FechaInicio+1),0)=11</formula>
    </cfRule>
    <cfRule type="expression" dxfId="816" priority="12">
      <formula>IFERROR(INDEX(DiasCategorias, E27-FechaInicio+1),0)=12</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88091-6EF7-4AA4-A111-1106C786DC4B}">
  <sheetPr codeName="Hoja44">
    <tabColor rgb="FF7030A0"/>
  </sheetPr>
  <dimension ref="A1:S40"/>
  <sheetViews>
    <sheetView workbookViewId="0">
      <selection activeCell="L26" sqref="L26"/>
    </sheetView>
  </sheetViews>
  <sheetFormatPr baseColWidth="10" defaultRowHeight="15" x14ac:dyDescent="0.25"/>
  <cols>
    <col min="2" max="2" width="9.140625" customWidth="1"/>
    <col min="3" max="3" width="30.85546875" customWidth="1"/>
    <col min="4" max="4" width="14.7109375" bestFit="1" customWidth="1"/>
    <col min="5" max="5" width="13.140625" bestFit="1" customWidth="1"/>
    <col min="6" max="6" width="15.42578125" bestFit="1" customWidth="1"/>
    <col min="7" max="7" width="15.42578125" customWidth="1"/>
    <col min="8" max="16" width="15.42578125" bestFit="1"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11</v>
      </c>
      <c r="B7" s="274"/>
      <c r="C7" s="296"/>
      <c r="D7" s="296"/>
      <c r="E7" s="296"/>
      <c r="F7" s="296"/>
      <c r="G7" s="296"/>
      <c r="H7" s="296"/>
      <c r="I7" s="296"/>
    </row>
    <row r="8" spans="1:19" ht="19.5" thickBot="1" x14ac:dyDescent="0.45">
      <c r="A8" s="29" t="s">
        <v>14</v>
      </c>
      <c r="B8" s="29" t="s">
        <v>15</v>
      </c>
      <c r="C8" s="29" t="s">
        <v>16</v>
      </c>
      <c r="D8" s="29" t="s">
        <v>114</v>
      </c>
      <c r="E8" s="30" t="s">
        <v>17</v>
      </c>
      <c r="F8" s="75" t="s">
        <v>68</v>
      </c>
      <c r="G8" s="75" t="s">
        <v>69</v>
      </c>
      <c r="H8" s="75" t="s">
        <v>70</v>
      </c>
      <c r="I8" s="75" t="s">
        <v>71</v>
      </c>
      <c r="J8" s="75" t="s">
        <v>72</v>
      </c>
      <c r="K8" s="75" t="s">
        <v>73</v>
      </c>
      <c r="L8" s="75" t="s">
        <v>74</v>
      </c>
      <c r="M8" s="75" t="s">
        <v>75</v>
      </c>
      <c r="N8" s="75" t="s">
        <v>76</v>
      </c>
      <c r="O8" s="75" t="s">
        <v>77</v>
      </c>
      <c r="P8" s="75" t="s">
        <v>78</v>
      </c>
      <c r="Q8" s="30" t="s">
        <v>4</v>
      </c>
      <c r="R8" s="164" t="s">
        <v>18</v>
      </c>
    </row>
    <row r="9" spans="1:19" ht="15.75" thickBot="1" x14ac:dyDescent="0.3">
      <c r="A9" s="80"/>
      <c r="B9" s="81"/>
      <c r="C9" s="81"/>
      <c r="D9" s="154"/>
      <c r="E9" s="162"/>
      <c r="F9" s="78"/>
      <c r="G9" s="78"/>
      <c r="H9" s="81"/>
      <c r="I9" s="81"/>
      <c r="J9" s="81"/>
      <c r="K9" s="81"/>
      <c r="L9" s="81"/>
      <c r="M9" s="81"/>
      <c r="N9" s="81"/>
      <c r="O9" s="81"/>
      <c r="P9" s="81"/>
      <c r="Q9" s="73">
        <f>SUM(F9:P9)</f>
        <v>0</v>
      </c>
      <c r="R9" s="165">
        <f t="shared" ref="R9:R19" si="0">E9-Q9</f>
        <v>0</v>
      </c>
      <c r="S9">
        <f>_xlfn.ISOWEEKNUM(A9)</f>
        <v>52</v>
      </c>
    </row>
    <row r="10" spans="1:19" ht="15.75" thickBot="1" x14ac:dyDescent="0.3">
      <c r="A10" s="80"/>
      <c r="B10" s="81"/>
      <c r="C10" s="81"/>
      <c r="D10" s="154"/>
      <c r="E10" s="162"/>
      <c r="F10" s="78"/>
      <c r="G10" s="78"/>
      <c r="H10" s="78"/>
      <c r="I10" s="78"/>
      <c r="J10" s="81"/>
      <c r="K10" s="81"/>
      <c r="L10" s="81"/>
      <c r="M10" s="81"/>
      <c r="N10" s="81"/>
      <c r="O10" s="81"/>
      <c r="P10" s="81"/>
      <c r="Q10" s="73">
        <f t="shared" ref="Q10:Q18" si="1">SUM(F10:P10)</f>
        <v>0</v>
      </c>
      <c r="R10" s="165">
        <f t="shared" si="0"/>
        <v>0</v>
      </c>
    </row>
    <row r="11" spans="1:19" ht="15.75" thickBot="1" x14ac:dyDescent="0.3">
      <c r="A11" s="80"/>
      <c r="B11" s="81"/>
      <c r="C11" s="81"/>
      <c r="D11" s="154"/>
      <c r="E11" s="162"/>
      <c r="F11" s="78"/>
      <c r="G11" s="78"/>
      <c r="H11" s="78"/>
      <c r="I11" s="78"/>
      <c r="J11" s="81"/>
      <c r="K11" s="81"/>
      <c r="L11" s="81"/>
      <c r="M11" s="81"/>
      <c r="N11" s="81"/>
      <c r="O11" s="81"/>
      <c r="P11" s="81"/>
      <c r="Q11" s="73">
        <f t="shared" si="1"/>
        <v>0</v>
      </c>
      <c r="R11" s="165">
        <f t="shared" si="0"/>
        <v>0</v>
      </c>
    </row>
    <row r="12" spans="1:19" ht="15.75" thickBot="1" x14ac:dyDescent="0.3">
      <c r="A12" s="80"/>
      <c r="B12" s="81"/>
      <c r="C12" s="81"/>
      <c r="D12" s="154"/>
      <c r="E12" s="162"/>
      <c r="F12" s="78"/>
      <c r="G12" s="78"/>
      <c r="H12" s="78"/>
      <c r="I12" s="78"/>
      <c r="J12" s="81"/>
      <c r="K12" s="81"/>
      <c r="L12" s="81"/>
      <c r="M12" s="81"/>
      <c r="N12" s="81"/>
      <c r="O12" s="81"/>
      <c r="P12" s="81"/>
      <c r="Q12" s="73">
        <f t="shared" si="1"/>
        <v>0</v>
      </c>
      <c r="R12" s="165">
        <f t="shared" si="0"/>
        <v>0</v>
      </c>
    </row>
    <row r="13" spans="1:19" ht="16.5" customHeight="1" thickBot="1" x14ac:dyDescent="0.3">
      <c r="A13" s="80"/>
      <c r="B13" s="81"/>
      <c r="C13" s="81"/>
      <c r="D13" s="154"/>
      <c r="E13" s="162"/>
      <c r="F13" s="78"/>
      <c r="G13" s="78"/>
      <c r="H13" s="78"/>
      <c r="I13" s="78"/>
      <c r="J13" s="81"/>
      <c r="K13" s="81"/>
      <c r="L13" s="81"/>
      <c r="M13" s="81"/>
      <c r="N13" s="81"/>
      <c r="O13" s="81"/>
      <c r="P13" s="81"/>
      <c r="Q13" s="73">
        <f t="shared" si="1"/>
        <v>0</v>
      </c>
      <c r="R13" s="165">
        <f t="shared" si="0"/>
        <v>0</v>
      </c>
    </row>
    <row r="14" spans="1:19" ht="15.75" thickBot="1" x14ac:dyDescent="0.3">
      <c r="A14" s="80"/>
      <c r="B14" s="81"/>
      <c r="C14" s="81"/>
      <c r="D14" s="154"/>
      <c r="E14" s="162"/>
      <c r="F14" s="78"/>
      <c r="G14" s="78"/>
      <c r="H14" s="78"/>
      <c r="I14" s="78"/>
      <c r="J14" s="81"/>
      <c r="K14" s="81"/>
      <c r="L14" s="81"/>
      <c r="M14" s="81"/>
      <c r="N14" s="81"/>
      <c r="O14" s="81"/>
      <c r="P14" s="81"/>
      <c r="Q14" s="73">
        <f t="shared" si="1"/>
        <v>0</v>
      </c>
      <c r="R14" s="165">
        <f t="shared" si="0"/>
        <v>0</v>
      </c>
    </row>
    <row r="15" spans="1:19" ht="15.75" thickBot="1" x14ac:dyDescent="0.3">
      <c r="A15" s="80"/>
      <c r="B15" s="81"/>
      <c r="C15" s="81"/>
      <c r="D15" s="154"/>
      <c r="E15" s="162"/>
      <c r="F15" s="78"/>
      <c r="G15" s="78"/>
      <c r="H15" s="78"/>
      <c r="I15" s="78"/>
      <c r="J15" s="81"/>
      <c r="K15" s="81"/>
      <c r="L15" s="81"/>
      <c r="M15" s="81" t="s">
        <v>178</v>
      </c>
      <c r="N15" s="81"/>
      <c r="O15" s="81"/>
      <c r="P15" s="81"/>
      <c r="Q15" s="73">
        <f t="shared" si="1"/>
        <v>0</v>
      </c>
      <c r="R15" s="165">
        <f t="shared" si="0"/>
        <v>0</v>
      </c>
    </row>
    <row r="16" spans="1:19" ht="15.75" thickBot="1" x14ac:dyDescent="0.3">
      <c r="A16" s="80"/>
      <c r="B16" s="81"/>
      <c r="C16" s="81"/>
      <c r="D16" s="154"/>
      <c r="E16" s="162"/>
      <c r="F16" s="78"/>
      <c r="G16" s="78"/>
      <c r="H16" s="78"/>
      <c r="I16" s="78"/>
      <c r="J16" s="81"/>
      <c r="K16" s="81"/>
      <c r="L16" s="81"/>
      <c r="M16" s="81"/>
      <c r="N16" s="81"/>
      <c r="O16" s="81"/>
      <c r="P16" s="81"/>
      <c r="Q16" s="73">
        <f t="shared" si="1"/>
        <v>0</v>
      </c>
      <c r="R16" s="165">
        <f t="shared" si="0"/>
        <v>0</v>
      </c>
    </row>
    <row r="17" spans="1:18" ht="15.75" thickBot="1" x14ac:dyDescent="0.3">
      <c r="A17" s="80"/>
      <c r="B17" s="81"/>
      <c r="C17" s="81"/>
      <c r="D17" s="154"/>
      <c r="E17" s="162"/>
      <c r="F17" s="78"/>
      <c r="G17" s="78"/>
      <c r="H17" s="78"/>
      <c r="I17" s="78"/>
      <c r="J17" s="81"/>
      <c r="K17" s="81"/>
      <c r="L17" s="81"/>
      <c r="M17" s="81"/>
      <c r="N17" s="81"/>
      <c r="O17" s="81"/>
      <c r="P17" s="81"/>
      <c r="Q17" s="73">
        <f t="shared" si="1"/>
        <v>0</v>
      </c>
      <c r="R17" s="165">
        <f t="shared" si="0"/>
        <v>0</v>
      </c>
    </row>
    <row r="18" spans="1:18" ht="15.75" thickBot="1" x14ac:dyDescent="0.3">
      <c r="A18" s="80"/>
      <c r="B18" s="81"/>
      <c r="C18" s="81"/>
      <c r="D18" s="154"/>
      <c r="E18" s="162"/>
      <c r="F18" s="78"/>
      <c r="G18" s="78"/>
      <c r="H18" s="78"/>
      <c r="I18" s="78"/>
      <c r="J18" s="81"/>
      <c r="K18" s="81"/>
      <c r="L18" s="81"/>
      <c r="M18" s="81"/>
      <c r="N18" s="81"/>
      <c r="O18" s="81"/>
      <c r="P18" s="81"/>
      <c r="Q18" s="73">
        <f t="shared" si="1"/>
        <v>0</v>
      </c>
      <c r="R18" s="165">
        <f t="shared" si="0"/>
        <v>0</v>
      </c>
    </row>
    <row r="19" spans="1:18" ht="15.75" thickBot="1" x14ac:dyDescent="0.3">
      <c r="A19" s="80"/>
      <c r="B19" s="81"/>
      <c r="C19" s="81"/>
      <c r="D19" s="154"/>
      <c r="E19" s="162"/>
      <c r="F19" s="78"/>
      <c r="G19" s="78"/>
      <c r="H19" s="78"/>
      <c r="I19" s="78"/>
      <c r="J19" s="81"/>
      <c r="K19" s="81"/>
      <c r="L19" s="81"/>
      <c r="M19" s="81"/>
      <c r="N19" s="81"/>
      <c r="O19" s="81"/>
      <c r="P19" s="81"/>
      <c r="Q19" s="73">
        <f>SUM(E19:P19)</f>
        <v>0</v>
      </c>
      <c r="R19" s="165">
        <f t="shared" si="0"/>
        <v>0</v>
      </c>
    </row>
    <row r="20" spans="1:18" ht="15.75" thickBot="1" x14ac:dyDescent="0.3">
      <c r="A20" t="s">
        <v>4</v>
      </c>
      <c r="E20" s="163">
        <f>SUM(E9:E19)</f>
        <v>0</v>
      </c>
      <c r="F20" s="12"/>
      <c r="G20" s="12"/>
      <c r="H20" s="12"/>
      <c r="I20" s="12"/>
      <c r="J20" s="6"/>
      <c r="K20" s="6"/>
      <c r="L20" s="6"/>
      <c r="M20" s="6"/>
      <c r="N20" s="6"/>
      <c r="O20" s="6"/>
      <c r="P20" s="6"/>
      <c r="Q20" s="73">
        <f>SUM(Q9:Q19)</f>
        <v>0</v>
      </c>
      <c r="R20" s="166">
        <f>SUM(R9:R19)</f>
        <v>0</v>
      </c>
    </row>
    <row r="21" spans="1:18" ht="15.75" thickBot="1" x14ac:dyDescent="0.3"/>
    <row r="22" spans="1:18" ht="16.5" thickBot="1" x14ac:dyDescent="0.35">
      <c r="H22" s="291" t="s">
        <v>20</v>
      </c>
      <c r="I22" s="292"/>
      <c r="J22" s="15">
        <f>E20</f>
        <v>0</v>
      </c>
    </row>
    <row r="23" spans="1:18" ht="19.5" thickBot="1" x14ac:dyDescent="0.45">
      <c r="H23" s="279" t="s">
        <v>3</v>
      </c>
      <c r="I23" s="280"/>
      <c r="J23" s="16">
        <f>Q20</f>
        <v>0</v>
      </c>
    </row>
    <row r="24" spans="1:18" ht="19.5" thickBot="1" x14ac:dyDescent="0.45">
      <c r="H24" s="279" t="s">
        <v>7</v>
      </c>
      <c r="I24" s="279"/>
      <c r="J24" s="13">
        <f>R20</f>
        <v>0</v>
      </c>
    </row>
    <row r="26" spans="1:18" ht="18.75" x14ac:dyDescent="0.25">
      <c r="D26" s="137">
        <v>45292</v>
      </c>
      <c r="E26" s="138" t="s">
        <v>47</v>
      </c>
      <c r="F26" s="138" t="s">
        <v>41</v>
      </c>
      <c r="G26" s="138" t="s">
        <v>42</v>
      </c>
      <c r="H26" s="138" t="s">
        <v>43</v>
      </c>
      <c r="I26" s="138" t="s">
        <v>44</v>
      </c>
      <c r="J26" s="139" t="s">
        <v>45</v>
      </c>
      <c r="K26" s="139" t="s">
        <v>46</v>
      </c>
    </row>
    <row r="27" spans="1:18" ht="18.75" x14ac:dyDescent="0.25">
      <c r="D27" s="140" t="s">
        <v>135</v>
      </c>
      <c r="E27" s="141" t="s">
        <v>222</v>
      </c>
      <c r="F27" s="141" t="s">
        <v>223</v>
      </c>
      <c r="G27" s="141" t="s">
        <v>224</v>
      </c>
      <c r="H27" s="141" t="s">
        <v>225</v>
      </c>
      <c r="I27" s="141" t="s">
        <v>226</v>
      </c>
      <c r="J27" s="184" t="s">
        <v>227</v>
      </c>
      <c r="K27" s="184" t="s">
        <v>228</v>
      </c>
    </row>
    <row r="40" spans="11:11" x14ac:dyDescent="0.25">
      <c r="K40" t="s">
        <v>31</v>
      </c>
    </row>
  </sheetData>
  <sheetProtection algorithmName="SHA-512" hashValue="ECbNw+LbHDfliyd05oGdnItxVrVswcnz9TqV1nbHyVfjw+poEv1VFVEwvBxbYW+gSXjbzTepY5qbP/mrTXhJCQ==" saltValue="8O/qfAK8Hz+SAwUa3vC0tw==" spinCount="100000" sheet="1" formatCells="0" formatColumns="0" formatRows="0" insertColumns="0" insertRows="0" insertHyperlinks="0" deleteColumns="0" deleteRows="0" sort="0" autoFilter="0" pivotTables="0"/>
  <autoFilter ref="A8:R8" xr:uid="{66088091-6EF7-4AA4-A111-1106C786DC4B}"/>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15" priority="1">
      <formula>IFERROR(INDEX(DiasCategorias, E27-FechaInicio+1),0)=1</formula>
    </cfRule>
    <cfRule type="expression" dxfId="814" priority="2">
      <formula>IFERROR(INDEX(DiasCategorias, E27-FechaInicio+1),0)=2</formula>
    </cfRule>
    <cfRule type="expression" dxfId="813" priority="3">
      <formula>IFERROR(INDEX(DiasCategorias, E27-FechaInicio+1),0)=3</formula>
    </cfRule>
    <cfRule type="expression" dxfId="812" priority="4">
      <formula>IFERROR(INDEX(DiasCategorias, E27-FechaInicio+1),0)=4</formula>
    </cfRule>
    <cfRule type="expression" dxfId="811" priority="5">
      <formula>IFERROR(INDEX(DiasCategorias, E27-FechaInicio+1),0)=5</formula>
    </cfRule>
    <cfRule type="expression" dxfId="810" priority="6">
      <formula>IFERROR(INDEX(DiasCategorias, E27-FechaInicio+1),0)=6</formula>
    </cfRule>
    <cfRule type="expression" dxfId="809" priority="7">
      <formula>IFERROR(INDEX(DiasCategorias, E27-FechaInicio+1),0)=7</formula>
    </cfRule>
    <cfRule type="expression" dxfId="808" priority="8">
      <formula>IFERROR(INDEX(DiasCategorias, E27-FechaInicio+1),0)=8</formula>
    </cfRule>
    <cfRule type="expression" dxfId="807" priority="9">
      <formula>IFERROR(INDEX(DiasCategorias, E27-FechaInicio+1),0)=9</formula>
    </cfRule>
    <cfRule type="expression" dxfId="806" priority="10">
      <formula>IFERROR(INDEX(DiasCategorias, E27-FechaInicio+1),0)=10</formula>
    </cfRule>
    <cfRule type="expression" dxfId="805" priority="11">
      <formula>IFERROR(INDEX(DiasCategorias, E27-FechaInicio+1),0)=11</formula>
    </cfRule>
    <cfRule type="expression" dxfId="804" priority="12">
      <formula>IFERROR(INDEX(DiasCategorias, E27-FechaInicio+1),0)=12</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3791B-F630-4B89-BF13-49AB8F49B4E3}">
  <sheetPr codeName="Hoja43">
    <tabColor rgb="FF0070C0"/>
  </sheetPr>
  <dimension ref="A1:X40"/>
  <sheetViews>
    <sheetView topLeftCell="A2"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4.7109375" customWidth="1"/>
    <col min="7" max="7" width="16.28515625" customWidth="1"/>
    <col min="8" max="8" width="15.5703125" customWidth="1"/>
    <col min="9" max="9" width="14.85546875" customWidth="1"/>
    <col min="10" max="10" width="13.140625" bestFit="1" customWidth="1"/>
    <col min="11" max="21" width="16.28515625" customWidth="1"/>
  </cols>
  <sheetData>
    <row r="1" spans="1:24" ht="15" customHeight="1" x14ac:dyDescent="0.25">
      <c r="A1" s="268"/>
      <c r="B1" s="268"/>
      <c r="C1" s="281" t="s">
        <v>8</v>
      </c>
      <c r="D1" s="282"/>
      <c r="E1" s="282"/>
      <c r="F1" s="282"/>
      <c r="G1" s="283"/>
      <c r="H1" s="288"/>
      <c r="I1" s="289"/>
    </row>
    <row r="2" spans="1:24" ht="15.75" customHeight="1" thickBot="1" x14ac:dyDescent="0.3">
      <c r="A2" s="268"/>
      <c r="B2" s="268"/>
      <c r="C2" s="285"/>
      <c r="D2" s="286"/>
      <c r="E2" s="286"/>
      <c r="F2" s="286"/>
      <c r="G2" s="287"/>
      <c r="H2" s="288"/>
      <c r="I2" s="289"/>
    </row>
    <row r="3" spans="1:24" x14ac:dyDescent="0.25">
      <c r="A3" s="268"/>
      <c r="B3" s="268"/>
      <c r="C3" s="268"/>
      <c r="D3" s="268"/>
      <c r="E3" s="268"/>
      <c r="F3" s="268"/>
      <c r="G3" s="268"/>
      <c r="H3" s="268"/>
      <c r="I3" s="268"/>
    </row>
    <row r="4" spans="1:24" x14ac:dyDescent="0.25">
      <c r="A4" s="268"/>
      <c r="B4" s="268"/>
      <c r="C4" s="268"/>
      <c r="D4" s="268"/>
      <c r="E4" s="268"/>
      <c r="F4" s="268"/>
      <c r="G4" s="268"/>
      <c r="H4" s="268"/>
      <c r="I4" s="268"/>
    </row>
    <row r="5" spans="1:24" x14ac:dyDescent="0.25">
      <c r="A5" s="268"/>
      <c r="B5" s="268"/>
      <c r="C5" s="268"/>
      <c r="D5" s="268"/>
      <c r="E5" s="268"/>
      <c r="F5" s="268"/>
      <c r="G5" s="268"/>
      <c r="H5" s="268"/>
      <c r="I5" s="268"/>
    </row>
    <row r="6" spans="1:24" ht="27" x14ac:dyDescent="0.5">
      <c r="A6" s="273" t="s">
        <v>10</v>
      </c>
      <c r="B6" s="273"/>
      <c r="C6" s="268"/>
      <c r="D6" s="268"/>
      <c r="E6" s="268"/>
      <c r="F6" s="268"/>
      <c r="G6" s="268"/>
      <c r="H6" s="268"/>
      <c r="I6" s="268"/>
    </row>
    <row r="7" spans="1:24" ht="27.75" thickBot="1" x14ac:dyDescent="0.55000000000000004">
      <c r="A7" s="274">
        <v>12</v>
      </c>
      <c r="B7" s="274"/>
      <c r="C7" s="296"/>
      <c r="D7" s="296"/>
      <c r="E7" s="296"/>
      <c r="F7" s="296"/>
      <c r="G7" s="296"/>
      <c r="H7" s="296"/>
      <c r="I7" s="296"/>
    </row>
    <row r="8" spans="1:24" ht="19.5" thickBot="1" x14ac:dyDescent="0.45">
      <c r="A8" s="29" t="s">
        <v>14</v>
      </c>
      <c r="B8" s="29" t="s">
        <v>15</v>
      </c>
      <c r="C8" s="29" t="s">
        <v>16</v>
      </c>
      <c r="D8" s="29" t="s">
        <v>114</v>
      </c>
      <c r="E8" s="30" t="s">
        <v>17</v>
      </c>
      <c r="F8" s="75" t="s">
        <v>69</v>
      </c>
      <c r="G8" s="75" t="s">
        <v>70</v>
      </c>
      <c r="H8" s="75" t="s">
        <v>71</v>
      </c>
      <c r="I8" s="75" t="s">
        <v>72</v>
      </c>
      <c r="J8" s="75" t="s">
        <v>73</v>
      </c>
      <c r="K8" s="75" t="s">
        <v>74</v>
      </c>
      <c r="L8" s="75" t="s">
        <v>75</v>
      </c>
      <c r="M8" s="75" t="s">
        <v>76</v>
      </c>
      <c r="N8" s="75" t="s">
        <v>77</v>
      </c>
      <c r="O8" s="75" t="s">
        <v>78</v>
      </c>
      <c r="P8" s="75" t="s">
        <v>79</v>
      </c>
      <c r="Q8" s="75" t="s">
        <v>80</v>
      </c>
      <c r="R8" s="75" t="s">
        <v>81</v>
      </c>
      <c r="S8" s="75" t="s">
        <v>82</v>
      </c>
      <c r="T8" s="75" t="s">
        <v>83</v>
      </c>
      <c r="U8" s="75" t="s">
        <v>84</v>
      </c>
      <c r="V8" s="30" t="s">
        <v>4</v>
      </c>
      <c r="W8" s="168" t="s">
        <v>18</v>
      </c>
    </row>
    <row r="9" spans="1:24" ht="15.75" thickBot="1" x14ac:dyDescent="0.3">
      <c r="A9" s="80"/>
      <c r="B9" s="81"/>
      <c r="C9" s="81"/>
      <c r="D9" s="154"/>
      <c r="E9" s="162"/>
      <c r="F9" s="78"/>
      <c r="G9" s="78"/>
      <c r="H9" s="81"/>
      <c r="I9" s="81"/>
      <c r="J9" s="81"/>
      <c r="K9" s="81"/>
      <c r="L9" s="81"/>
      <c r="M9" s="81"/>
      <c r="N9" s="81"/>
      <c r="O9" s="81"/>
      <c r="P9" s="81"/>
      <c r="Q9" s="81"/>
      <c r="R9" s="81"/>
      <c r="S9" s="81"/>
      <c r="T9" s="81"/>
      <c r="U9" s="81"/>
      <c r="V9" s="73">
        <f>SUM(F9:U9)</f>
        <v>0</v>
      </c>
      <c r="W9" s="169">
        <f t="shared" ref="W9:W19" si="0">E9-V9</f>
        <v>0</v>
      </c>
      <c r="X9">
        <f>_xlfn.ISOWEEKNUM(A9)</f>
        <v>52</v>
      </c>
    </row>
    <row r="10" spans="1:24" ht="15.75" thickBot="1" x14ac:dyDescent="0.3">
      <c r="A10" s="80"/>
      <c r="B10" s="81"/>
      <c r="C10" s="81"/>
      <c r="D10" s="154"/>
      <c r="E10" s="162"/>
      <c r="F10" s="78"/>
      <c r="G10" s="78"/>
      <c r="H10" s="78"/>
      <c r="I10" s="78"/>
      <c r="J10" s="81"/>
      <c r="K10" s="81"/>
      <c r="L10" s="81"/>
      <c r="M10" s="81"/>
      <c r="N10" s="81"/>
      <c r="O10" s="81"/>
      <c r="P10" s="81"/>
      <c r="Q10" s="81"/>
      <c r="R10" s="81"/>
      <c r="S10" s="81"/>
      <c r="T10" s="81"/>
      <c r="U10" s="81"/>
      <c r="V10" s="73">
        <f t="shared" ref="V10:V19" si="1">SUM(F10:U10)</f>
        <v>0</v>
      </c>
      <c r="W10" s="169">
        <f t="shared" si="0"/>
        <v>0</v>
      </c>
    </row>
    <row r="11" spans="1:24" ht="15.75" thickBot="1" x14ac:dyDescent="0.3">
      <c r="A11" s="80"/>
      <c r="B11" s="81"/>
      <c r="C11" s="81"/>
      <c r="D11" s="154"/>
      <c r="E11" s="162"/>
      <c r="F11" s="78"/>
      <c r="G11" s="78"/>
      <c r="H11" s="78"/>
      <c r="I11" s="78"/>
      <c r="J11" s="81"/>
      <c r="K11" s="81"/>
      <c r="L11" s="81"/>
      <c r="M11" s="53"/>
      <c r="N11" s="81"/>
      <c r="O11" s="81"/>
      <c r="P11" s="81"/>
      <c r="Q11" s="81"/>
      <c r="R11" s="81"/>
      <c r="S11" s="81"/>
      <c r="T11" s="81"/>
      <c r="U11" s="81"/>
      <c r="V11" s="73">
        <f t="shared" si="1"/>
        <v>0</v>
      </c>
      <c r="W11" s="169">
        <f t="shared" si="0"/>
        <v>0</v>
      </c>
    </row>
    <row r="12" spans="1:24" ht="15.75" thickBot="1" x14ac:dyDescent="0.3">
      <c r="A12" s="80"/>
      <c r="B12" s="81"/>
      <c r="C12" s="81"/>
      <c r="D12" s="154"/>
      <c r="E12" s="162"/>
      <c r="F12" s="78"/>
      <c r="G12" s="78"/>
      <c r="H12" s="78"/>
      <c r="I12" s="78"/>
      <c r="J12" s="81"/>
      <c r="K12" s="81"/>
      <c r="L12" s="81"/>
      <c r="M12" s="81"/>
      <c r="N12" s="81"/>
      <c r="O12" s="81"/>
      <c r="P12" s="81"/>
      <c r="Q12" s="81"/>
      <c r="R12" s="81"/>
      <c r="S12" s="81"/>
      <c r="T12" s="81"/>
      <c r="U12" s="81"/>
      <c r="V12" s="73">
        <f t="shared" si="1"/>
        <v>0</v>
      </c>
      <c r="W12" s="169">
        <f t="shared" si="0"/>
        <v>0</v>
      </c>
    </row>
    <row r="13" spans="1:24" ht="15.75" thickBot="1" x14ac:dyDescent="0.3">
      <c r="A13" s="80"/>
      <c r="B13" s="81"/>
      <c r="C13" s="81"/>
      <c r="D13" s="154"/>
      <c r="E13" s="162"/>
      <c r="F13" s="78"/>
      <c r="G13" s="78"/>
      <c r="H13" s="78"/>
      <c r="I13" s="78"/>
      <c r="J13" s="81"/>
      <c r="K13" s="81"/>
      <c r="L13" s="81"/>
      <c r="M13" s="81"/>
      <c r="N13" s="81"/>
      <c r="O13" s="81"/>
      <c r="P13" s="81"/>
      <c r="Q13" s="81"/>
      <c r="R13" s="81"/>
      <c r="S13" s="81"/>
      <c r="T13" s="81"/>
      <c r="U13" s="81"/>
      <c r="V13" s="73">
        <f t="shared" si="1"/>
        <v>0</v>
      </c>
      <c r="W13" s="169">
        <f t="shared" si="0"/>
        <v>0</v>
      </c>
    </row>
    <row r="14" spans="1:24" ht="15.75" thickBot="1" x14ac:dyDescent="0.3">
      <c r="A14" s="80"/>
      <c r="B14" s="81"/>
      <c r="C14" s="81"/>
      <c r="D14" s="154"/>
      <c r="E14" s="162"/>
      <c r="F14" s="78"/>
      <c r="G14" s="78"/>
      <c r="H14" s="78"/>
      <c r="I14" s="78"/>
      <c r="J14" s="81"/>
      <c r="K14" s="81"/>
      <c r="L14" s="81"/>
      <c r="M14" s="81"/>
      <c r="N14" s="81"/>
      <c r="O14" s="81"/>
      <c r="P14" s="81"/>
      <c r="Q14" s="81"/>
      <c r="R14" s="81"/>
      <c r="S14" s="81"/>
      <c r="T14" s="81"/>
      <c r="U14" s="81"/>
      <c r="V14" s="73">
        <f t="shared" si="1"/>
        <v>0</v>
      </c>
      <c r="W14" s="169">
        <f t="shared" si="0"/>
        <v>0</v>
      </c>
    </row>
    <row r="15" spans="1:24" ht="15.75" thickBot="1" x14ac:dyDescent="0.3">
      <c r="A15" s="80"/>
      <c r="B15" s="81"/>
      <c r="C15" s="81"/>
      <c r="D15" s="154"/>
      <c r="E15" s="162"/>
      <c r="F15" s="78"/>
      <c r="G15" s="78"/>
      <c r="H15" s="78"/>
      <c r="I15" s="78"/>
      <c r="J15" s="81"/>
      <c r="K15" s="81"/>
      <c r="L15" s="81"/>
      <c r="M15" s="81"/>
      <c r="N15" s="81"/>
      <c r="O15" s="81"/>
      <c r="P15" s="81"/>
      <c r="Q15" s="81"/>
      <c r="R15" s="81"/>
      <c r="S15" s="81"/>
      <c r="T15" s="81"/>
      <c r="U15" s="81"/>
      <c r="V15" s="73">
        <f t="shared" si="1"/>
        <v>0</v>
      </c>
      <c r="W15" s="169">
        <f t="shared" si="0"/>
        <v>0</v>
      </c>
    </row>
    <row r="16" spans="1:24" ht="15.75" thickBot="1" x14ac:dyDescent="0.3">
      <c r="A16" s="80"/>
      <c r="B16" s="81"/>
      <c r="C16" s="81"/>
      <c r="D16" s="154"/>
      <c r="E16" s="162"/>
      <c r="F16" s="78"/>
      <c r="G16" s="78"/>
      <c r="H16" s="78"/>
      <c r="I16" s="78"/>
      <c r="J16" s="81"/>
      <c r="K16" s="81"/>
      <c r="L16" s="81"/>
      <c r="M16" s="81"/>
      <c r="N16" s="81"/>
      <c r="O16" s="81"/>
      <c r="P16" s="81"/>
      <c r="Q16" s="81"/>
      <c r="R16" s="81"/>
      <c r="S16" s="81"/>
      <c r="T16" s="81"/>
      <c r="U16" s="81"/>
      <c r="V16" s="73">
        <f t="shared" si="1"/>
        <v>0</v>
      </c>
      <c r="W16" s="169">
        <f t="shared" si="0"/>
        <v>0</v>
      </c>
    </row>
    <row r="17" spans="1:23" ht="15.75" thickBot="1" x14ac:dyDescent="0.3">
      <c r="A17" s="80"/>
      <c r="B17" s="81"/>
      <c r="C17" s="81"/>
      <c r="D17" s="154"/>
      <c r="E17" s="162"/>
      <c r="F17" s="78"/>
      <c r="G17" s="78"/>
      <c r="H17" s="78"/>
      <c r="I17" s="78"/>
      <c r="J17" s="81"/>
      <c r="K17" s="81"/>
      <c r="L17" s="81"/>
      <c r="M17" s="81"/>
      <c r="N17" s="81"/>
      <c r="O17" s="81"/>
      <c r="P17" s="81"/>
      <c r="Q17" s="81"/>
      <c r="R17" s="81"/>
      <c r="S17" s="81"/>
      <c r="T17" s="81"/>
      <c r="U17" s="81"/>
      <c r="V17" s="73">
        <f t="shared" si="1"/>
        <v>0</v>
      </c>
      <c r="W17" s="169">
        <f t="shared" si="0"/>
        <v>0</v>
      </c>
    </row>
    <row r="18" spans="1:23" ht="15.75" thickBot="1" x14ac:dyDescent="0.3">
      <c r="A18" s="80"/>
      <c r="B18" s="81"/>
      <c r="C18" s="81"/>
      <c r="D18" s="154"/>
      <c r="E18" s="162"/>
      <c r="F18" s="78"/>
      <c r="G18" s="78"/>
      <c r="H18" s="78"/>
      <c r="I18" s="78"/>
      <c r="J18" s="81"/>
      <c r="K18" s="81"/>
      <c r="L18" s="81"/>
      <c r="M18" s="81"/>
      <c r="N18" s="81"/>
      <c r="O18" s="81"/>
      <c r="P18" s="81"/>
      <c r="Q18" s="81"/>
      <c r="R18" s="81"/>
      <c r="S18" s="81"/>
      <c r="T18" s="81"/>
      <c r="U18" s="81"/>
      <c r="V18" s="73">
        <f t="shared" si="1"/>
        <v>0</v>
      </c>
      <c r="W18" s="169">
        <f t="shared" si="0"/>
        <v>0</v>
      </c>
    </row>
    <row r="19" spans="1:23" ht="15.75" thickBot="1" x14ac:dyDescent="0.3">
      <c r="A19" s="80"/>
      <c r="B19" s="81"/>
      <c r="C19" s="81"/>
      <c r="D19" s="154"/>
      <c r="E19" s="162"/>
      <c r="F19" s="78"/>
      <c r="G19" s="78"/>
      <c r="H19" s="78"/>
      <c r="I19" s="78"/>
      <c r="J19" s="81"/>
      <c r="K19" s="81"/>
      <c r="L19" s="81"/>
      <c r="M19" s="81"/>
      <c r="N19" s="81"/>
      <c r="O19" s="81"/>
      <c r="P19" s="81"/>
      <c r="Q19" s="81"/>
      <c r="R19" s="81"/>
      <c r="S19" s="81"/>
      <c r="T19" s="81"/>
      <c r="U19" s="81"/>
      <c r="V19" s="73">
        <f t="shared" si="1"/>
        <v>0</v>
      </c>
      <c r="W19" s="169">
        <f t="shared" si="0"/>
        <v>0</v>
      </c>
    </row>
    <row r="20" spans="1:23" ht="15.75" thickBot="1" x14ac:dyDescent="0.3">
      <c r="A20" t="s">
        <v>4</v>
      </c>
      <c r="E20" s="163">
        <f>SUM(E9:E19)</f>
        <v>0</v>
      </c>
      <c r="F20" s="12"/>
      <c r="G20" s="12"/>
      <c r="H20" s="12"/>
      <c r="I20" s="12"/>
      <c r="J20" s="6"/>
      <c r="K20" s="6"/>
      <c r="L20" s="6"/>
      <c r="M20" s="6"/>
      <c r="N20" s="6"/>
      <c r="O20" s="6"/>
      <c r="P20" s="6"/>
      <c r="Q20" s="6"/>
      <c r="R20" s="6"/>
      <c r="S20" s="6"/>
      <c r="T20" s="6"/>
      <c r="U20" s="6"/>
      <c r="V20" s="73">
        <f>SUM(V9:V19)</f>
        <v>0</v>
      </c>
      <c r="W20" s="170">
        <f>SUM(W9:W19)</f>
        <v>0</v>
      </c>
    </row>
    <row r="21" spans="1:23" ht="15.75" thickBot="1" x14ac:dyDescent="0.3"/>
    <row r="22" spans="1:23" ht="16.5" thickBot="1" x14ac:dyDescent="0.35">
      <c r="H22" s="291" t="s">
        <v>20</v>
      </c>
      <c r="I22" s="292"/>
      <c r="J22" s="15">
        <f>E20</f>
        <v>0</v>
      </c>
    </row>
    <row r="23" spans="1:23" ht="19.5" thickBot="1" x14ac:dyDescent="0.45">
      <c r="H23" s="279" t="s">
        <v>3</v>
      </c>
      <c r="I23" s="280"/>
      <c r="J23" s="16">
        <f>V20</f>
        <v>0</v>
      </c>
    </row>
    <row r="24" spans="1:23" ht="19.5" thickBot="1" x14ac:dyDescent="0.45">
      <c r="H24" s="279" t="s">
        <v>7</v>
      </c>
      <c r="I24" s="279"/>
      <c r="J24" s="13">
        <f>W20</f>
        <v>0</v>
      </c>
    </row>
    <row r="26" spans="1:23" ht="18.75" x14ac:dyDescent="0.25">
      <c r="D26" s="137">
        <v>45292</v>
      </c>
      <c r="E26" s="138" t="s">
        <v>47</v>
      </c>
      <c r="F26" s="138" t="s">
        <v>41</v>
      </c>
      <c r="G26" s="138" t="s">
        <v>42</v>
      </c>
      <c r="H26" s="138" t="s">
        <v>43</v>
      </c>
      <c r="I26" s="138" t="s">
        <v>44</v>
      </c>
      <c r="J26" s="139" t="s">
        <v>45</v>
      </c>
      <c r="K26" s="139" t="s">
        <v>46</v>
      </c>
    </row>
    <row r="27" spans="1:23" ht="18.75" x14ac:dyDescent="0.25">
      <c r="D27" s="140" t="s">
        <v>136</v>
      </c>
      <c r="E27" s="141" t="s">
        <v>229</v>
      </c>
      <c r="F27" s="141" t="s">
        <v>230</v>
      </c>
      <c r="G27" s="141" t="s">
        <v>231</v>
      </c>
      <c r="H27" s="141" t="s">
        <v>232</v>
      </c>
      <c r="I27" s="141" t="s">
        <v>233</v>
      </c>
      <c r="J27" s="184" t="s">
        <v>234</v>
      </c>
      <c r="K27" s="184" t="s">
        <v>235</v>
      </c>
    </row>
    <row r="40" spans="11:11" x14ac:dyDescent="0.25">
      <c r="K40" t="s">
        <v>31</v>
      </c>
    </row>
  </sheetData>
  <sheetProtection algorithmName="SHA-512" hashValue="bpIUnZ1a7VnjJ9m8fRfJWZ/LilE0M/7ssdO0a8TgNY6sO9B64oTzVdGhyQyiWFnulwNdgJaX9F73g1RE7Eu0GA==" saltValue="F/Ju9KEiT5yT+xvoHzavJA==" spinCount="100000" sheet="1" formatCells="0" formatColumns="0" formatRows="0" insertColumns="0" insertRows="0" insertHyperlinks="0" deleteColumns="0" deleteRows="0" sort="0" autoFilter="0" pivotTables="0"/>
  <autoFilter ref="A8:W8" xr:uid="{88F3791B-F630-4B89-BF13-49AB8F49B4E3}"/>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03" priority="1">
      <formula>IFERROR(INDEX(DiasCategorias, E27-FechaInicio+1),0)=1</formula>
    </cfRule>
    <cfRule type="expression" dxfId="802" priority="2">
      <formula>IFERROR(INDEX(DiasCategorias, E27-FechaInicio+1),0)=2</formula>
    </cfRule>
    <cfRule type="expression" dxfId="801" priority="3">
      <formula>IFERROR(INDEX(DiasCategorias, E27-FechaInicio+1),0)=3</formula>
    </cfRule>
    <cfRule type="expression" dxfId="800" priority="4">
      <formula>IFERROR(INDEX(DiasCategorias, E27-FechaInicio+1),0)=4</formula>
    </cfRule>
    <cfRule type="expression" dxfId="799" priority="5">
      <formula>IFERROR(INDEX(DiasCategorias, E27-FechaInicio+1),0)=5</formula>
    </cfRule>
    <cfRule type="expression" dxfId="798" priority="6">
      <formula>IFERROR(INDEX(DiasCategorias, E27-FechaInicio+1),0)=6</formula>
    </cfRule>
    <cfRule type="expression" dxfId="797" priority="7">
      <formula>IFERROR(INDEX(DiasCategorias, E27-FechaInicio+1),0)=7</formula>
    </cfRule>
    <cfRule type="expression" dxfId="796" priority="8">
      <formula>IFERROR(INDEX(DiasCategorias, E27-FechaInicio+1),0)=8</formula>
    </cfRule>
    <cfRule type="expression" dxfId="795" priority="9">
      <formula>IFERROR(INDEX(DiasCategorias, E27-FechaInicio+1),0)=9</formula>
    </cfRule>
    <cfRule type="expression" dxfId="794" priority="10">
      <formula>IFERROR(INDEX(DiasCategorias, E27-FechaInicio+1),0)=10</formula>
    </cfRule>
    <cfRule type="expression" dxfId="793" priority="11">
      <formula>IFERROR(INDEX(DiasCategorias, E27-FechaInicio+1),0)=11</formula>
    </cfRule>
    <cfRule type="expression" dxfId="792" priority="12">
      <formula>IFERROR(INDEX(DiasCategorias, E27-FechaInicio+1),0)=12</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A79CD-F82F-48A4-B8DC-C43507E2B97B}">
  <sheetPr codeName="Hoja42">
    <tabColor rgb="FF00B050"/>
  </sheetPr>
  <dimension ref="A1:AC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5.42578125" customWidth="1"/>
    <col min="7" max="15" width="15.42578125" bestFit="1" customWidth="1"/>
    <col min="16" max="26" width="15.42578125" customWidth="1"/>
  </cols>
  <sheetData>
    <row r="1" spans="1:29" ht="15" customHeight="1" x14ac:dyDescent="0.25">
      <c r="A1" s="268"/>
      <c r="B1" s="268"/>
      <c r="C1" s="281" t="s">
        <v>8</v>
      </c>
      <c r="D1" s="282"/>
      <c r="E1" s="282"/>
      <c r="F1" s="282"/>
      <c r="G1" s="283"/>
      <c r="H1" s="288"/>
      <c r="I1" s="289"/>
    </row>
    <row r="2" spans="1:29" ht="15.75" customHeight="1" thickBot="1" x14ac:dyDescent="0.3">
      <c r="A2" s="268"/>
      <c r="B2" s="268"/>
      <c r="C2" s="285"/>
      <c r="D2" s="286"/>
      <c r="E2" s="286"/>
      <c r="F2" s="286"/>
      <c r="G2" s="287"/>
      <c r="H2" s="288"/>
      <c r="I2" s="289"/>
    </row>
    <row r="3" spans="1:29" x14ac:dyDescent="0.25">
      <c r="A3" s="268"/>
      <c r="B3" s="268"/>
      <c r="C3" s="268"/>
      <c r="D3" s="268"/>
      <c r="E3" s="268"/>
      <c r="F3" s="268"/>
      <c r="G3" s="268"/>
      <c r="H3" s="268"/>
      <c r="I3" s="268"/>
    </row>
    <row r="4" spans="1:29" x14ac:dyDescent="0.25">
      <c r="A4" s="268"/>
      <c r="B4" s="268"/>
      <c r="C4" s="268"/>
      <c r="D4" s="268"/>
      <c r="E4" s="268"/>
      <c r="F4" s="268"/>
      <c r="G4" s="268"/>
      <c r="H4" s="268"/>
      <c r="I4" s="268"/>
    </row>
    <row r="5" spans="1:29" x14ac:dyDescent="0.25">
      <c r="A5" s="268"/>
      <c r="B5" s="268"/>
      <c r="C5" s="268"/>
      <c r="D5" s="268"/>
      <c r="E5" s="268"/>
      <c r="F5" s="268"/>
      <c r="G5" s="268"/>
      <c r="H5" s="268"/>
      <c r="I5" s="268"/>
    </row>
    <row r="6" spans="1:29" ht="27" x14ac:dyDescent="0.5">
      <c r="A6" s="273" t="s">
        <v>10</v>
      </c>
      <c r="B6" s="273"/>
      <c r="C6" s="268"/>
      <c r="D6" s="268"/>
      <c r="E6" s="268"/>
      <c r="F6" s="268"/>
      <c r="G6" s="268"/>
      <c r="H6" s="268"/>
      <c r="I6" s="268"/>
    </row>
    <row r="7" spans="1:29" ht="27.75" thickBot="1" x14ac:dyDescent="0.55000000000000004">
      <c r="A7" s="274">
        <v>13</v>
      </c>
      <c r="B7" s="274"/>
      <c r="C7" s="296"/>
      <c r="D7" s="296"/>
      <c r="E7" s="296"/>
      <c r="F7" s="296"/>
      <c r="G7" s="296"/>
      <c r="H7" s="296"/>
      <c r="I7" s="296"/>
    </row>
    <row r="8" spans="1:29" ht="19.5" thickBot="1" x14ac:dyDescent="0.45">
      <c r="A8" s="29" t="s">
        <v>14</v>
      </c>
      <c r="B8" s="29" t="s">
        <v>15</v>
      </c>
      <c r="C8" s="29" t="s">
        <v>16</v>
      </c>
      <c r="D8" s="29" t="s">
        <v>114</v>
      </c>
      <c r="E8" s="30" t="s">
        <v>17</v>
      </c>
      <c r="F8" s="75" t="s">
        <v>70</v>
      </c>
      <c r="G8" s="75" t="s">
        <v>71</v>
      </c>
      <c r="H8" s="75" t="s">
        <v>72</v>
      </c>
      <c r="I8" s="75" t="s">
        <v>73</v>
      </c>
      <c r="J8" s="75" t="s">
        <v>74</v>
      </c>
      <c r="K8" s="75" t="s">
        <v>75</v>
      </c>
      <c r="L8" s="75" t="s">
        <v>76</v>
      </c>
      <c r="M8" s="75" t="s">
        <v>77</v>
      </c>
      <c r="N8" s="75" t="s">
        <v>78</v>
      </c>
      <c r="O8" s="75" t="s">
        <v>79</v>
      </c>
      <c r="P8" s="75" t="s">
        <v>80</v>
      </c>
      <c r="Q8" s="75" t="s">
        <v>81</v>
      </c>
      <c r="R8" s="75" t="s">
        <v>82</v>
      </c>
      <c r="S8" s="75" t="s">
        <v>83</v>
      </c>
      <c r="T8" s="75" t="s">
        <v>84</v>
      </c>
      <c r="U8" s="75" t="s">
        <v>85</v>
      </c>
      <c r="V8" s="75" t="s">
        <v>86</v>
      </c>
      <c r="W8" s="75" t="s">
        <v>87</v>
      </c>
      <c r="X8" s="75" t="s">
        <v>88</v>
      </c>
      <c r="Y8" s="75" t="s">
        <v>89</v>
      </c>
      <c r="Z8" s="75" t="s">
        <v>90</v>
      </c>
      <c r="AA8" s="30" t="s">
        <v>4</v>
      </c>
      <c r="AB8" s="164" t="s">
        <v>18</v>
      </c>
    </row>
    <row r="9" spans="1:29" ht="15.75" thickBot="1" x14ac:dyDescent="0.3">
      <c r="A9" s="80"/>
      <c r="B9" s="81"/>
      <c r="C9" s="81"/>
      <c r="D9" s="154"/>
      <c r="E9" s="162"/>
      <c r="F9" s="78"/>
      <c r="G9" s="78"/>
      <c r="H9" s="81"/>
      <c r="I9" s="81"/>
      <c r="J9" s="81"/>
      <c r="K9" s="81"/>
      <c r="L9" s="81"/>
      <c r="M9" s="81"/>
      <c r="N9" s="81"/>
      <c r="O9" s="81"/>
      <c r="P9" s="81"/>
      <c r="Q9" s="81"/>
      <c r="R9" s="81"/>
      <c r="S9" s="81"/>
      <c r="T9" s="81"/>
      <c r="U9" s="81"/>
      <c r="V9" s="81"/>
      <c r="W9" s="81"/>
      <c r="X9" s="81"/>
      <c r="Y9" s="81"/>
      <c r="Z9" s="81"/>
      <c r="AA9" s="73">
        <f>SUM(F9:Z9)</f>
        <v>0</v>
      </c>
      <c r="AB9" s="165">
        <f t="shared" ref="AB9:AB19" si="0">E9-AA9</f>
        <v>0</v>
      </c>
      <c r="AC9">
        <f>_xlfn.ISOWEEKNUM(A9)</f>
        <v>52</v>
      </c>
    </row>
    <row r="10" spans="1:29" ht="15.75" thickBot="1" x14ac:dyDescent="0.3">
      <c r="A10" s="80"/>
      <c r="B10" s="81"/>
      <c r="C10" s="81"/>
      <c r="D10" s="154"/>
      <c r="E10" s="162"/>
      <c r="F10" s="78"/>
      <c r="G10" s="78"/>
      <c r="H10" s="78"/>
      <c r="I10" s="78"/>
      <c r="J10" s="81"/>
      <c r="K10" s="81"/>
      <c r="L10" s="81"/>
      <c r="M10" s="81"/>
      <c r="N10" s="81"/>
      <c r="O10" s="81"/>
      <c r="P10" s="81"/>
      <c r="Q10" s="81"/>
      <c r="R10" s="81"/>
      <c r="S10" s="81"/>
      <c r="T10" s="81"/>
      <c r="U10" s="81"/>
      <c r="V10" s="81"/>
      <c r="W10" s="81"/>
      <c r="X10" s="81"/>
      <c r="Y10" s="81"/>
      <c r="Z10" s="81"/>
      <c r="AA10" s="73">
        <f t="shared" ref="AA10:AA19" si="1">SUM(F10:Z10)</f>
        <v>0</v>
      </c>
      <c r="AB10" s="165">
        <f t="shared" si="0"/>
        <v>0</v>
      </c>
    </row>
    <row r="11" spans="1:29" ht="15.75" thickBot="1" x14ac:dyDescent="0.3">
      <c r="A11" s="80"/>
      <c r="B11" s="81"/>
      <c r="C11" s="81"/>
      <c r="D11" s="154"/>
      <c r="E11" s="162"/>
      <c r="F11" s="78"/>
      <c r="G11" s="78"/>
      <c r="H11" s="78"/>
      <c r="I11" s="78"/>
      <c r="J11" s="81"/>
      <c r="K11" s="81"/>
      <c r="L11" s="81"/>
      <c r="M11" s="81"/>
      <c r="N11" s="81"/>
      <c r="O11" s="81"/>
      <c r="P11" s="81"/>
      <c r="Q11" s="81"/>
      <c r="R11" s="81"/>
      <c r="S11" s="81"/>
      <c r="T11" s="81"/>
      <c r="U11" s="81"/>
      <c r="V11" s="81"/>
      <c r="W11" s="81"/>
      <c r="X11" s="81"/>
      <c r="Y11" s="81"/>
      <c r="Z11" s="81"/>
      <c r="AA11" s="73">
        <f t="shared" si="1"/>
        <v>0</v>
      </c>
      <c r="AB11" s="165">
        <f t="shared" si="0"/>
        <v>0</v>
      </c>
    </row>
    <row r="12" spans="1:29" ht="15.75" thickBot="1" x14ac:dyDescent="0.3">
      <c r="A12" s="80"/>
      <c r="B12" s="81"/>
      <c r="C12" s="81"/>
      <c r="D12" s="154"/>
      <c r="E12" s="162"/>
      <c r="F12" s="78"/>
      <c r="G12" s="78"/>
      <c r="H12" s="78"/>
      <c r="I12" s="78"/>
      <c r="J12" s="81"/>
      <c r="K12" s="81"/>
      <c r="L12" s="81"/>
      <c r="M12" s="81"/>
      <c r="N12" s="81"/>
      <c r="O12" s="81"/>
      <c r="P12" s="81"/>
      <c r="Q12" s="81"/>
      <c r="R12" s="81"/>
      <c r="S12" s="81"/>
      <c r="T12" s="81"/>
      <c r="U12" s="81"/>
      <c r="V12" s="81"/>
      <c r="W12" s="81"/>
      <c r="X12" s="81"/>
      <c r="Y12" s="81"/>
      <c r="Z12" s="81"/>
      <c r="AA12" s="73">
        <f t="shared" si="1"/>
        <v>0</v>
      </c>
      <c r="AB12" s="165">
        <f t="shared" si="0"/>
        <v>0</v>
      </c>
    </row>
    <row r="13" spans="1:29" ht="15.75" thickBot="1" x14ac:dyDescent="0.3">
      <c r="A13" s="80"/>
      <c r="B13" s="81"/>
      <c r="C13" s="81"/>
      <c r="D13" s="154"/>
      <c r="E13" s="162"/>
      <c r="F13" s="78"/>
      <c r="G13" s="78"/>
      <c r="H13" s="78"/>
      <c r="I13" s="78"/>
      <c r="J13" s="81"/>
      <c r="K13" s="81"/>
      <c r="L13" s="81"/>
      <c r="M13" s="81"/>
      <c r="N13" s="81"/>
      <c r="O13" s="81"/>
      <c r="P13" s="81"/>
      <c r="Q13" s="81"/>
      <c r="R13" s="81"/>
      <c r="S13" s="81"/>
      <c r="T13" s="81"/>
      <c r="U13" s="81"/>
      <c r="V13" s="81"/>
      <c r="W13" s="81"/>
      <c r="X13" s="81"/>
      <c r="Y13" s="81"/>
      <c r="Z13" s="81"/>
      <c r="AA13" s="73">
        <f t="shared" si="1"/>
        <v>0</v>
      </c>
      <c r="AB13" s="165">
        <f t="shared" si="0"/>
        <v>0</v>
      </c>
    </row>
    <row r="14" spans="1:29" ht="15.75" thickBot="1" x14ac:dyDescent="0.3">
      <c r="A14" s="80"/>
      <c r="B14" s="81"/>
      <c r="C14" s="81"/>
      <c r="D14" s="154"/>
      <c r="E14" s="162"/>
      <c r="F14" s="78"/>
      <c r="G14" s="78"/>
      <c r="H14" s="78"/>
      <c r="I14" s="78"/>
      <c r="J14" s="81"/>
      <c r="K14" s="81"/>
      <c r="L14" s="81"/>
      <c r="M14" s="81"/>
      <c r="N14" s="81"/>
      <c r="O14" s="81"/>
      <c r="P14" s="81"/>
      <c r="Q14" s="81"/>
      <c r="R14" s="81"/>
      <c r="S14" s="81"/>
      <c r="T14" s="81"/>
      <c r="U14" s="81"/>
      <c r="V14" s="81"/>
      <c r="W14" s="81"/>
      <c r="X14" s="81"/>
      <c r="Y14" s="81"/>
      <c r="Z14" s="81"/>
      <c r="AA14" s="73">
        <f t="shared" si="1"/>
        <v>0</v>
      </c>
      <c r="AB14" s="165">
        <f t="shared" si="0"/>
        <v>0</v>
      </c>
    </row>
    <row r="15" spans="1:29" ht="15.75" thickBot="1" x14ac:dyDescent="0.3">
      <c r="A15" s="80"/>
      <c r="B15" s="81"/>
      <c r="C15" s="81"/>
      <c r="D15" s="154"/>
      <c r="E15" s="162"/>
      <c r="F15" s="78"/>
      <c r="G15" s="78"/>
      <c r="H15" s="78"/>
      <c r="I15" s="78"/>
      <c r="J15" s="81"/>
      <c r="K15" s="81"/>
      <c r="L15" s="81"/>
      <c r="M15" s="81"/>
      <c r="N15" s="81"/>
      <c r="O15" s="81"/>
      <c r="P15" s="81"/>
      <c r="Q15" s="81"/>
      <c r="R15" s="81"/>
      <c r="S15" s="81"/>
      <c r="T15" s="81"/>
      <c r="U15" s="81"/>
      <c r="V15" s="81"/>
      <c r="W15" s="81"/>
      <c r="X15" s="81"/>
      <c r="Y15" s="81"/>
      <c r="Z15" s="81"/>
      <c r="AA15" s="73">
        <f t="shared" si="1"/>
        <v>0</v>
      </c>
      <c r="AB15" s="165">
        <f t="shared" si="0"/>
        <v>0</v>
      </c>
    </row>
    <row r="16" spans="1:29" ht="15.75" thickBot="1" x14ac:dyDescent="0.3">
      <c r="A16" s="80"/>
      <c r="B16" s="81"/>
      <c r="C16" s="81"/>
      <c r="D16" s="154"/>
      <c r="E16" s="162"/>
      <c r="F16" s="78"/>
      <c r="G16" s="78"/>
      <c r="H16" s="78"/>
      <c r="I16" s="78"/>
      <c r="J16" s="81"/>
      <c r="K16" s="81"/>
      <c r="L16" s="81"/>
      <c r="M16" s="81"/>
      <c r="N16" s="81"/>
      <c r="O16" s="81"/>
      <c r="P16" s="81"/>
      <c r="Q16" s="81"/>
      <c r="R16" s="81"/>
      <c r="S16" s="81"/>
      <c r="T16" s="81"/>
      <c r="U16" s="81"/>
      <c r="V16" s="81"/>
      <c r="W16" s="81"/>
      <c r="X16" s="81"/>
      <c r="Y16" s="81"/>
      <c r="Z16" s="81"/>
      <c r="AA16" s="73">
        <f t="shared" si="1"/>
        <v>0</v>
      </c>
      <c r="AB16" s="165">
        <f t="shared" si="0"/>
        <v>0</v>
      </c>
    </row>
    <row r="17" spans="1:28" ht="15.75" thickBot="1" x14ac:dyDescent="0.3">
      <c r="A17" s="80"/>
      <c r="B17" s="81"/>
      <c r="C17" s="81"/>
      <c r="D17" s="154"/>
      <c r="E17" s="162"/>
      <c r="F17" s="78"/>
      <c r="G17" s="78"/>
      <c r="H17" s="78"/>
      <c r="I17" s="78"/>
      <c r="J17" s="81"/>
      <c r="K17" s="81"/>
      <c r="L17" s="81"/>
      <c r="M17" s="81"/>
      <c r="N17" s="81"/>
      <c r="O17" s="81"/>
      <c r="P17" s="81"/>
      <c r="Q17" s="81"/>
      <c r="R17" s="81"/>
      <c r="S17" s="81"/>
      <c r="T17" s="81"/>
      <c r="U17" s="81"/>
      <c r="V17" s="81"/>
      <c r="W17" s="81"/>
      <c r="X17" s="81"/>
      <c r="Y17" s="81"/>
      <c r="Z17" s="81"/>
      <c r="AA17" s="73">
        <f t="shared" si="1"/>
        <v>0</v>
      </c>
      <c r="AB17" s="165">
        <f t="shared" si="0"/>
        <v>0</v>
      </c>
    </row>
    <row r="18" spans="1:28" ht="15.75" thickBot="1" x14ac:dyDescent="0.3">
      <c r="A18" s="80"/>
      <c r="B18" s="81"/>
      <c r="C18" s="81"/>
      <c r="D18" s="154"/>
      <c r="E18" s="162"/>
      <c r="F18" s="78"/>
      <c r="G18" s="78"/>
      <c r="H18" s="78"/>
      <c r="I18" s="78"/>
      <c r="J18" s="81"/>
      <c r="K18" s="81"/>
      <c r="L18" s="81"/>
      <c r="M18" s="81"/>
      <c r="N18" s="81"/>
      <c r="O18" s="81"/>
      <c r="P18" s="81"/>
      <c r="Q18" s="81"/>
      <c r="R18" s="81"/>
      <c r="S18" s="81"/>
      <c r="T18" s="81"/>
      <c r="U18" s="81"/>
      <c r="V18" s="81"/>
      <c r="W18" s="81"/>
      <c r="X18" s="81"/>
      <c r="Y18" s="81"/>
      <c r="Z18" s="81"/>
      <c r="AA18" s="73">
        <f t="shared" si="1"/>
        <v>0</v>
      </c>
      <c r="AB18" s="165">
        <f t="shared" si="0"/>
        <v>0</v>
      </c>
    </row>
    <row r="19" spans="1:28" ht="15.75" thickBot="1" x14ac:dyDescent="0.3">
      <c r="A19" s="80"/>
      <c r="B19" s="81"/>
      <c r="C19" s="81"/>
      <c r="D19" s="154"/>
      <c r="E19" s="162"/>
      <c r="F19" s="78"/>
      <c r="G19" s="78"/>
      <c r="H19" s="78"/>
      <c r="I19" s="78"/>
      <c r="J19" s="81"/>
      <c r="K19" s="81"/>
      <c r="L19" s="81"/>
      <c r="M19" s="81"/>
      <c r="N19" s="81"/>
      <c r="O19" s="81"/>
      <c r="P19" s="81"/>
      <c r="Q19" s="81"/>
      <c r="R19" s="81"/>
      <c r="S19" s="81"/>
      <c r="T19" s="81"/>
      <c r="U19" s="81"/>
      <c r="V19" s="81"/>
      <c r="W19" s="81"/>
      <c r="X19" s="81"/>
      <c r="Y19" s="81"/>
      <c r="Z19" s="81"/>
      <c r="AA19" s="73">
        <f t="shared" si="1"/>
        <v>0</v>
      </c>
      <c r="AB19" s="165">
        <f t="shared" si="0"/>
        <v>0</v>
      </c>
    </row>
    <row r="20" spans="1:28" ht="15.75" thickBot="1" x14ac:dyDescent="0.3">
      <c r="A20" t="s">
        <v>4</v>
      </c>
      <c r="E20" s="163">
        <f>SUM(E9:E19)</f>
        <v>0</v>
      </c>
      <c r="F20" s="12"/>
      <c r="G20" s="12"/>
      <c r="H20" s="12"/>
      <c r="I20" s="12"/>
      <c r="J20" s="6"/>
      <c r="K20" s="6"/>
      <c r="L20" s="6"/>
      <c r="M20" s="6"/>
      <c r="N20" s="6"/>
      <c r="O20" s="6"/>
      <c r="P20" s="6"/>
      <c r="Q20" s="6"/>
      <c r="R20" s="6"/>
      <c r="S20" s="6"/>
      <c r="T20" s="6"/>
      <c r="U20" s="6"/>
      <c r="V20" s="6"/>
      <c r="W20" s="6"/>
      <c r="X20" s="6"/>
      <c r="Y20" s="6"/>
      <c r="Z20" s="6"/>
      <c r="AA20" s="73">
        <f>SUM(AA9:AA19)</f>
        <v>0</v>
      </c>
      <c r="AB20" s="166">
        <f>SUM(AB9:AB19)</f>
        <v>0</v>
      </c>
    </row>
    <row r="21" spans="1:28" ht="15.75" thickBot="1" x14ac:dyDescent="0.3"/>
    <row r="22" spans="1:28" ht="16.5" thickBot="1" x14ac:dyDescent="0.35">
      <c r="H22" s="291" t="s">
        <v>20</v>
      </c>
      <c r="I22" s="292"/>
      <c r="J22" s="15">
        <f>E20</f>
        <v>0</v>
      </c>
    </row>
    <row r="23" spans="1:28" ht="19.5" thickBot="1" x14ac:dyDescent="0.45">
      <c r="H23" s="279" t="s">
        <v>3</v>
      </c>
      <c r="I23" s="280"/>
      <c r="J23" s="16">
        <f>AA20</f>
        <v>0</v>
      </c>
    </row>
    <row r="24" spans="1:28" ht="19.5" thickBot="1" x14ac:dyDescent="0.45">
      <c r="H24" s="279" t="s">
        <v>7</v>
      </c>
      <c r="I24" s="279"/>
      <c r="J24" s="13">
        <f>AB20</f>
        <v>0</v>
      </c>
    </row>
    <row r="26" spans="1:28" ht="18.75" x14ac:dyDescent="0.25">
      <c r="D26" s="137">
        <v>45292</v>
      </c>
      <c r="E26" s="138" t="s">
        <v>47</v>
      </c>
      <c r="F26" s="138" t="s">
        <v>41</v>
      </c>
      <c r="G26" s="138" t="s">
        <v>42</v>
      </c>
      <c r="H26" s="138" t="s">
        <v>43</v>
      </c>
      <c r="I26" s="138" t="s">
        <v>44</v>
      </c>
      <c r="J26" s="139" t="s">
        <v>45</v>
      </c>
      <c r="K26" s="139" t="s">
        <v>46</v>
      </c>
    </row>
    <row r="27" spans="1:28" ht="18.75" x14ac:dyDescent="0.25">
      <c r="D27" s="140" t="s">
        <v>137</v>
      </c>
      <c r="E27" s="141" t="s">
        <v>236</v>
      </c>
      <c r="F27" s="141" t="s">
        <v>237</v>
      </c>
      <c r="G27" s="141" t="s">
        <v>238</v>
      </c>
      <c r="H27" s="141" t="s">
        <v>239</v>
      </c>
      <c r="I27" s="141" t="s">
        <v>240</v>
      </c>
      <c r="J27" s="184" t="s">
        <v>241</v>
      </c>
      <c r="K27" s="184" t="s">
        <v>242</v>
      </c>
    </row>
    <row r="40" spans="11:11" x14ac:dyDescent="0.25">
      <c r="K40" t="s">
        <v>31</v>
      </c>
    </row>
  </sheetData>
  <sheetProtection algorithmName="SHA-512" hashValue="lTwqV/5KG1Pnn04lEgvUuRUb1tbBMM6X3i0jTpPxQ3+EhtfGX+71fgq8NzsZoZ5Y6JrmuHB8EtrRK6gnVM5AKg==" saltValue="9uO+L8ijfJ+GRKDaL8UpBA==" spinCount="100000" sheet="1" formatCells="0" formatColumns="0" formatRows="0" insertColumns="0" insertRows="0" insertHyperlinks="0" deleteColumns="0" deleteRows="0" sort="0" autoFilter="0" pivotTables="0"/>
  <autoFilter ref="A8:AB8" xr:uid="{04FA79CD-F82F-48A4-B8DC-C43507E2B97B}"/>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791" priority="1">
      <formula>IFERROR(INDEX(DiasCategorias, E27-FechaInicio+1),0)=1</formula>
    </cfRule>
    <cfRule type="expression" dxfId="790" priority="2">
      <formula>IFERROR(INDEX(DiasCategorias, E27-FechaInicio+1),0)=2</formula>
    </cfRule>
    <cfRule type="expression" dxfId="789" priority="3">
      <formula>IFERROR(INDEX(DiasCategorias, E27-FechaInicio+1),0)=3</formula>
    </cfRule>
    <cfRule type="expression" dxfId="788" priority="4">
      <formula>IFERROR(INDEX(DiasCategorias, E27-FechaInicio+1),0)=4</formula>
    </cfRule>
    <cfRule type="expression" dxfId="787" priority="5">
      <formula>IFERROR(INDEX(DiasCategorias, E27-FechaInicio+1),0)=5</formula>
    </cfRule>
    <cfRule type="expression" dxfId="786" priority="6">
      <formula>IFERROR(INDEX(DiasCategorias, E27-FechaInicio+1),0)=6</formula>
    </cfRule>
    <cfRule type="expression" dxfId="785" priority="7">
      <formula>IFERROR(INDEX(DiasCategorias, E27-FechaInicio+1),0)=7</formula>
    </cfRule>
    <cfRule type="expression" dxfId="784" priority="8">
      <formula>IFERROR(INDEX(DiasCategorias, E27-FechaInicio+1),0)=8</formula>
    </cfRule>
    <cfRule type="expression" dxfId="783" priority="9">
      <formula>IFERROR(INDEX(DiasCategorias, E27-FechaInicio+1),0)=9</formula>
    </cfRule>
    <cfRule type="expression" dxfId="782" priority="10">
      <formula>IFERROR(INDEX(DiasCategorias, E27-FechaInicio+1),0)=10</formula>
    </cfRule>
    <cfRule type="expression" dxfId="781" priority="11">
      <formula>IFERROR(INDEX(DiasCategorias, E27-FechaInicio+1),0)=11</formula>
    </cfRule>
    <cfRule type="expression" dxfId="780" priority="12">
      <formula>IFERROR(INDEX(DiasCategorias, E27-FechaInicio+1),0)=12</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6EBC1-B27B-48C5-89ED-1FEDE4A2EC48}">
  <sheetPr codeName="Hoja41">
    <tabColor rgb="FFFF0000"/>
  </sheetPr>
  <dimension ref="A1:V40"/>
  <sheetViews>
    <sheetView topLeftCell="A5" workbookViewId="0">
      <selection activeCell="E27" sqref="E27:K27"/>
    </sheetView>
  </sheetViews>
  <sheetFormatPr baseColWidth="10" defaultRowHeight="15" x14ac:dyDescent="0.25"/>
  <cols>
    <col min="2" max="2" width="9.140625" customWidth="1"/>
    <col min="3" max="3" width="30.7109375" customWidth="1"/>
    <col min="4" max="4" width="14.7109375" bestFit="1" customWidth="1"/>
    <col min="5" max="5" width="13.140625" bestFit="1" customWidth="1"/>
    <col min="6" max="15" width="15.42578125" bestFit="1" customWidth="1"/>
    <col min="16" max="19" width="15.42578125"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14</v>
      </c>
      <c r="B7" s="274"/>
      <c r="C7" s="296"/>
      <c r="D7" s="296"/>
      <c r="E7" s="296"/>
      <c r="F7" s="296"/>
      <c r="G7" s="296"/>
      <c r="H7" s="296"/>
      <c r="I7" s="296"/>
    </row>
    <row r="8" spans="1:22" ht="19.5" thickBot="1" x14ac:dyDescent="0.45">
      <c r="A8" s="29" t="s">
        <v>14</v>
      </c>
      <c r="B8" s="29" t="s">
        <v>15</v>
      </c>
      <c r="C8" s="29" t="s">
        <v>16</v>
      </c>
      <c r="D8" s="29" t="s">
        <v>114</v>
      </c>
      <c r="E8" s="30" t="s">
        <v>17</v>
      </c>
      <c r="F8" s="75" t="s">
        <v>71</v>
      </c>
      <c r="G8" s="75" t="s">
        <v>72</v>
      </c>
      <c r="H8" s="75" t="s">
        <v>73</v>
      </c>
      <c r="I8" s="75" t="s">
        <v>74</v>
      </c>
      <c r="J8" s="75" t="s">
        <v>75</v>
      </c>
      <c r="K8" s="75" t="s">
        <v>76</v>
      </c>
      <c r="L8" s="75" t="s">
        <v>77</v>
      </c>
      <c r="M8" s="75" t="s">
        <v>78</v>
      </c>
      <c r="N8" s="75" t="s">
        <v>79</v>
      </c>
      <c r="O8" s="75" t="s">
        <v>80</v>
      </c>
      <c r="P8" s="75" t="s">
        <v>81</v>
      </c>
      <c r="Q8" s="75" t="s">
        <v>82</v>
      </c>
      <c r="R8" s="75" t="s">
        <v>83</v>
      </c>
      <c r="S8" s="75" t="s">
        <v>84</v>
      </c>
      <c r="T8" s="30" t="s">
        <v>4</v>
      </c>
      <c r="U8" s="164" t="s">
        <v>18</v>
      </c>
    </row>
    <row r="9" spans="1:22" ht="15.75" thickBot="1" x14ac:dyDescent="0.3">
      <c r="A9" s="80"/>
      <c r="B9" s="81"/>
      <c r="C9" s="81"/>
      <c r="D9" s="154"/>
      <c r="E9" s="162"/>
      <c r="F9" s="78"/>
      <c r="G9" s="78"/>
      <c r="H9" s="81"/>
      <c r="I9" s="81"/>
      <c r="J9" s="81"/>
      <c r="K9" s="81"/>
      <c r="L9" s="81"/>
      <c r="M9" s="81"/>
      <c r="N9" s="81"/>
      <c r="O9" s="81"/>
      <c r="P9" s="81"/>
      <c r="Q9" s="81"/>
      <c r="R9" s="81"/>
      <c r="S9" s="81"/>
      <c r="T9" s="73">
        <f>SUM(F9:S9)</f>
        <v>0</v>
      </c>
      <c r="U9" s="165">
        <f>E9-T9</f>
        <v>0</v>
      </c>
      <c r="V9">
        <f>_xlfn.ISOWEEKNUM(A9)</f>
        <v>52</v>
      </c>
    </row>
    <row r="10" spans="1:22" ht="15.75" thickBot="1" x14ac:dyDescent="0.3">
      <c r="A10" s="80"/>
      <c r="B10" s="81"/>
      <c r="C10" s="81"/>
      <c r="D10" s="154"/>
      <c r="E10" s="162"/>
      <c r="F10" s="78"/>
      <c r="G10" s="78"/>
      <c r="H10" s="78"/>
      <c r="I10" s="78"/>
      <c r="J10" s="81"/>
      <c r="K10" s="81"/>
      <c r="L10" s="81"/>
      <c r="M10" s="81"/>
      <c r="N10" s="81"/>
      <c r="O10" s="81"/>
      <c r="P10" s="81"/>
      <c r="Q10" s="81"/>
      <c r="R10" s="81"/>
      <c r="S10" s="81"/>
      <c r="T10" s="73">
        <f>SUM(F10:S10)</f>
        <v>0</v>
      </c>
      <c r="U10" s="165">
        <f t="shared" ref="U10:U19" si="0">E10-T10</f>
        <v>0</v>
      </c>
    </row>
    <row r="11" spans="1:22" ht="15.75" thickBot="1" x14ac:dyDescent="0.3">
      <c r="A11" s="80"/>
      <c r="B11" s="81"/>
      <c r="C11" s="81"/>
      <c r="D11" s="154"/>
      <c r="E11" s="162"/>
      <c r="F11" s="78"/>
      <c r="G11" s="78"/>
      <c r="H11" s="78"/>
      <c r="I11" s="78"/>
      <c r="J11" s="81"/>
      <c r="K11" s="81"/>
      <c r="L11" s="81"/>
      <c r="M11" s="81"/>
      <c r="N11" s="81"/>
      <c r="O11" s="81"/>
      <c r="P11" s="81"/>
      <c r="Q11" s="81"/>
      <c r="R11" s="81"/>
      <c r="S11" s="81"/>
      <c r="T11" s="73">
        <f t="shared" ref="T11:T19" si="1">SUM(F11:S11)</f>
        <v>0</v>
      </c>
      <c r="U11" s="165">
        <f t="shared" si="0"/>
        <v>0</v>
      </c>
    </row>
    <row r="12" spans="1:22" ht="15.75" thickBot="1" x14ac:dyDescent="0.3">
      <c r="A12" s="80"/>
      <c r="B12" s="81"/>
      <c r="C12" s="81"/>
      <c r="D12" s="154"/>
      <c r="E12" s="162"/>
      <c r="F12" s="78"/>
      <c r="G12" s="78"/>
      <c r="H12" s="78"/>
      <c r="I12" s="78"/>
      <c r="J12" s="81"/>
      <c r="K12" s="81"/>
      <c r="L12" s="81"/>
      <c r="M12" s="81"/>
      <c r="N12" s="81"/>
      <c r="O12" s="81"/>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81"/>
      <c r="O13" s="81"/>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81"/>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81"/>
      <c r="O15" s="81"/>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81"/>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81"/>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81"/>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81"/>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6"/>
      <c r="P20" s="6"/>
      <c r="Q20" s="6"/>
      <c r="R20" s="6"/>
      <c r="S20" s="6"/>
      <c r="T20" s="73">
        <f>SUM(T9:T19)</f>
        <v>0</v>
      </c>
      <c r="U20" s="166">
        <f>SUM(U9:U19)</f>
        <v>0</v>
      </c>
    </row>
    <row r="21" spans="1:21" ht="15.75" thickBot="1" x14ac:dyDescent="0.3"/>
    <row r="22" spans="1:21" ht="16.5" thickBot="1" x14ac:dyDescent="0.35">
      <c r="H22" s="291" t="s">
        <v>20</v>
      </c>
      <c r="I22" s="292"/>
      <c r="J22" s="15">
        <f>E20</f>
        <v>0</v>
      </c>
    </row>
    <row r="23" spans="1:21" ht="19.5" thickBot="1" x14ac:dyDescent="0.45">
      <c r="H23" s="279" t="s">
        <v>3</v>
      </c>
      <c r="I23" s="280"/>
      <c r="J23" s="16">
        <f>T20</f>
        <v>0</v>
      </c>
    </row>
    <row r="24" spans="1:21" ht="19.5" thickBot="1" x14ac:dyDescent="0.45">
      <c r="H24" s="279" t="s">
        <v>7</v>
      </c>
      <c r="I24" s="279"/>
      <c r="J24" s="13">
        <f>U20</f>
        <v>0</v>
      </c>
    </row>
    <row r="26" spans="1:21" ht="18.75" x14ac:dyDescent="0.25">
      <c r="D26" s="137">
        <v>45292</v>
      </c>
      <c r="E26" s="138" t="s">
        <v>47</v>
      </c>
      <c r="F26" s="138" t="s">
        <v>41</v>
      </c>
      <c r="G26" s="138" t="s">
        <v>42</v>
      </c>
      <c r="H26" s="138" t="s">
        <v>43</v>
      </c>
      <c r="I26" s="138" t="s">
        <v>44</v>
      </c>
      <c r="J26" s="139" t="s">
        <v>45</v>
      </c>
      <c r="K26" s="139" t="s">
        <v>46</v>
      </c>
    </row>
    <row r="27" spans="1:21" ht="18.75" x14ac:dyDescent="0.25">
      <c r="D27" s="140" t="s">
        <v>138</v>
      </c>
      <c r="E27" s="141" t="s">
        <v>243</v>
      </c>
      <c r="F27" s="141" t="s">
        <v>244</v>
      </c>
      <c r="G27" s="141" t="s">
        <v>245</v>
      </c>
      <c r="H27" s="141" t="s">
        <v>246</v>
      </c>
      <c r="I27" s="141" t="s">
        <v>247</v>
      </c>
      <c r="J27" s="184" t="s">
        <v>248</v>
      </c>
      <c r="K27" s="184" t="s">
        <v>249</v>
      </c>
    </row>
    <row r="40" spans="11:11" x14ac:dyDescent="0.25">
      <c r="K40" t="s">
        <v>31</v>
      </c>
    </row>
  </sheetData>
  <sheetProtection algorithmName="SHA-512" hashValue="l4zHX76nCmDnCswO27iwZ2z80WaHEEvtFTtnPguu5QdGJAX06DuMB+x5yJ6drOo8tAzLxFbugrDuxliGLlusCQ==" saltValue="sFKUTFYL2cKTJNe1Onw40A==" spinCount="100000" sheet="1" formatCells="0" formatColumns="0" formatRows="0" insertColumns="0" insertRows="0" insertHyperlinks="0" deleteColumns="0" deleteRows="0" sort="0" autoFilter="0" pivotTables="0"/>
  <autoFilter ref="A8:U8" xr:uid="{EBA6EBC1-B27B-48C5-89ED-1FEDE4A2EC48}"/>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779" priority="1">
      <formula>IFERROR(INDEX(DiasCategorias, E27-FechaInicio+1),0)=1</formula>
    </cfRule>
    <cfRule type="expression" dxfId="778" priority="2">
      <formula>IFERROR(INDEX(DiasCategorias, E27-FechaInicio+1),0)=2</formula>
    </cfRule>
    <cfRule type="expression" dxfId="777" priority="3">
      <formula>IFERROR(INDEX(DiasCategorias, E27-FechaInicio+1),0)=3</formula>
    </cfRule>
    <cfRule type="expression" dxfId="776" priority="4">
      <formula>IFERROR(INDEX(DiasCategorias, E27-FechaInicio+1),0)=4</formula>
    </cfRule>
    <cfRule type="expression" dxfId="775" priority="5">
      <formula>IFERROR(INDEX(DiasCategorias, E27-FechaInicio+1),0)=5</formula>
    </cfRule>
    <cfRule type="expression" dxfId="774" priority="6">
      <formula>IFERROR(INDEX(DiasCategorias, E27-FechaInicio+1),0)=6</formula>
    </cfRule>
    <cfRule type="expression" dxfId="773" priority="7">
      <formula>IFERROR(INDEX(DiasCategorias, E27-FechaInicio+1),0)=7</formula>
    </cfRule>
    <cfRule type="expression" dxfId="772" priority="8">
      <formula>IFERROR(INDEX(DiasCategorias, E27-FechaInicio+1),0)=8</formula>
    </cfRule>
    <cfRule type="expression" dxfId="771" priority="9">
      <formula>IFERROR(INDEX(DiasCategorias, E27-FechaInicio+1),0)=9</formula>
    </cfRule>
    <cfRule type="expression" dxfId="770" priority="10">
      <formula>IFERROR(INDEX(DiasCategorias, E27-FechaInicio+1),0)=10</formula>
    </cfRule>
    <cfRule type="expression" dxfId="769" priority="11">
      <formula>IFERROR(INDEX(DiasCategorias, E27-FechaInicio+1),0)=11</formula>
    </cfRule>
    <cfRule type="expression" dxfId="768" priority="12">
      <formula>IFERROR(INDEX(DiasCategorias, E27-FechaInicio+1),0)=12</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A5158-4F01-4AC1-92A2-B96E48605CB9}">
  <sheetPr codeName="Hoja40">
    <tabColor rgb="FFC00000"/>
  </sheetPr>
  <dimension ref="A1:S40"/>
  <sheetViews>
    <sheetView workbookViewId="0">
      <selection activeCell="J26" sqref="J26"/>
    </sheetView>
  </sheetViews>
  <sheetFormatPr baseColWidth="10" defaultRowHeight="15" x14ac:dyDescent="0.25"/>
  <cols>
    <col min="2" max="2" width="9.140625" customWidth="1"/>
    <col min="3" max="3" width="27.5703125" bestFit="1" customWidth="1"/>
    <col min="5" max="5" width="13.140625" bestFit="1" customWidth="1"/>
    <col min="6" max="11" width="15.42578125" bestFit="1" customWidth="1"/>
    <col min="12" max="16" width="15.4257812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15</v>
      </c>
      <c r="B7" s="274"/>
      <c r="C7" s="296"/>
      <c r="D7" s="296"/>
      <c r="E7" s="296"/>
      <c r="F7" s="296"/>
      <c r="G7" s="296"/>
      <c r="H7" s="296"/>
      <c r="I7" s="296"/>
    </row>
    <row r="8" spans="1:19" ht="19.5" thickBot="1" x14ac:dyDescent="0.45">
      <c r="A8" s="29" t="s">
        <v>14</v>
      </c>
      <c r="B8" s="29" t="s">
        <v>15</v>
      </c>
      <c r="C8" s="29" t="s">
        <v>16</v>
      </c>
      <c r="D8" s="29" t="s">
        <v>114</v>
      </c>
      <c r="E8" s="30" t="s">
        <v>17</v>
      </c>
      <c r="F8" s="75" t="s">
        <v>72</v>
      </c>
      <c r="G8" s="75" t="s">
        <v>73</v>
      </c>
      <c r="H8" s="75" t="s">
        <v>74</v>
      </c>
      <c r="I8" s="75" t="s">
        <v>75</v>
      </c>
      <c r="J8" s="75" t="s">
        <v>76</v>
      </c>
      <c r="K8" s="75" t="s">
        <v>77</v>
      </c>
      <c r="L8" s="75" t="s">
        <v>78</v>
      </c>
      <c r="M8" s="75" t="s">
        <v>79</v>
      </c>
      <c r="N8" s="75" t="s">
        <v>80</v>
      </c>
      <c r="O8" s="75" t="s">
        <v>81</v>
      </c>
      <c r="P8" s="75" t="s">
        <v>82</v>
      </c>
      <c r="Q8" s="30" t="s">
        <v>4</v>
      </c>
      <c r="R8" s="164" t="s">
        <v>18</v>
      </c>
    </row>
    <row r="9" spans="1:19" ht="15.75" thickBot="1" x14ac:dyDescent="0.3">
      <c r="A9" s="80"/>
      <c r="B9" s="81"/>
      <c r="C9" s="81"/>
      <c r="D9" s="154"/>
      <c r="E9" s="162"/>
      <c r="F9" s="78"/>
      <c r="G9" s="78"/>
      <c r="H9" s="81"/>
      <c r="I9" s="81"/>
      <c r="J9" s="81"/>
      <c r="K9" s="81"/>
      <c r="L9" s="81"/>
      <c r="M9" s="81"/>
      <c r="N9" s="81"/>
      <c r="O9" s="81"/>
      <c r="P9" s="81"/>
      <c r="Q9" s="73">
        <f>SUM(F9:P9)</f>
        <v>0</v>
      </c>
      <c r="R9" s="165">
        <f t="shared" ref="R9:R19" si="0">E9-Q9</f>
        <v>0</v>
      </c>
      <c r="S9">
        <f>_xlfn.ISOWEEKNUM(A9)</f>
        <v>52</v>
      </c>
    </row>
    <row r="10" spans="1:19" ht="15.75" thickBot="1" x14ac:dyDescent="0.3">
      <c r="A10" s="80"/>
      <c r="B10" s="81"/>
      <c r="C10" s="81"/>
      <c r="D10" s="154"/>
      <c r="E10" s="162"/>
      <c r="F10" s="78"/>
      <c r="G10" s="78"/>
      <c r="H10" s="78"/>
      <c r="I10" s="78"/>
      <c r="J10" s="81"/>
      <c r="K10" s="81"/>
      <c r="L10" s="81"/>
      <c r="M10" s="81"/>
      <c r="N10" s="81"/>
      <c r="O10" s="81"/>
      <c r="P10" s="81"/>
      <c r="Q10" s="73">
        <f t="shared" ref="Q10:Q19" si="1">SUM(F10:P10)</f>
        <v>0</v>
      </c>
      <c r="R10" s="165">
        <f t="shared" si="0"/>
        <v>0</v>
      </c>
    </row>
    <row r="11" spans="1:19" ht="15.75" thickBot="1" x14ac:dyDescent="0.3">
      <c r="A11" s="80"/>
      <c r="B11" s="81"/>
      <c r="C11" s="81"/>
      <c r="D11" s="154"/>
      <c r="E11" s="162"/>
      <c r="F11" s="78"/>
      <c r="G11" s="78"/>
      <c r="H11" s="78"/>
      <c r="I11" s="78"/>
      <c r="J11" s="81"/>
      <c r="K11" s="81"/>
      <c r="L11" s="81"/>
      <c r="M11" s="81"/>
      <c r="N11" s="81"/>
      <c r="O11" s="81"/>
      <c r="P11" s="81"/>
      <c r="Q11" s="73">
        <f t="shared" si="1"/>
        <v>0</v>
      </c>
      <c r="R11" s="165">
        <f t="shared" si="0"/>
        <v>0</v>
      </c>
    </row>
    <row r="12" spans="1:19" ht="15.75" thickBot="1" x14ac:dyDescent="0.3">
      <c r="A12" s="80"/>
      <c r="B12" s="81"/>
      <c r="C12" s="81"/>
      <c r="D12" s="154"/>
      <c r="E12" s="162"/>
      <c r="F12" s="78"/>
      <c r="G12" s="78"/>
      <c r="H12" s="78"/>
      <c r="I12" s="78"/>
      <c r="J12" s="81"/>
      <c r="K12" s="81"/>
      <c r="L12" s="81"/>
      <c r="M12" s="81"/>
      <c r="N12" s="81"/>
      <c r="O12" s="81"/>
      <c r="P12" s="81"/>
      <c r="Q12" s="73">
        <f t="shared" si="1"/>
        <v>0</v>
      </c>
      <c r="R12" s="165">
        <f t="shared" si="0"/>
        <v>0</v>
      </c>
    </row>
    <row r="13" spans="1:19" ht="15.75" thickBot="1" x14ac:dyDescent="0.3">
      <c r="A13" s="80"/>
      <c r="B13" s="81"/>
      <c r="C13" s="81"/>
      <c r="D13" s="154"/>
      <c r="E13" s="162"/>
      <c r="F13" s="78"/>
      <c r="G13" s="78"/>
      <c r="H13" s="78"/>
      <c r="I13" s="78"/>
      <c r="J13" s="81"/>
      <c r="K13" s="81"/>
      <c r="L13" s="81"/>
      <c r="M13" s="81"/>
      <c r="N13" s="81"/>
      <c r="O13" s="81"/>
      <c r="P13" s="81"/>
      <c r="Q13" s="73">
        <f t="shared" si="1"/>
        <v>0</v>
      </c>
      <c r="R13" s="165">
        <f t="shared" si="0"/>
        <v>0</v>
      </c>
    </row>
    <row r="14" spans="1:19" ht="15.75" thickBot="1" x14ac:dyDescent="0.3">
      <c r="A14" s="80"/>
      <c r="B14" s="81"/>
      <c r="C14" s="81"/>
      <c r="D14" s="154"/>
      <c r="E14" s="162"/>
      <c r="F14" s="78"/>
      <c r="G14" s="78"/>
      <c r="H14" s="78"/>
      <c r="I14" s="78"/>
      <c r="J14" s="81"/>
      <c r="K14" s="81"/>
      <c r="L14" s="81"/>
      <c r="M14" s="81"/>
      <c r="N14" s="81"/>
      <c r="O14" s="81"/>
      <c r="P14" s="81"/>
      <c r="Q14" s="73">
        <f t="shared" si="1"/>
        <v>0</v>
      </c>
      <c r="R14" s="165">
        <f t="shared" si="0"/>
        <v>0</v>
      </c>
    </row>
    <row r="15" spans="1:19" ht="15.75" thickBot="1" x14ac:dyDescent="0.3">
      <c r="A15" s="80"/>
      <c r="B15" s="81"/>
      <c r="C15" s="81"/>
      <c r="D15" s="154"/>
      <c r="E15" s="162"/>
      <c r="F15" s="78"/>
      <c r="G15" s="78"/>
      <c r="H15" s="78"/>
      <c r="I15" s="78"/>
      <c r="J15" s="81"/>
      <c r="K15" s="81"/>
      <c r="L15" s="81"/>
      <c r="M15" s="81"/>
      <c r="N15" s="81"/>
      <c r="O15" s="81"/>
      <c r="P15" s="81"/>
      <c r="Q15" s="73">
        <f t="shared" si="1"/>
        <v>0</v>
      </c>
      <c r="R15" s="165">
        <f t="shared" si="0"/>
        <v>0</v>
      </c>
    </row>
    <row r="16" spans="1:19" ht="15.75" thickBot="1" x14ac:dyDescent="0.3">
      <c r="A16" s="80"/>
      <c r="B16" s="81"/>
      <c r="C16" s="81"/>
      <c r="D16" s="154"/>
      <c r="E16" s="162"/>
      <c r="F16" s="78"/>
      <c r="G16" s="78"/>
      <c r="H16" s="78"/>
      <c r="I16" s="78"/>
      <c r="J16" s="81"/>
      <c r="K16" s="81"/>
      <c r="L16" s="81"/>
      <c r="M16" s="81"/>
      <c r="N16" s="81"/>
      <c r="O16" s="81"/>
      <c r="P16" s="81"/>
      <c r="Q16" s="73">
        <f t="shared" si="1"/>
        <v>0</v>
      </c>
      <c r="R16" s="165">
        <f t="shared" si="0"/>
        <v>0</v>
      </c>
    </row>
    <row r="17" spans="1:18" ht="15.75" thickBot="1" x14ac:dyDescent="0.3">
      <c r="A17" s="80"/>
      <c r="B17" s="81"/>
      <c r="C17" s="81"/>
      <c r="D17" s="154"/>
      <c r="E17" s="162"/>
      <c r="F17" s="78"/>
      <c r="G17" s="78"/>
      <c r="H17" s="78"/>
      <c r="I17" s="78"/>
      <c r="J17" s="81"/>
      <c r="K17" s="81"/>
      <c r="L17" s="81"/>
      <c r="M17" s="81"/>
      <c r="N17" s="81"/>
      <c r="O17" s="81"/>
      <c r="P17" s="81"/>
      <c r="Q17" s="73">
        <f t="shared" si="1"/>
        <v>0</v>
      </c>
      <c r="R17" s="165">
        <f t="shared" si="0"/>
        <v>0</v>
      </c>
    </row>
    <row r="18" spans="1:18" ht="15.75" thickBot="1" x14ac:dyDescent="0.3">
      <c r="A18" s="80"/>
      <c r="B18" s="81"/>
      <c r="C18" s="81"/>
      <c r="D18" s="154"/>
      <c r="E18" s="162"/>
      <c r="F18" s="78"/>
      <c r="G18" s="78"/>
      <c r="H18" s="78"/>
      <c r="I18" s="78"/>
      <c r="J18" s="81"/>
      <c r="K18" s="81"/>
      <c r="L18" s="81"/>
      <c r="M18" s="81"/>
      <c r="N18" s="81"/>
      <c r="O18" s="81"/>
      <c r="P18" s="81"/>
      <c r="Q18" s="73">
        <f t="shared" si="1"/>
        <v>0</v>
      </c>
      <c r="R18" s="165">
        <f t="shared" si="0"/>
        <v>0</v>
      </c>
    </row>
    <row r="19" spans="1:18" ht="15.75" thickBot="1" x14ac:dyDescent="0.3">
      <c r="A19" s="80"/>
      <c r="B19" s="81"/>
      <c r="C19" s="81"/>
      <c r="D19" s="154"/>
      <c r="E19" s="162"/>
      <c r="F19" s="78"/>
      <c r="G19" s="78"/>
      <c r="H19" s="78"/>
      <c r="I19" s="78"/>
      <c r="J19" s="81"/>
      <c r="K19" s="81"/>
      <c r="L19" s="81"/>
      <c r="M19" s="81"/>
      <c r="N19" s="81"/>
      <c r="O19" s="81"/>
      <c r="P19" s="81"/>
      <c r="Q19" s="73">
        <f t="shared" si="1"/>
        <v>0</v>
      </c>
      <c r="R19" s="165">
        <f t="shared" si="0"/>
        <v>0</v>
      </c>
    </row>
    <row r="20" spans="1:18" ht="15.75" thickBot="1" x14ac:dyDescent="0.3">
      <c r="A20" t="s">
        <v>4</v>
      </c>
      <c r="E20" s="163">
        <f>SUM(E9:E19)</f>
        <v>0</v>
      </c>
      <c r="F20" s="12"/>
      <c r="G20" s="12"/>
      <c r="H20" s="12"/>
      <c r="I20" s="12"/>
      <c r="J20" s="6"/>
      <c r="K20" s="6"/>
      <c r="L20" s="6"/>
      <c r="M20" s="6"/>
      <c r="N20" s="6"/>
      <c r="O20" s="6"/>
      <c r="P20" s="6"/>
      <c r="Q20" s="73">
        <f>SUM(Q9:Q19)</f>
        <v>0</v>
      </c>
      <c r="R20" s="166">
        <f>SUM(R9:R19)</f>
        <v>0</v>
      </c>
    </row>
    <row r="21" spans="1:18" ht="15.75" thickBot="1" x14ac:dyDescent="0.3"/>
    <row r="22" spans="1:18" ht="16.5" thickBot="1" x14ac:dyDescent="0.35">
      <c r="H22" s="291" t="s">
        <v>20</v>
      </c>
      <c r="I22" s="292"/>
      <c r="J22" s="15">
        <f>E20</f>
        <v>0</v>
      </c>
    </row>
    <row r="23" spans="1:18" ht="19.5" thickBot="1" x14ac:dyDescent="0.45">
      <c r="H23" s="279" t="s">
        <v>3</v>
      </c>
      <c r="I23" s="280"/>
      <c r="J23" s="16">
        <f>Q20</f>
        <v>0</v>
      </c>
    </row>
    <row r="24" spans="1:18" ht="19.5" thickBot="1" x14ac:dyDescent="0.45">
      <c r="H24" s="279" t="s">
        <v>7</v>
      </c>
      <c r="I24" s="279"/>
      <c r="J24" s="13">
        <f>R20</f>
        <v>0</v>
      </c>
    </row>
    <row r="26" spans="1:18" ht="18.75" x14ac:dyDescent="0.25">
      <c r="D26" s="137">
        <v>45292</v>
      </c>
      <c r="E26" s="138" t="s">
        <v>47</v>
      </c>
      <c r="F26" s="138" t="s">
        <v>41</v>
      </c>
      <c r="G26" s="138" t="s">
        <v>42</v>
      </c>
      <c r="H26" s="138" t="s">
        <v>43</v>
      </c>
      <c r="I26" s="138" t="s">
        <v>44</v>
      </c>
      <c r="J26" s="139" t="s">
        <v>45</v>
      </c>
      <c r="K26" s="139" t="s">
        <v>46</v>
      </c>
      <c r="L26" s="151"/>
      <c r="M26" s="151"/>
      <c r="N26" s="151"/>
      <c r="O26" s="151"/>
      <c r="P26" s="151"/>
    </row>
    <row r="27" spans="1:18" ht="18.75" x14ac:dyDescent="0.25">
      <c r="D27" s="140" t="s">
        <v>139</v>
      </c>
      <c r="E27" s="141" t="s">
        <v>250</v>
      </c>
      <c r="F27" s="141" t="s">
        <v>251</v>
      </c>
      <c r="G27" s="141" t="s">
        <v>252</v>
      </c>
      <c r="H27" s="141" t="s">
        <v>253</v>
      </c>
      <c r="I27" s="141" t="s">
        <v>254</v>
      </c>
      <c r="J27" s="184" t="s">
        <v>255</v>
      </c>
      <c r="K27" s="184" t="s">
        <v>256</v>
      </c>
      <c r="L27" s="152"/>
      <c r="M27" s="152"/>
      <c r="N27" s="152"/>
      <c r="O27" s="152"/>
      <c r="P27" s="152"/>
    </row>
    <row r="40" spans="11:11" x14ac:dyDescent="0.25">
      <c r="K40" t="s">
        <v>31</v>
      </c>
    </row>
  </sheetData>
  <sheetProtection algorithmName="SHA-512" hashValue="8MItMZUSdCyIP0rZvfoeNd0F2VVgUvb5OOd/6b0GGR/WlDhWz9DUqi9AzUw8QYs7txBBCoHOAyXLAiO35n0szw==" saltValue="SDLsXpGZyCcvXcAXaNMlQA==" spinCount="100000" sheet="1" formatCells="0" formatColumns="0" formatRows="0" insertColumns="0" insertRows="0" insertHyperlinks="0" deleteColumns="0" deleteRows="0" sort="0" autoFilter="0" pivotTables="0"/>
  <autoFilter ref="A8:R8" xr:uid="{2CAA5158-4F01-4AC1-92A2-B96E48605CB9}"/>
  <mergeCells count="9">
    <mergeCell ref="H22:I22"/>
    <mergeCell ref="H23:I23"/>
    <mergeCell ref="H24:I24"/>
    <mergeCell ref="A1:B5"/>
    <mergeCell ref="C1:G2"/>
    <mergeCell ref="H1:I2"/>
    <mergeCell ref="C3:I7"/>
    <mergeCell ref="A6:B6"/>
    <mergeCell ref="A7:B7"/>
  </mergeCells>
  <phoneticPr fontId="18" type="noConversion"/>
  <conditionalFormatting sqref="L27:P27">
    <cfRule type="expression" dxfId="767" priority="13">
      <formula>IFERROR(INDEX(DiasCategorias, L27-FechaInicio+1),0)=1</formula>
    </cfRule>
    <cfRule type="expression" dxfId="766" priority="14">
      <formula>IFERROR(INDEX(DiasCategorias, L27-FechaInicio+1),0)=2</formula>
    </cfRule>
    <cfRule type="expression" dxfId="765" priority="15">
      <formula>IFERROR(INDEX(DiasCategorias, L27-FechaInicio+1),0)=3</formula>
    </cfRule>
    <cfRule type="expression" dxfId="764" priority="16">
      <formula>IFERROR(INDEX(DiasCategorias, L27-FechaInicio+1),0)=4</formula>
    </cfRule>
    <cfRule type="expression" dxfId="763" priority="17">
      <formula>IFERROR(INDEX(DiasCategorias, L27-FechaInicio+1),0)=5</formula>
    </cfRule>
    <cfRule type="expression" dxfId="762" priority="18">
      <formula>IFERROR(INDEX(DiasCategorias, L27-FechaInicio+1),0)=6</formula>
    </cfRule>
    <cfRule type="expression" dxfId="761" priority="19">
      <formula>IFERROR(INDEX(DiasCategorias, L27-FechaInicio+1),0)=7</formula>
    </cfRule>
    <cfRule type="expression" dxfId="760" priority="20">
      <formula>IFERROR(INDEX(DiasCategorias, L27-FechaInicio+1),0)=8</formula>
    </cfRule>
    <cfRule type="expression" dxfId="759" priority="21">
      <formula>IFERROR(INDEX(DiasCategorias, L27-FechaInicio+1),0)=9</formula>
    </cfRule>
    <cfRule type="expression" dxfId="758" priority="22">
      <formula>IFERROR(INDEX(DiasCategorias, L27-FechaInicio+1),0)=10</formula>
    </cfRule>
    <cfRule type="expression" dxfId="757" priority="23">
      <formula>IFERROR(INDEX(DiasCategorias, L27-FechaInicio+1),0)=11</formula>
    </cfRule>
    <cfRule type="expression" dxfId="756" priority="24">
      <formula>IFERROR(INDEX(DiasCategorias, L27-FechaInicio+1),0)=12</formula>
    </cfRule>
  </conditionalFormatting>
  <conditionalFormatting sqref="E27:K27">
    <cfRule type="expression" dxfId="755" priority="1">
      <formula>IFERROR(INDEX(DiasCategorias, E27-FechaInicio+1),0)=1</formula>
    </cfRule>
    <cfRule type="expression" dxfId="754" priority="2">
      <formula>IFERROR(INDEX(DiasCategorias, E27-FechaInicio+1),0)=2</formula>
    </cfRule>
    <cfRule type="expression" dxfId="753" priority="3">
      <formula>IFERROR(INDEX(DiasCategorias, E27-FechaInicio+1),0)=3</formula>
    </cfRule>
    <cfRule type="expression" dxfId="752" priority="4">
      <formula>IFERROR(INDEX(DiasCategorias, E27-FechaInicio+1),0)=4</formula>
    </cfRule>
    <cfRule type="expression" dxfId="751" priority="5">
      <formula>IFERROR(INDEX(DiasCategorias, E27-FechaInicio+1),0)=5</formula>
    </cfRule>
    <cfRule type="expression" dxfId="750" priority="6">
      <formula>IFERROR(INDEX(DiasCategorias, E27-FechaInicio+1),0)=6</formula>
    </cfRule>
    <cfRule type="expression" dxfId="749" priority="7">
      <formula>IFERROR(INDEX(DiasCategorias, E27-FechaInicio+1),0)=7</formula>
    </cfRule>
    <cfRule type="expression" dxfId="748" priority="8">
      <formula>IFERROR(INDEX(DiasCategorias, E27-FechaInicio+1),0)=8</formula>
    </cfRule>
    <cfRule type="expression" dxfId="747" priority="9">
      <formula>IFERROR(INDEX(DiasCategorias, E27-FechaInicio+1),0)=9</formula>
    </cfRule>
    <cfRule type="expression" dxfId="746" priority="10">
      <formula>IFERROR(INDEX(DiasCategorias, E27-FechaInicio+1),0)=10</formula>
    </cfRule>
    <cfRule type="expression" dxfId="745" priority="11">
      <formula>IFERROR(INDEX(DiasCategorias, E27-FechaInicio+1),0)=11</formula>
    </cfRule>
    <cfRule type="expression" dxfId="744" priority="12">
      <formula>IFERROR(INDEX(DiasCategorias, E27-FechaInicio+1),0)=12</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F5AC4-9421-4103-82CE-9FE52ADA1E31}">
  <sheetPr codeName="Hoja39">
    <tabColor theme="7" tint="-0.249977111117893"/>
  </sheetPr>
  <dimension ref="A1:V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5.42578125" customWidth="1"/>
    <col min="7" max="9" width="15.42578125" bestFit="1" customWidth="1"/>
    <col min="10" max="10" width="15.42578125" customWidth="1"/>
    <col min="11" max="19" width="15.42578125" bestFit="1"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16</v>
      </c>
      <c r="B7" s="274"/>
      <c r="C7" s="296"/>
      <c r="D7" s="296"/>
      <c r="E7" s="296"/>
      <c r="F7" s="296"/>
      <c r="G7" s="296"/>
      <c r="H7" s="296"/>
      <c r="I7" s="296"/>
    </row>
    <row r="8" spans="1:22" ht="19.5" thickBot="1" x14ac:dyDescent="0.45">
      <c r="A8" s="29" t="s">
        <v>14</v>
      </c>
      <c r="B8" s="29" t="s">
        <v>15</v>
      </c>
      <c r="C8" s="29" t="s">
        <v>16</v>
      </c>
      <c r="D8" s="29" t="s">
        <v>114</v>
      </c>
      <c r="E8" s="30" t="s">
        <v>17</v>
      </c>
      <c r="F8" s="75" t="s">
        <v>73</v>
      </c>
      <c r="G8" s="75" t="s">
        <v>74</v>
      </c>
      <c r="H8" s="75" t="s">
        <v>75</v>
      </c>
      <c r="I8" s="75" t="s">
        <v>76</v>
      </c>
      <c r="J8" s="75" t="s">
        <v>77</v>
      </c>
      <c r="K8" s="75" t="s">
        <v>78</v>
      </c>
      <c r="L8" s="75" t="s">
        <v>79</v>
      </c>
      <c r="M8" s="75" t="s">
        <v>80</v>
      </c>
      <c r="N8" s="75" t="s">
        <v>81</v>
      </c>
      <c r="O8" s="119" t="s">
        <v>82</v>
      </c>
      <c r="P8" s="119" t="s">
        <v>83</v>
      </c>
      <c r="Q8" s="119" t="s">
        <v>84</v>
      </c>
      <c r="R8" s="119" t="s">
        <v>85</v>
      </c>
      <c r="S8" s="119" t="s">
        <v>86</v>
      </c>
      <c r="T8" s="120" t="s">
        <v>4</v>
      </c>
      <c r="U8" s="164" t="s">
        <v>18</v>
      </c>
    </row>
    <row r="9" spans="1:22" ht="15.75" thickBot="1" x14ac:dyDescent="0.3">
      <c r="A9" s="80"/>
      <c r="B9" s="81"/>
      <c r="C9" s="81"/>
      <c r="D9" s="154"/>
      <c r="E9" s="162"/>
      <c r="F9" s="78"/>
      <c r="G9" s="78"/>
      <c r="H9" s="81"/>
      <c r="I9" s="81"/>
      <c r="J9" s="81"/>
      <c r="K9" s="81"/>
      <c r="L9" s="81"/>
      <c r="M9" s="81"/>
      <c r="N9" s="81"/>
      <c r="O9" s="154"/>
      <c r="P9" s="81"/>
      <c r="Q9" s="81"/>
      <c r="R9" s="81"/>
      <c r="S9" s="81"/>
      <c r="T9" s="73">
        <f>SUM(F9:S9)</f>
        <v>0</v>
      </c>
      <c r="U9" s="165">
        <f t="shared" ref="U9:U19" si="0">E9-T9</f>
        <v>0</v>
      </c>
      <c r="V9">
        <f>_xlfn.ISOWEEKNUM(A9)</f>
        <v>52</v>
      </c>
    </row>
    <row r="10" spans="1:22" ht="15.75" thickBot="1" x14ac:dyDescent="0.3">
      <c r="A10" s="80"/>
      <c r="B10" s="81"/>
      <c r="C10" s="81"/>
      <c r="D10" s="154"/>
      <c r="E10" s="162"/>
      <c r="F10" s="78"/>
      <c r="G10" s="78"/>
      <c r="H10" s="78"/>
      <c r="I10" s="78"/>
      <c r="J10" s="81"/>
      <c r="K10" s="81"/>
      <c r="L10" s="81"/>
      <c r="M10" s="81"/>
      <c r="N10" s="81"/>
      <c r="O10" s="154"/>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81"/>
      <c r="O11" s="154"/>
      <c r="P11" s="81"/>
      <c r="Q11" s="81"/>
      <c r="R11" s="81"/>
      <c r="S11" s="81"/>
      <c r="T11" s="73">
        <f t="shared" si="1"/>
        <v>0</v>
      </c>
      <c r="U11" s="165">
        <f t="shared" si="0"/>
        <v>0</v>
      </c>
    </row>
    <row r="12" spans="1:22" ht="15.75" thickBot="1" x14ac:dyDescent="0.3">
      <c r="A12" s="80"/>
      <c r="B12" s="81"/>
      <c r="C12" s="81"/>
      <c r="D12" s="154"/>
      <c r="E12" s="162"/>
      <c r="F12" s="78"/>
      <c r="G12" s="78"/>
      <c r="H12" s="78"/>
      <c r="I12" s="78"/>
      <c r="J12" s="81"/>
      <c r="K12" s="81"/>
      <c r="L12" s="81"/>
      <c r="M12" s="81"/>
      <c r="N12" s="81"/>
      <c r="O12" s="154"/>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81"/>
      <c r="O13" s="154"/>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154"/>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53"/>
      <c r="O15" s="154"/>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154"/>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154"/>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154"/>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154"/>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155"/>
      <c r="P20" s="6"/>
      <c r="Q20" s="6"/>
      <c r="R20" s="6"/>
      <c r="S20" s="6"/>
      <c r="T20" s="73">
        <f>SUM(T9:T19)</f>
        <v>0</v>
      </c>
      <c r="U20" s="166">
        <f>SUM(U9:U19)</f>
        <v>0</v>
      </c>
    </row>
    <row r="21" spans="1:21" ht="15.75" thickBot="1" x14ac:dyDescent="0.3"/>
    <row r="22" spans="1:21" ht="16.5" thickBot="1" x14ac:dyDescent="0.35">
      <c r="H22" s="291" t="s">
        <v>20</v>
      </c>
      <c r="I22" s="292"/>
      <c r="J22" s="15">
        <f>E20</f>
        <v>0</v>
      </c>
    </row>
    <row r="23" spans="1:21" ht="19.5" thickBot="1" x14ac:dyDescent="0.45">
      <c r="H23" s="279" t="s">
        <v>3</v>
      </c>
      <c r="I23" s="280"/>
      <c r="J23" s="16">
        <f>T20</f>
        <v>0</v>
      </c>
    </row>
    <row r="24" spans="1:21" ht="19.5" thickBot="1" x14ac:dyDescent="0.45">
      <c r="H24" s="279" t="s">
        <v>7</v>
      </c>
      <c r="I24" s="279"/>
      <c r="J24" s="13">
        <f>U20</f>
        <v>0</v>
      </c>
    </row>
    <row r="26" spans="1:21" ht="18.75" x14ac:dyDescent="0.25">
      <c r="D26" s="137">
        <v>45292</v>
      </c>
      <c r="E26" s="138" t="s">
        <v>47</v>
      </c>
      <c r="F26" s="138" t="s">
        <v>41</v>
      </c>
      <c r="G26" s="138" t="s">
        <v>42</v>
      </c>
      <c r="H26" s="138" t="s">
        <v>43</v>
      </c>
      <c r="I26" s="138" t="s">
        <v>44</v>
      </c>
      <c r="J26" s="139" t="s">
        <v>45</v>
      </c>
      <c r="K26" s="139" t="s">
        <v>46</v>
      </c>
    </row>
    <row r="27" spans="1:21" ht="18.75" x14ac:dyDescent="0.25">
      <c r="D27" s="140" t="s">
        <v>140</v>
      </c>
      <c r="E27" s="141" t="s">
        <v>257</v>
      </c>
      <c r="F27" s="141" t="s">
        <v>258</v>
      </c>
      <c r="G27" s="141" t="s">
        <v>259</v>
      </c>
      <c r="H27" s="141" t="s">
        <v>260</v>
      </c>
      <c r="I27" s="141" t="s">
        <v>261</v>
      </c>
      <c r="J27" s="184" t="s">
        <v>262</v>
      </c>
      <c r="K27" s="184" t="s">
        <v>263</v>
      </c>
    </row>
    <row r="40" spans="11:11" x14ac:dyDescent="0.25">
      <c r="K40" t="s">
        <v>31</v>
      </c>
    </row>
  </sheetData>
  <sheetProtection algorithmName="SHA-512" hashValue="T/utxi0BgHb0M27nMryCiV3DpCIXJttNYy6CjdNjBITGj8fSs5gaPqwSTkUAA1FMhiXonGIGK8aCQTAn2t8UKw==" saltValue="MQ7pRcQ49OkkxK5BhHGJ4w==" spinCount="100000" sheet="1" formatCells="0" formatColumns="0" formatRows="0" insertColumns="0" insertRows="0" insertHyperlinks="0" deleteColumns="0" deleteRows="0" sort="0" autoFilter="0" pivotTables="0"/>
  <autoFilter ref="A8:U8" xr:uid="{B6CF5AC4-9421-4103-82CE-9FE52ADA1E31}"/>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743" priority="1">
      <formula>IFERROR(INDEX(DiasCategorias, E27-FechaInicio+1),0)=1</formula>
    </cfRule>
    <cfRule type="expression" dxfId="742" priority="2">
      <formula>IFERROR(INDEX(DiasCategorias, E27-FechaInicio+1),0)=2</formula>
    </cfRule>
    <cfRule type="expression" dxfId="741" priority="3">
      <formula>IFERROR(INDEX(DiasCategorias, E27-FechaInicio+1),0)=3</formula>
    </cfRule>
    <cfRule type="expression" dxfId="740" priority="4">
      <formula>IFERROR(INDEX(DiasCategorias, E27-FechaInicio+1),0)=4</formula>
    </cfRule>
    <cfRule type="expression" dxfId="739" priority="5">
      <formula>IFERROR(INDEX(DiasCategorias, E27-FechaInicio+1),0)=5</formula>
    </cfRule>
    <cfRule type="expression" dxfId="738" priority="6">
      <formula>IFERROR(INDEX(DiasCategorias, E27-FechaInicio+1),0)=6</formula>
    </cfRule>
    <cfRule type="expression" dxfId="737" priority="7">
      <formula>IFERROR(INDEX(DiasCategorias, E27-FechaInicio+1),0)=7</formula>
    </cfRule>
    <cfRule type="expression" dxfId="736" priority="8">
      <formula>IFERROR(INDEX(DiasCategorias, E27-FechaInicio+1),0)=8</formula>
    </cfRule>
    <cfRule type="expression" dxfId="735" priority="9">
      <formula>IFERROR(INDEX(DiasCategorias, E27-FechaInicio+1),0)=9</formula>
    </cfRule>
    <cfRule type="expression" dxfId="734" priority="10">
      <formula>IFERROR(INDEX(DiasCategorias, E27-FechaInicio+1),0)=10</formula>
    </cfRule>
    <cfRule type="expression" dxfId="733" priority="11">
      <formula>IFERROR(INDEX(DiasCategorias, E27-FechaInicio+1),0)=11</formula>
    </cfRule>
    <cfRule type="expression" dxfId="732" priority="12">
      <formula>IFERROR(INDEX(DiasCategorias, E27-FechaInicio+1),0)=12</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1C3F0-23DB-4036-AF56-CFE10F5C64B2}">
  <sheetPr codeName="Hoja38">
    <tabColor theme="8" tint="-0.499984740745262"/>
  </sheetPr>
  <dimension ref="A1:V40"/>
  <sheetViews>
    <sheetView zoomScaleNormal="100"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6.85546875" customWidth="1"/>
    <col min="7" max="7" width="17" customWidth="1"/>
    <col min="8" max="8" width="17.5703125" customWidth="1"/>
    <col min="9" max="9" width="16.7109375" customWidth="1"/>
    <col min="10" max="10" width="15.28515625" customWidth="1"/>
    <col min="11" max="11" width="17.140625" customWidth="1"/>
    <col min="12" max="12" width="16.140625" customWidth="1"/>
    <col min="13" max="13" width="16.5703125" customWidth="1"/>
    <col min="14" max="14" width="15.7109375" customWidth="1"/>
    <col min="15" max="19" width="15.42578125"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17</v>
      </c>
      <c r="B7" s="274"/>
      <c r="C7" s="296"/>
      <c r="D7" s="296"/>
      <c r="E7" s="296"/>
      <c r="F7" s="296"/>
      <c r="G7" s="296"/>
      <c r="H7" s="296"/>
      <c r="I7" s="296"/>
    </row>
    <row r="8" spans="1:22" ht="19.5" thickBot="1" x14ac:dyDescent="0.45">
      <c r="A8" s="29" t="s">
        <v>14</v>
      </c>
      <c r="B8" s="29" t="s">
        <v>15</v>
      </c>
      <c r="C8" s="29" t="s">
        <v>16</v>
      </c>
      <c r="D8" s="29" t="s">
        <v>114</v>
      </c>
      <c r="E8" s="30" t="s">
        <v>17</v>
      </c>
      <c r="F8" s="75" t="s">
        <v>74</v>
      </c>
      <c r="G8" s="75" t="s">
        <v>75</v>
      </c>
      <c r="H8" s="75" t="s">
        <v>76</v>
      </c>
      <c r="I8" s="75" t="s">
        <v>77</v>
      </c>
      <c r="J8" s="75" t="s">
        <v>78</v>
      </c>
      <c r="K8" s="75" t="s">
        <v>79</v>
      </c>
      <c r="L8" s="75" t="s">
        <v>80</v>
      </c>
      <c r="M8" s="75" t="s">
        <v>81</v>
      </c>
      <c r="N8" s="75" t="s">
        <v>82</v>
      </c>
      <c r="O8" s="75" t="s">
        <v>83</v>
      </c>
      <c r="P8" s="75" t="s">
        <v>84</v>
      </c>
      <c r="Q8" s="75" t="s">
        <v>85</v>
      </c>
      <c r="R8" s="75" t="s">
        <v>86</v>
      </c>
      <c r="S8" s="75" t="s">
        <v>87</v>
      </c>
      <c r="T8" s="30" t="s">
        <v>4</v>
      </c>
      <c r="U8" s="164" t="s">
        <v>18</v>
      </c>
    </row>
    <row r="9" spans="1:22" ht="15.75" thickBot="1" x14ac:dyDescent="0.3">
      <c r="A9" s="80"/>
      <c r="B9" s="81"/>
      <c r="C9" s="81"/>
      <c r="D9" s="154"/>
      <c r="E9" s="162"/>
      <c r="F9" s="78"/>
      <c r="G9" s="78"/>
      <c r="H9" s="81"/>
      <c r="I9" s="81"/>
      <c r="J9" s="81"/>
      <c r="K9" s="81"/>
      <c r="L9" s="81"/>
      <c r="M9" s="81"/>
      <c r="N9" s="81"/>
      <c r="O9" s="81"/>
      <c r="P9" s="81"/>
      <c r="Q9" s="81"/>
      <c r="R9" s="81"/>
      <c r="S9" s="81"/>
      <c r="T9" s="73">
        <f>SUM(F9:S9)</f>
        <v>0</v>
      </c>
      <c r="U9" s="165">
        <f t="shared" ref="U9:U19" si="0">E9-T9</f>
        <v>0</v>
      </c>
      <c r="V9">
        <f>_xlfn.ISOWEEKNUM(A9)</f>
        <v>52</v>
      </c>
    </row>
    <row r="10" spans="1:22" ht="15.75" thickBot="1" x14ac:dyDescent="0.3">
      <c r="A10" s="80"/>
      <c r="B10" s="81"/>
      <c r="C10" s="81"/>
      <c r="D10" s="154"/>
      <c r="E10" s="162"/>
      <c r="F10" s="78"/>
      <c r="G10" s="78"/>
      <c r="H10" s="78"/>
      <c r="I10" s="78"/>
      <c r="J10" s="81"/>
      <c r="K10" s="81"/>
      <c r="L10" s="81"/>
      <c r="M10" s="81"/>
      <c r="N10" s="81"/>
      <c r="O10" s="81"/>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81"/>
      <c r="O11" s="81"/>
      <c r="P11" s="81"/>
      <c r="Q11" s="81"/>
      <c r="R11" s="81"/>
      <c r="S11" s="81"/>
      <c r="T11" s="73">
        <f t="shared" si="1"/>
        <v>0</v>
      </c>
      <c r="U11" s="165">
        <f t="shared" si="0"/>
        <v>0</v>
      </c>
    </row>
    <row r="12" spans="1:22" ht="15.75" thickBot="1" x14ac:dyDescent="0.3">
      <c r="A12" s="80"/>
      <c r="B12" s="81"/>
      <c r="C12" s="81"/>
      <c r="D12" s="154"/>
      <c r="E12" s="162"/>
      <c r="F12" s="78"/>
      <c r="G12" s="78"/>
      <c r="H12" s="78"/>
      <c r="I12" s="78"/>
      <c r="J12" s="81"/>
      <c r="K12" s="81"/>
      <c r="L12" s="81"/>
      <c r="M12" s="81"/>
      <c r="N12" s="81"/>
      <c r="O12" s="81"/>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81"/>
      <c r="O13" s="81"/>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81"/>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81"/>
      <c r="O15" s="81"/>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81"/>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81"/>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81"/>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81"/>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6"/>
      <c r="P20" s="6"/>
      <c r="Q20" s="6"/>
      <c r="R20" s="6"/>
      <c r="S20" s="6"/>
      <c r="T20" s="73">
        <f>SUM(T9:T19)</f>
        <v>0</v>
      </c>
      <c r="U20" s="166">
        <f>SUM(U9:U19)</f>
        <v>0</v>
      </c>
    </row>
    <row r="21" spans="1:21" ht="15.75" thickBot="1" x14ac:dyDescent="0.3"/>
    <row r="22" spans="1:21" ht="16.5" thickBot="1" x14ac:dyDescent="0.35">
      <c r="H22" s="291" t="s">
        <v>20</v>
      </c>
      <c r="I22" s="292"/>
      <c r="J22" s="15">
        <f>E20</f>
        <v>0</v>
      </c>
    </row>
    <row r="23" spans="1:21" ht="19.5" thickBot="1" x14ac:dyDescent="0.45">
      <c r="H23" s="279" t="s">
        <v>3</v>
      </c>
      <c r="I23" s="280"/>
      <c r="J23" s="16">
        <f>T20</f>
        <v>0</v>
      </c>
    </row>
    <row r="24" spans="1:21" ht="19.5" thickBot="1" x14ac:dyDescent="0.45">
      <c r="H24" s="279" t="s">
        <v>7</v>
      </c>
      <c r="I24" s="279"/>
      <c r="J24" s="13">
        <f>U20</f>
        <v>0</v>
      </c>
    </row>
    <row r="26" spans="1:21" ht="18.75" x14ac:dyDescent="0.25">
      <c r="D26" s="137">
        <v>45292</v>
      </c>
      <c r="E26" s="138" t="s">
        <v>47</v>
      </c>
      <c r="F26" s="138" t="s">
        <v>41</v>
      </c>
      <c r="G26" s="138" t="s">
        <v>42</v>
      </c>
      <c r="H26" s="138" t="s">
        <v>43</v>
      </c>
      <c r="I26" s="138" t="s">
        <v>44</v>
      </c>
      <c r="J26" s="139" t="s">
        <v>45</v>
      </c>
      <c r="K26" s="139" t="s">
        <v>46</v>
      </c>
    </row>
    <row r="27" spans="1:21" ht="18.75" x14ac:dyDescent="0.25">
      <c r="D27" s="140" t="s">
        <v>141</v>
      </c>
      <c r="E27" s="141" t="s">
        <v>264</v>
      </c>
      <c r="F27" s="141" t="s">
        <v>265</v>
      </c>
      <c r="G27" s="141" t="s">
        <v>266</v>
      </c>
      <c r="H27" s="141" t="s">
        <v>267</v>
      </c>
      <c r="I27" s="141" t="s">
        <v>268</v>
      </c>
      <c r="J27" s="184" t="s">
        <v>269</v>
      </c>
      <c r="K27" s="184" t="s">
        <v>270</v>
      </c>
    </row>
    <row r="40" spans="11:11" x14ac:dyDescent="0.25">
      <c r="K40" t="s">
        <v>31</v>
      </c>
    </row>
  </sheetData>
  <sheetProtection algorithmName="SHA-512" hashValue="TtCNCeJKwFJcg3Ho6Upm/yUwzqjY2ILniMnoTxlsE5mp6vPAp068pwx+3gc0OKoFN9ZzXIG8uqEj7pSViNJweA==" saltValue="QcQ/mH2usC9ByqxfapygBA==" spinCount="100000" sheet="1" formatCells="0" formatColumns="0" formatRows="0" insertColumns="0" insertRows="0" insertHyperlinks="0" deleteColumns="0" deleteRows="0" sort="0" autoFilter="0" pivotTables="0"/>
  <autoFilter ref="A8:U8" xr:uid="{CBE1C3F0-23DB-4036-AF56-CFE10F5C64B2}"/>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731" priority="1">
      <formula>IFERROR(INDEX(DiasCategorias, E27-FechaInicio+1),0)=1</formula>
    </cfRule>
    <cfRule type="expression" dxfId="730" priority="2">
      <formula>IFERROR(INDEX(DiasCategorias, E27-FechaInicio+1),0)=2</formula>
    </cfRule>
    <cfRule type="expression" dxfId="729" priority="3">
      <formula>IFERROR(INDEX(DiasCategorias, E27-FechaInicio+1),0)=3</formula>
    </cfRule>
    <cfRule type="expression" dxfId="728" priority="4">
      <formula>IFERROR(INDEX(DiasCategorias, E27-FechaInicio+1),0)=4</formula>
    </cfRule>
    <cfRule type="expression" dxfId="727" priority="5">
      <formula>IFERROR(INDEX(DiasCategorias, E27-FechaInicio+1),0)=5</formula>
    </cfRule>
    <cfRule type="expression" dxfId="726" priority="6">
      <formula>IFERROR(INDEX(DiasCategorias, E27-FechaInicio+1),0)=6</formula>
    </cfRule>
    <cfRule type="expression" dxfId="725" priority="7">
      <formula>IFERROR(INDEX(DiasCategorias, E27-FechaInicio+1),0)=7</formula>
    </cfRule>
    <cfRule type="expression" dxfId="724" priority="8">
      <formula>IFERROR(INDEX(DiasCategorias, E27-FechaInicio+1),0)=8</formula>
    </cfRule>
    <cfRule type="expression" dxfId="723" priority="9">
      <formula>IFERROR(INDEX(DiasCategorias, E27-FechaInicio+1),0)=9</formula>
    </cfRule>
    <cfRule type="expression" dxfId="722" priority="10">
      <formula>IFERROR(INDEX(DiasCategorias, E27-FechaInicio+1),0)=10</formula>
    </cfRule>
    <cfRule type="expression" dxfId="721" priority="11">
      <formula>IFERROR(INDEX(DiasCategorias, E27-FechaInicio+1),0)=11</formula>
    </cfRule>
    <cfRule type="expression" dxfId="720" priority="12">
      <formula>IFERROR(INDEX(DiasCategorias, E27-FechaInicio+1),0)=12</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BDFEB-A86E-456C-8F26-9B8CD9CF9530}">
  <sheetPr codeName="Hoja37">
    <tabColor theme="5" tint="-0.499984740745262"/>
  </sheetPr>
  <dimension ref="A1:U40"/>
  <sheetViews>
    <sheetView workbookViewId="0">
      <selection activeCell="E27" sqref="E27:K27"/>
    </sheetView>
  </sheetViews>
  <sheetFormatPr baseColWidth="10" defaultRowHeight="15" x14ac:dyDescent="0.25"/>
  <cols>
    <col min="2" max="2" width="9.140625" customWidth="1"/>
    <col min="3" max="3" width="27.5703125" bestFit="1" customWidth="1"/>
    <col min="4" max="4" width="20.28515625" customWidth="1"/>
    <col min="5" max="5" width="13.140625" bestFit="1" customWidth="1"/>
    <col min="6" max="18" width="15.42578125" bestFit="1" customWidth="1"/>
  </cols>
  <sheetData>
    <row r="1" spans="1:21" ht="15" customHeight="1" x14ac:dyDescent="0.25">
      <c r="A1" s="268"/>
      <c r="B1" s="268"/>
      <c r="C1" s="281" t="s">
        <v>8</v>
      </c>
      <c r="D1" s="282"/>
      <c r="E1" s="282"/>
      <c r="F1" s="282"/>
      <c r="G1" s="283"/>
      <c r="H1" s="288"/>
      <c r="I1" s="289"/>
    </row>
    <row r="2" spans="1:21" ht="15.75" customHeight="1" thickBot="1" x14ac:dyDescent="0.3">
      <c r="A2" s="268"/>
      <c r="B2" s="268"/>
      <c r="C2" s="285"/>
      <c r="D2" s="286"/>
      <c r="E2" s="286"/>
      <c r="F2" s="286"/>
      <c r="G2" s="287"/>
      <c r="H2" s="288"/>
      <c r="I2" s="289"/>
    </row>
    <row r="3" spans="1:21" x14ac:dyDescent="0.25">
      <c r="A3" s="268"/>
      <c r="B3" s="268"/>
      <c r="C3" s="268"/>
      <c r="D3" s="268"/>
      <c r="E3" s="268"/>
      <c r="F3" s="268"/>
      <c r="G3" s="268"/>
      <c r="H3" s="268"/>
      <c r="I3" s="268"/>
    </row>
    <row r="4" spans="1:21" x14ac:dyDescent="0.25">
      <c r="A4" s="268"/>
      <c r="B4" s="268"/>
      <c r="C4" s="268"/>
      <c r="D4" s="268"/>
      <c r="E4" s="268"/>
      <c r="F4" s="268"/>
      <c r="G4" s="268"/>
      <c r="H4" s="268"/>
      <c r="I4" s="268"/>
    </row>
    <row r="5" spans="1:21" x14ac:dyDescent="0.25">
      <c r="A5" s="268"/>
      <c r="B5" s="268"/>
      <c r="C5" s="268"/>
      <c r="D5" s="268"/>
      <c r="E5" s="268"/>
      <c r="F5" s="268"/>
      <c r="G5" s="268"/>
      <c r="H5" s="268"/>
      <c r="I5" s="268"/>
    </row>
    <row r="6" spans="1:21" ht="27" x14ac:dyDescent="0.5">
      <c r="A6" s="273" t="s">
        <v>10</v>
      </c>
      <c r="B6" s="273"/>
      <c r="C6" s="268"/>
      <c r="D6" s="268"/>
      <c r="E6" s="268"/>
      <c r="F6" s="268"/>
      <c r="G6" s="268"/>
      <c r="H6" s="268"/>
      <c r="I6" s="268"/>
    </row>
    <row r="7" spans="1:21" ht="27.75" thickBot="1" x14ac:dyDescent="0.55000000000000004">
      <c r="A7" s="274">
        <v>18</v>
      </c>
      <c r="B7" s="274"/>
      <c r="C7" s="296"/>
      <c r="D7" s="296"/>
      <c r="E7" s="296"/>
      <c r="F7" s="296"/>
      <c r="G7" s="296"/>
      <c r="H7" s="296"/>
      <c r="I7" s="296"/>
    </row>
    <row r="8" spans="1:21" ht="19.5" thickBot="1" x14ac:dyDescent="0.45">
      <c r="A8" s="29" t="s">
        <v>14</v>
      </c>
      <c r="B8" s="29" t="s">
        <v>15</v>
      </c>
      <c r="C8" s="29" t="s">
        <v>16</v>
      </c>
      <c r="D8" s="29" t="s">
        <v>114</v>
      </c>
      <c r="E8" s="30" t="s">
        <v>17</v>
      </c>
      <c r="F8" s="75" t="s">
        <v>75</v>
      </c>
      <c r="G8" s="75" t="s">
        <v>76</v>
      </c>
      <c r="H8" s="75" t="s">
        <v>77</v>
      </c>
      <c r="I8" s="75" t="s">
        <v>78</v>
      </c>
      <c r="J8" s="75" t="s">
        <v>79</v>
      </c>
      <c r="K8" s="75" t="s">
        <v>80</v>
      </c>
      <c r="L8" s="75" t="s">
        <v>81</v>
      </c>
      <c r="M8" s="75" t="s">
        <v>82</v>
      </c>
      <c r="N8" s="75" t="s">
        <v>83</v>
      </c>
      <c r="O8" s="75" t="s">
        <v>84</v>
      </c>
      <c r="P8" s="75" t="s">
        <v>85</v>
      </c>
      <c r="Q8" s="75" t="s">
        <v>86</v>
      </c>
      <c r="R8" s="75" t="s">
        <v>87</v>
      </c>
      <c r="S8" s="30" t="s">
        <v>4</v>
      </c>
      <c r="T8" s="164" t="s">
        <v>18</v>
      </c>
    </row>
    <row r="9" spans="1:21" ht="15.75" thickBot="1" x14ac:dyDescent="0.3">
      <c r="A9" s="80"/>
      <c r="B9" s="81"/>
      <c r="C9" s="81"/>
      <c r="D9" s="154"/>
      <c r="E9" s="162"/>
      <c r="F9" s="78"/>
      <c r="G9" s="78"/>
      <c r="H9" s="81"/>
      <c r="I9" s="81"/>
      <c r="J9" s="81"/>
      <c r="K9" s="81"/>
      <c r="L9" s="81"/>
      <c r="M9" s="81"/>
      <c r="N9" s="81"/>
      <c r="O9" s="81"/>
      <c r="P9" s="81"/>
      <c r="Q9" s="81"/>
      <c r="R9" s="81"/>
      <c r="S9" s="73">
        <f>SUM(F9:R9)</f>
        <v>0</v>
      </c>
      <c r="T9" s="165">
        <f t="shared" ref="T9:T19" si="0">E9-S9</f>
        <v>0</v>
      </c>
      <c r="U9">
        <f>_xlfn.ISOWEEKNUM(A9)</f>
        <v>52</v>
      </c>
    </row>
    <row r="10" spans="1:21" ht="15.75" thickBot="1" x14ac:dyDescent="0.3">
      <c r="A10" s="80"/>
      <c r="B10" s="81"/>
      <c r="C10" s="81"/>
      <c r="D10" s="154"/>
      <c r="E10" s="162"/>
      <c r="F10" s="78"/>
      <c r="G10" s="78"/>
      <c r="H10" s="78"/>
      <c r="I10" s="78"/>
      <c r="J10" s="81"/>
      <c r="K10" s="81"/>
      <c r="L10" s="81"/>
      <c r="M10" s="81"/>
      <c r="N10" s="81"/>
      <c r="O10" s="81"/>
      <c r="P10" s="81"/>
      <c r="Q10" s="81"/>
      <c r="R10" s="81"/>
      <c r="S10" s="73">
        <f t="shared" ref="S10:S19" si="1">SUM(F10:R10)</f>
        <v>0</v>
      </c>
      <c r="T10" s="165">
        <f t="shared" si="0"/>
        <v>0</v>
      </c>
    </row>
    <row r="11" spans="1:21" ht="15.75" thickBot="1" x14ac:dyDescent="0.3">
      <c r="A11" s="80"/>
      <c r="B11" s="81"/>
      <c r="C11" s="81"/>
      <c r="D11" s="154"/>
      <c r="E11" s="162"/>
      <c r="F11" s="78"/>
      <c r="G11" s="78"/>
      <c r="H11" s="78"/>
      <c r="I11" s="78"/>
      <c r="J11" s="81"/>
      <c r="K11" s="81"/>
      <c r="L11" s="81"/>
      <c r="M11" s="81"/>
      <c r="N11" s="81"/>
      <c r="O11" s="81"/>
      <c r="P11" s="81"/>
      <c r="Q11" s="81"/>
      <c r="R11" s="81"/>
      <c r="S11" s="73">
        <f t="shared" si="1"/>
        <v>0</v>
      </c>
      <c r="T11" s="165">
        <f t="shared" si="0"/>
        <v>0</v>
      </c>
    </row>
    <row r="12" spans="1:21" ht="15.75" thickBot="1" x14ac:dyDescent="0.3">
      <c r="A12" s="80"/>
      <c r="B12" s="81"/>
      <c r="C12" s="81"/>
      <c r="D12" s="154"/>
      <c r="E12" s="162"/>
      <c r="F12" s="78"/>
      <c r="G12" s="78"/>
      <c r="H12" s="78"/>
      <c r="I12" s="78"/>
      <c r="J12" s="81"/>
      <c r="K12" s="81"/>
      <c r="L12" s="81"/>
      <c r="M12" s="81"/>
      <c r="N12" s="81"/>
      <c r="O12" s="81"/>
      <c r="P12" s="81"/>
      <c r="Q12" s="81"/>
      <c r="R12" s="81"/>
      <c r="S12" s="73">
        <f t="shared" si="1"/>
        <v>0</v>
      </c>
      <c r="T12" s="165">
        <f t="shared" si="0"/>
        <v>0</v>
      </c>
    </row>
    <row r="13" spans="1:21" ht="15.75" thickBot="1" x14ac:dyDescent="0.3">
      <c r="A13" s="80"/>
      <c r="B13" s="81"/>
      <c r="C13" s="81"/>
      <c r="D13" s="154"/>
      <c r="E13" s="162"/>
      <c r="F13" s="78"/>
      <c r="G13" s="78"/>
      <c r="H13" s="78"/>
      <c r="I13" s="78"/>
      <c r="J13" s="81"/>
      <c r="K13" s="81"/>
      <c r="L13" s="81"/>
      <c r="M13" s="81"/>
      <c r="N13" s="81"/>
      <c r="O13" s="81"/>
      <c r="P13" s="81"/>
      <c r="Q13" s="81"/>
      <c r="R13" s="81"/>
      <c r="S13" s="73">
        <f t="shared" si="1"/>
        <v>0</v>
      </c>
      <c r="T13" s="165">
        <f t="shared" si="0"/>
        <v>0</v>
      </c>
    </row>
    <row r="14" spans="1:21" ht="15.75" thickBot="1" x14ac:dyDescent="0.3">
      <c r="A14" s="80"/>
      <c r="B14" s="81"/>
      <c r="C14" s="81"/>
      <c r="D14" s="154"/>
      <c r="E14" s="162"/>
      <c r="F14" s="78"/>
      <c r="G14" s="78"/>
      <c r="H14" s="78"/>
      <c r="I14" s="78"/>
      <c r="J14" s="81"/>
      <c r="K14" s="81"/>
      <c r="L14" s="81"/>
      <c r="M14" s="81"/>
      <c r="N14" s="81"/>
      <c r="O14" s="81"/>
      <c r="P14" s="81"/>
      <c r="Q14" s="81"/>
      <c r="R14" s="81"/>
      <c r="S14" s="73">
        <f t="shared" si="1"/>
        <v>0</v>
      </c>
      <c r="T14" s="165">
        <f t="shared" si="0"/>
        <v>0</v>
      </c>
    </row>
    <row r="15" spans="1:21" ht="15.75" thickBot="1" x14ac:dyDescent="0.3">
      <c r="A15" s="80"/>
      <c r="B15" s="81"/>
      <c r="C15" s="81"/>
      <c r="D15" s="154"/>
      <c r="E15" s="162"/>
      <c r="F15" s="78"/>
      <c r="G15" s="78"/>
      <c r="H15" s="78"/>
      <c r="I15" s="78"/>
      <c r="J15" s="81"/>
      <c r="K15" s="81"/>
      <c r="L15" s="81"/>
      <c r="M15" s="81"/>
      <c r="N15" s="81"/>
      <c r="O15" s="81"/>
      <c r="P15" s="81"/>
      <c r="Q15" s="81"/>
      <c r="R15" s="81"/>
      <c r="S15" s="73">
        <f t="shared" si="1"/>
        <v>0</v>
      </c>
      <c r="T15" s="165">
        <f t="shared" si="0"/>
        <v>0</v>
      </c>
    </row>
    <row r="16" spans="1:21" ht="15.75" thickBot="1" x14ac:dyDescent="0.3">
      <c r="A16" s="80"/>
      <c r="B16" s="81"/>
      <c r="C16" s="81"/>
      <c r="D16" s="154"/>
      <c r="E16" s="162"/>
      <c r="F16" s="78"/>
      <c r="G16" s="78"/>
      <c r="H16" s="78"/>
      <c r="I16" s="78"/>
      <c r="J16" s="81"/>
      <c r="K16" s="81"/>
      <c r="L16" s="81"/>
      <c r="M16" s="81"/>
      <c r="N16" s="81"/>
      <c r="O16" s="81"/>
      <c r="P16" s="81"/>
      <c r="Q16" s="81"/>
      <c r="R16" s="81"/>
      <c r="S16" s="73">
        <f t="shared" si="1"/>
        <v>0</v>
      </c>
      <c r="T16" s="165">
        <f t="shared" si="0"/>
        <v>0</v>
      </c>
    </row>
    <row r="17" spans="1:20" ht="15.75" thickBot="1" x14ac:dyDescent="0.3">
      <c r="A17" s="80"/>
      <c r="B17" s="81"/>
      <c r="C17" s="81"/>
      <c r="D17" s="154"/>
      <c r="E17" s="162"/>
      <c r="F17" s="78"/>
      <c r="G17" s="78"/>
      <c r="H17" s="78"/>
      <c r="I17" s="78"/>
      <c r="J17" s="81"/>
      <c r="K17" s="81"/>
      <c r="L17" s="81"/>
      <c r="M17" s="81"/>
      <c r="N17" s="81"/>
      <c r="O17" s="81"/>
      <c r="P17" s="81"/>
      <c r="Q17" s="81"/>
      <c r="R17" s="81"/>
      <c r="S17" s="73">
        <f t="shared" si="1"/>
        <v>0</v>
      </c>
      <c r="T17" s="165">
        <f t="shared" si="0"/>
        <v>0</v>
      </c>
    </row>
    <row r="18" spans="1:20" ht="15.75" thickBot="1" x14ac:dyDescent="0.3">
      <c r="A18" s="80"/>
      <c r="B18" s="81"/>
      <c r="C18" s="81"/>
      <c r="D18" s="154"/>
      <c r="E18" s="162"/>
      <c r="F18" s="78"/>
      <c r="G18" s="78"/>
      <c r="H18" s="78"/>
      <c r="I18" s="78"/>
      <c r="J18" s="81"/>
      <c r="K18" s="81"/>
      <c r="L18" s="81"/>
      <c r="M18" s="81"/>
      <c r="N18" s="81"/>
      <c r="O18" s="81"/>
      <c r="P18" s="81"/>
      <c r="Q18" s="81"/>
      <c r="R18" s="81"/>
      <c r="S18" s="73">
        <f t="shared" si="1"/>
        <v>0</v>
      </c>
      <c r="T18" s="165">
        <f t="shared" si="0"/>
        <v>0</v>
      </c>
    </row>
    <row r="19" spans="1:20" ht="15.75" thickBot="1" x14ac:dyDescent="0.3">
      <c r="A19" s="80"/>
      <c r="B19" s="81"/>
      <c r="C19" s="81"/>
      <c r="D19" s="154"/>
      <c r="E19" s="162"/>
      <c r="F19" s="78"/>
      <c r="G19" s="78"/>
      <c r="H19" s="78"/>
      <c r="I19" s="78"/>
      <c r="J19" s="81"/>
      <c r="K19" s="81"/>
      <c r="L19" s="81"/>
      <c r="M19" s="81"/>
      <c r="N19" s="81"/>
      <c r="O19" s="81"/>
      <c r="P19" s="81"/>
      <c r="Q19" s="81"/>
      <c r="R19" s="81"/>
      <c r="S19" s="73">
        <f t="shared" si="1"/>
        <v>0</v>
      </c>
      <c r="T19" s="165">
        <f t="shared" si="0"/>
        <v>0</v>
      </c>
    </row>
    <row r="20" spans="1:20" ht="15.75" thickBot="1" x14ac:dyDescent="0.3">
      <c r="A20" t="s">
        <v>4</v>
      </c>
      <c r="E20" s="163">
        <f>SUM(E9:E19)</f>
        <v>0</v>
      </c>
      <c r="F20" s="12"/>
      <c r="G20" s="12"/>
      <c r="H20" s="12"/>
      <c r="I20" s="12"/>
      <c r="J20" s="6"/>
      <c r="K20" s="6"/>
      <c r="L20" s="6"/>
      <c r="M20" s="6"/>
      <c r="N20" s="6"/>
      <c r="O20" s="6"/>
      <c r="P20" s="6"/>
      <c r="Q20" s="6"/>
      <c r="R20" s="6"/>
      <c r="S20" s="73">
        <f>SUM(S9:S19)</f>
        <v>0</v>
      </c>
      <c r="T20" s="166">
        <f>SUM(T9:T19)</f>
        <v>0</v>
      </c>
    </row>
    <row r="21" spans="1:20" ht="15.75" thickBot="1" x14ac:dyDescent="0.3"/>
    <row r="22" spans="1:20" ht="16.5" thickBot="1" x14ac:dyDescent="0.35">
      <c r="H22" s="291" t="s">
        <v>20</v>
      </c>
      <c r="I22" s="292"/>
      <c r="J22" s="15">
        <f>E20</f>
        <v>0</v>
      </c>
    </row>
    <row r="23" spans="1:20" ht="19.5" thickBot="1" x14ac:dyDescent="0.45">
      <c r="H23" s="279" t="s">
        <v>3</v>
      </c>
      <c r="I23" s="280"/>
      <c r="J23" s="16">
        <f>S20</f>
        <v>0</v>
      </c>
    </row>
    <row r="24" spans="1:20" ht="19.5" thickBot="1" x14ac:dyDescent="0.45">
      <c r="H24" s="279" t="s">
        <v>7</v>
      </c>
      <c r="I24" s="279"/>
      <c r="J24" s="13">
        <f>T20</f>
        <v>0</v>
      </c>
    </row>
    <row r="26" spans="1:20" ht="18.75" x14ac:dyDescent="0.25">
      <c r="D26" s="137">
        <v>45292</v>
      </c>
      <c r="E26" s="138" t="s">
        <v>47</v>
      </c>
      <c r="F26" s="138" t="s">
        <v>41</v>
      </c>
      <c r="G26" s="138" t="s">
        <v>42</v>
      </c>
      <c r="H26" s="138" t="s">
        <v>43</v>
      </c>
      <c r="I26" s="138" t="s">
        <v>44</v>
      </c>
      <c r="J26" s="139" t="s">
        <v>45</v>
      </c>
      <c r="K26" s="139" t="s">
        <v>46</v>
      </c>
    </row>
    <row r="27" spans="1:20" ht="18.75" x14ac:dyDescent="0.25">
      <c r="D27" s="140" t="s">
        <v>142</v>
      </c>
      <c r="E27" s="141" t="s">
        <v>271</v>
      </c>
      <c r="F27" s="141" t="s">
        <v>272</v>
      </c>
      <c r="G27" s="141" t="s">
        <v>273</v>
      </c>
      <c r="H27" s="141" t="s">
        <v>274</v>
      </c>
      <c r="I27" s="141" t="s">
        <v>275</v>
      </c>
      <c r="J27" s="184" t="s">
        <v>276</v>
      </c>
      <c r="K27" s="184" t="s">
        <v>277</v>
      </c>
    </row>
    <row r="40" spans="11:11" x14ac:dyDescent="0.25">
      <c r="K40" t="s">
        <v>31</v>
      </c>
    </row>
  </sheetData>
  <sheetProtection algorithmName="SHA-512" hashValue="XG50GDO+f1mlFcrgRndRo5XYF2eUPOVeF6aNaZtbg6AKU4Xp3n4zjVbCF0a/NpeFhj4ixadjCLoT+PUTAnRKtA==" saltValue="1ukB4Q0ykO/Iohj5wj0wKA==" spinCount="100000" sheet="1" formatCells="0" formatColumns="0" formatRows="0" insertColumns="0" insertRows="0" insertHyperlinks="0" deleteColumns="0" deleteRows="0" sort="0" autoFilter="0" pivotTables="0"/>
  <autoFilter ref="A8:T8" xr:uid="{BE0BDFEB-A86E-456C-8F26-9B8CD9CF9530}"/>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719" priority="1">
      <formula>IFERROR(INDEX(DiasCategorias, E27-FechaInicio+1),0)=1</formula>
    </cfRule>
    <cfRule type="expression" dxfId="718" priority="2">
      <formula>IFERROR(INDEX(DiasCategorias, E27-FechaInicio+1),0)=2</formula>
    </cfRule>
    <cfRule type="expression" dxfId="717" priority="3">
      <formula>IFERROR(INDEX(DiasCategorias, E27-FechaInicio+1),0)=3</formula>
    </cfRule>
    <cfRule type="expression" dxfId="716" priority="4">
      <formula>IFERROR(INDEX(DiasCategorias, E27-FechaInicio+1),0)=4</formula>
    </cfRule>
    <cfRule type="expression" dxfId="715" priority="5">
      <formula>IFERROR(INDEX(DiasCategorias, E27-FechaInicio+1),0)=5</formula>
    </cfRule>
    <cfRule type="expression" dxfId="714" priority="6">
      <formula>IFERROR(INDEX(DiasCategorias, E27-FechaInicio+1),0)=6</formula>
    </cfRule>
    <cfRule type="expression" dxfId="713" priority="7">
      <formula>IFERROR(INDEX(DiasCategorias, E27-FechaInicio+1),0)=7</formula>
    </cfRule>
    <cfRule type="expression" dxfId="712" priority="8">
      <formula>IFERROR(INDEX(DiasCategorias, E27-FechaInicio+1),0)=8</formula>
    </cfRule>
    <cfRule type="expression" dxfId="711" priority="9">
      <formula>IFERROR(INDEX(DiasCategorias, E27-FechaInicio+1),0)=9</formula>
    </cfRule>
    <cfRule type="expression" dxfId="710" priority="10">
      <formula>IFERROR(INDEX(DiasCategorias, E27-FechaInicio+1),0)=10</formula>
    </cfRule>
    <cfRule type="expression" dxfId="709" priority="11">
      <formula>IFERROR(INDEX(DiasCategorias, E27-FechaInicio+1),0)=11</formula>
    </cfRule>
    <cfRule type="expression" dxfId="708" priority="12">
      <formula>IFERROR(INDEX(DiasCategorias, E27-FechaInicio+1),0)=12</formula>
    </cfRule>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6ED0E-DC21-40D6-B400-A1B524DC49FB}">
  <sheetPr codeName="Hoja36">
    <tabColor rgb="FF00B0F0"/>
  </sheetPr>
  <dimension ref="A1:R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15" width="15.42578125" bestFit="1" customWidth="1"/>
  </cols>
  <sheetData>
    <row r="1" spans="1:18" ht="15" customHeight="1" x14ac:dyDescent="0.25">
      <c r="A1" s="268"/>
      <c r="B1" s="268"/>
      <c r="C1" s="281" t="s">
        <v>8</v>
      </c>
      <c r="D1" s="282"/>
      <c r="E1" s="282"/>
      <c r="F1" s="282"/>
      <c r="G1" s="283"/>
      <c r="H1" s="288"/>
      <c r="I1" s="289"/>
    </row>
    <row r="2" spans="1:18" ht="15.75" customHeight="1" thickBot="1" x14ac:dyDescent="0.3">
      <c r="A2" s="268"/>
      <c r="B2" s="268"/>
      <c r="C2" s="285"/>
      <c r="D2" s="286"/>
      <c r="E2" s="286"/>
      <c r="F2" s="286"/>
      <c r="G2" s="287"/>
      <c r="H2" s="288"/>
      <c r="I2" s="289"/>
    </row>
    <row r="3" spans="1:18" x14ac:dyDescent="0.25">
      <c r="A3" s="268"/>
      <c r="B3" s="268"/>
      <c r="C3" s="268"/>
      <c r="D3" s="268"/>
      <c r="E3" s="268"/>
      <c r="F3" s="268"/>
      <c r="G3" s="268"/>
      <c r="H3" s="268"/>
      <c r="I3" s="268"/>
    </row>
    <row r="4" spans="1:18" x14ac:dyDescent="0.25">
      <c r="A4" s="268"/>
      <c r="B4" s="268"/>
      <c r="C4" s="268"/>
      <c r="D4" s="268"/>
      <c r="E4" s="268"/>
      <c r="F4" s="268"/>
      <c r="G4" s="268"/>
      <c r="H4" s="268"/>
      <c r="I4" s="268"/>
    </row>
    <row r="5" spans="1:18" x14ac:dyDescent="0.25">
      <c r="A5" s="268"/>
      <c r="B5" s="268"/>
      <c r="C5" s="268"/>
      <c r="D5" s="268"/>
      <c r="E5" s="268"/>
      <c r="F5" s="268"/>
      <c r="G5" s="268"/>
      <c r="H5" s="268"/>
      <c r="I5" s="268"/>
    </row>
    <row r="6" spans="1:18" ht="27" x14ac:dyDescent="0.5">
      <c r="A6" s="273" t="s">
        <v>10</v>
      </c>
      <c r="B6" s="273"/>
      <c r="C6" s="268"/>
      <c r="D6" s="268"/>
      <c r="E6" s="268"/>
      <c r="F6" s="268"/>
      <c r="G6" s="268"/>
      <c r="H6" s="268"/>
      <c r="I6" s="268"/>
    </row>
    <row r="7" spans="1:18" ht="27.75" thickBot="1" x14ac:dyDescent="0.55000000000000004">
      <c r="A7" s="274">
        <v>19</v>
      </c>
      <c r="B7" s="274"/>
      <c r="C7" s="296"/>
      <c r="D7" s="296"/>
      <c r="E7" s="296"/>
      <c r="F7" s="296"/>
      <c r="G7" s="296"/>
      <c r="H7" s="296"/>
      <c r="I7" s="296"/>
    </row>
    <row r="8" spans="1:18" ht="19.5" thickBot="1" x14ac:dyDescent="0.45">
      <c r="A8" s="29" t="s">
        <v>14</v>
      </c>
      <c r="B8" s="29" t="s">
        <v>15</v>
      </c>
      <c r="C8" s="29" t="s">
        <v>16</v>
      </c>
      <c r="D8" s="29" t="s">
        <v>114</v>
      </c>
      <c r="E8" s="30" t="s">
        <v>17</v>
      </c>
      <c r="F8" s="75" t="s">
        <v>76</v>
      </c>
      <c r="G8" s="75" t="s">
        <v>77</v>
      </c>
      <c r="H8" s="75" t="s">
        <v>78</v>
      </c>
      <c r="I8" s="75" t="s">
        <v>79</v>
      </c>
      <c r="J8" s="75" t="s">
        <v>80</v>
      </c>
      <c r="K8" s="75" t="s">
        <v>81</v>
      </c>
      <c r="L8" s="75" t="s">
        <v>82</v>
      </c>
      <c r="M8" s="75" t="s">
        <v>83</v>
      </c>
      <c r="N8" s="75" t="s">
        <v>84</v>
      </c>
      <c r="O8" s="75" t="s">
        <v>85</v>
      </c>
      <c r="P8" s="30" t="s">
        <v>4</v>
      </c>
      <c r="Q8" s="164" t="s">
        <v>18</v>
      </c>
    </row>
    <row r="9" spans="1:18" ht="15.75" thickBot="1" x14ac:dyDescent="0.3">
      <c r="A9" s="80"/>
      <c r="B9" s="81"/>
      <c r="C9" s="81"/>
      <c r="D9" s="154"/>
      <c r="E9" s="162"/>
      <c r="F9" s="78"/>
      <c r="G9" s="78"/>
      <c r="H9" s="206"/>
      <c r="I9" s="81"/>
      <c r="J9" s="81"/>
      <c r="K9" s="81"/>
      <c r="L9" s="81"/>
      <c r="M9" s="81"/>
      <c r="N9" s="81"/>
      <c r="O9" s="81"/>
      <c r="P9" s="73">
        <f>SUM(F9:O9)</f>
        <v>0</v>
      </c>
      <c r="Q9" s="165">
        <f t="shared" ref="Q9:Q19" si="0">E9-P9</f>
        <v>0</v>
      </c>
      <c r="R9">
        <f>_xlfn.ISOWEEKNUM(A9)</f>
        <v>52</v>
      </c>
    </row>
    <row r="10" spans="1:18" ht="15.75" thickBot="1" x14ac:dyDescent="0.3">
      <c r="A10" s="80"/>
      <c r="B10" s="81"/>
      <c r="C10" s="81"/>
      <c r="D10" s="154"/>
      <c r="E10" s="162"/>
      <c r="F10" s="78"/>
      <c r="G10" s="78"/>
      <c r="H10" s="78"/>
      <c r="I10" s="78"/>
      <c r="J10" s="81"/>
      <c r="K10" s="81"/>
      <c r="L10" s="81"/>
      <c r="M10" s="81"/>
      <c r="N10" s="81"/>
      <c r="O10" s="81"/>
      <c r="P10" s="73">
        <f t="shared" ref="P10:P19" si="1">SUM(F10:O10)</f>
        <v>0</v>
      </c>
      <c r="Q10" s="165">
        <f t="shared" si="0"/>
        <v>0</v>
      </c>
    </row>
    <row r="11" spans="1:18" ht="15.75" thickBot="1" x14ac:dyDescent="0.3">
      <c r="A11" s="80"/>
      <c r="B11" s="81"/>
      <c r="C11" s="81"/>
      <c r="D11" s="154"/>
      <c r="E11" s="162"/>
      <c r="F11" s="78"/>
      <c r="G11" s="78"/>
      <c r="H11" s="78"/>
      <c r="I11" s="78"/>
      <c r="J11" s="81"/>
      <c r="K11" s="81"/>
      <c r="L11" s="81"/>
      <c r="M11" s="81"/>
      <c r="N11" s="81"/>
      <c r="O11" s="81"/>
      <c r="P11" s="73">
        <f t="shared" si="1"/>
        <v>0</v>
      </c>
      <c r="Q11" s="165">
        <f t="shared" si="0"/>
        <v>0</v>
      </c>
    </row>
    <row r="12" spans="1:18" ht="15.75" thickBot="1" x14ac:dyDescent="0.3">
      <c r="A12" s="80"/>
      <c r="B12" s="81"/>
      <c r="C12" s="81"/>
      <c r="D12" s="156"/>
      <c r="E12" s="162"/>
      <c r="F12" s="78"/>
      <c r="G12" s="78"/>
      <c r="H12" s="78"/>
      <c r="I12" s="78"/>
      <c r="J12" s="81"/>
      <c r="K12" s="81"/>
      <c r="L12" s="81"/>
      <c r="M12" s="81"/>
      <c r="N12" s="81"/>
      <c r="O12" s="81"/>
      <c r="P12" s="73">
        <f t="shared" si="1"/>
        <v>0</v>
      </c>
      <c r="Q12" s="165">
        <f t="shared" si="0"/>
        <v>0</v>
      </c>
    </row>
    <row r="13" spans="1:18" ht="15.75" thickBot="1" x14ac:dyDescent="0.3">
      <c r="A13" s="80"/>
      <c r="B13" s="81"/>
      <c r="C13" s="81"/>
      <c r="D13" s="154"/>
      <c r="E13" s="162"/>
      <c r="F13" s="78"/>
      <c r="G13" s="78"/>
      <c r="H13" s="78"/>
      <c r="I13" s="78"/>
      <c r="J13" s="81"/>
      <c r="K13" s="81"/>
      <c r="L13" s="81"/>
      <c r="M13" s="81"/>
      <c r="N13" s="81"/>
      <c r="O13" s="81"/>
      <c r="P13" s="73">
        <f t="shared" si="1"/>
        <v>0</v>
      </c>
      <c r="Q13" s="165">
        <f t="shared" si="0"/>
        <v>0</v>
      </c>
    </row>
    <row r="14" spans="1:18" ht="15.75" thickBot="1" x14ac:dyDescent="0.3">
      <c r="A14" s="80"/>
      <c r="B14" s="81"/>
      <c r="C14" s="81"/>
      <c r="D14" s="154"/>
      <c r="E14" s="162"/>
      <c r="F14" s="78"/>
      <c r="G14" s="78"/>
      <c r="H14" s="78"/>
      <c r="I14" s="78"/>
      <c r="J14" s="81"/>
      <c r="K14" s="81"/>
      <c r="L14" s="81"/>
      <c r="M14" s="81"/>
      <c r="N14" s="81"/>
      <c r="O14" s="81"/>
      <c r="P14" s="73">
        <f t="shared" si="1"/>
        <v>0</v>
      </c>
      <c r="Q14" s="165">
        <f t="shared" si="0"/>
        <v>0</v>
      </c>
    </row>
    <row r="15" spans="1:18" ht="15.75" thickBot="1" x14ac:dyDescent="0.3">
      <c r="A15" s="80"/>
      <c r="B15" s="81"/>
      <c r="C15" s="81"/>
      <c r="D15" s="154"/>
      <c r="E15" s="162"/>
      <c r="F15" s="78"/>
      <c r="G15" s="78"/>
      <c r="H15" s="78"/>
      <c r="I15" s="78"/>
      <c r="J15" s="81"/>
      <c r="K15" s="81"/>
      <c r="L15" s="81"/>
      <c r="M15" s="81"/>
      <c r="N15" s="81"/>
      <c r="O15" s="81"/>
      <c r="P15" s="73">
        <f t="shared" si="1"/>
        <v>0</v>
      </c>
      <c r="Q15" s="165">
        <f t="shared" si="0"/>
        <v>0</v>
      </c>
    </row>
    <row r="16" spans="1:18" ht="15.75" thickBot="1" x14ac:dyDescent="0.3">
      <c r="A16" s="80"/>
      <c r="B16" s="81"/>
      <c r="C16" s="81"/>
      <c r="D16" s="154"/>
      <c r="E16" s="162"/>
      <c r="F16" s="78"/>
      <c r="G16" s="78"/>
      <c r="H16" s="78"/>
      <c r="I16" s="78"/>
      <c r="J16" s="81"/>
      <c r="K16" s="81"/>
      <c r="L16" s="81"/>
      <c r="M16" s="81"/>
      <c r="N16" s="81"/>
      <c r="O16" s="81"/>
      <c r="P16" s="73">
        <f t="shared" si="1"/>
        <v>0</v>
      </c>
      <c r="Q16" s="165">
        <f t="shared" si="0"/>
        <v>0</v>
      </c>
    </row>
    <row r="17" spans="1:17" ht="15.75" thickBot="1" x14ac:dyDescent="0.3">
      <c r="A17" s="80"/>
      <c r="B17" s="81"/>
      <c r="C17" s="81"/>
      <c r="D17" s="154"/>
      <c r="E17" s="162"/>
      <c r="F17" s="78"/>
      <c r="G17" s="78"/>
      <c r="H17" s="78"/>
      <c r="I17" s="78"/>
      <c r="J17" s="81"/>
      <c r="K17" s="81"/>
      <c r="L17" s="81"/>
      <c r="M17" s="81"/>
      <c r="N17" s="81"/>
      <c r="O17" s="81"/>
      <c r="P17" s="73">
        <f t="shared" si="1"/>
        <v>0</v>
      </c>
      <c r="Q17" s="165">
        <f t="shared" si="0"/>
        <v>0</v>
      </c>
    </row>
    <row r="18" spans="1:17" ht="15.75" thickBot="1" x14ac:dyDescent="0.3">
      <c r="A18" s="80"/>
      <c r="B18" s="81"/>
      <c r="C18" s="81"/>
      <c r="D18" s="154"/>
      <c r="E18" s="162"/>
      <c r="F18" s="78"/>
      <c r="G18" s="78"/>
      <c r="H18" s="78"/>
      <c r="I18" s="78"/>
      <c r="J18" s="81"/>
      <c r="K18" s="81"/>
      <c r="L18" s="81"/>
      <c r="M18" s="81"/>
      <c r="N18" s="81"/>
      <c r="O18" s="81"/>
      <c r="P18" s="73">
        <f t="shared" si="1"/>
        <v>0</v>
      </c>
      <c r="Q18" s="165">
        <f t="shared" si="0"/>
        <v>0</v>
      </c>
    </row>
    <row r="19" spans="1:17" ht="15.75" thickBot="1" x14ac:dyDescent="0.3">
      <c r="A19" s="80"/>
      <c r="B19" s="81"/>
      <c r="C19" s="81"/>
      <c r="D19" s="154"/>
      <c r="E19" s="162"/>
      <c r="F19" s="78"/>
      <c r="G19" s="78"/>
      <c r="H19" s="78"/>
      <c r="I19" s="78"/>
      <c r="J19" s="81"/>
      <c r="K19" s="81"/>
      <c r="L19" s="81"/>
      <c r="M19" s="81"/>
      <c r="N19" s="81"/>
      <c r="O19" s="81"/>
      <c r="P19" s="73">
        <f t="shared" si="1"/>
        <v>0</v>
      </c>
      <c r="Q19" s="165">
        <f t="shared" si="0"/>
        <v>0</v>
      </c>
    </row>
    <row r="20" spans="1:17" ht="15.75" thickBot="1" x14ac:dyDescent="0.3">
      <c r="A20" t="s">
        <v>4</v>
      </c>
      <c r="E20" s="163">
        <f>SUM(E9:E19)</f>
        <v>0</v>
      </c>
      <c r="F20" s="12"/>
      <c r="G20" s="12"/>
      <c r="H20" s="12"/>
      <c r="I20" s="12"/>
      <c r="J20" s="6"/>
      <c r="K20" s="6"/>
      <c r="L20" s="6"/>
      <c r="M20" s="6"/>
      <c r="N20" s="6"/>
      <c r="O20" s="6"/>
      <c r="P20" s="73">
        <f>SUM(P9:P19)</f>
        <v>0</v>
      </c>
      <c r="Q20" s="166">
        <f>SUM(Q9:Q19)</f>
        <v>0</v>
      </c>
    </row>
    <row r="21" spans="1:17" ht="15.75" thickBot="1" x14ac:dyDescent="0.3"/>
    <row r="22" spans="1:17" ht="16.5" thickBot="1" x14ac:dyDescent="0.35">
      <c r="H22" s="291" t="s">
        <v>20</v>
      </c>
      <c r="I22" s="292"/>
      <c r="J22" s="15">
        <f>E20</f>
        <v>0</v>
      </c>
    </row>
    <row r="23" spans="1:17" ht="19.5" thickBot="1" x14ac:dyDescent="0.45">
      <c r="H23" s="279" t="s">
        <v>3</v>
      </c>
      <c r="I23" s="280"/>
      <c r="J23" s="16">
        <f>P20</f>
        <v>0</v>
      </c>
    </row>
    <row r="24" spans="1:17" ht="19.5" thickBot="1" x14ac:dyDescent="0.45">
      <c r="H24" s="279" t="s">
        <v>7</v>
      </c>
      <c r="I24" s="279"/>
      <c r="J24" s="13">
        <f>Q20</f>
        <v>0</v>
      </c>
    </row>
    <row r="26" spans="1:17" ht="18.75" x14ac:dyDescent="0.25">
      <c r="D26" s="137">
        <v>45292</v>
      </c>
      <c r="E26" s="138" t="s">
        <v>47</v>
      </c>
      <c r="F26" s="138" t="s">
        <v>41</v>
      </c>
      <c r="G26" s="138" t="s">
        <v>42</v>
      </c>
      <c r="H26" s="138" t="s">
        <v>43</v>
      </c>
      <c r="I26" s="138" t="s">
        <v>44</v>
      </c>
      <c r="J26" s="139" t="s">
        <v>45</v>
      </c>
      <c r="K26" s="139" t="s">
        <v>46</v>
      </c>
    </row>
    <row r="27" spans="1:17" ht="18.75" x14ac:dyDescent="0.25">
      <c r="D27" s="140" t="s">
        <v>143</v>
      </c>
      <c r="E27" s="141" t="s">
        <v>278</v>
      </c>
      <c r="F27" s="141" t="s">
        <v>279</v>
      </c>
      <c r="G27" s="141" t="s">
        <v>280</v>
      </c>
      <c r="H27" s="141" t="s">
        <v>281</v>
      </c>
      <c r="I27" s="141" t="s">
        <v>282</v>
      </c>
      <c r="J27" s="184" t="s">
        <v>283</v>
      </c>
      <c r="K27" s="184" t="s">
        <v>284</v>
      </c>
    </row>
    <row r="40" spans="11:11" x14ac:dyDescent="0.25">
      <c r="K40" t="s">
        <v>31</v>
      </c>
    </row>
  </sheetData>
  <sheetProtection algorithmName="SHA-512" hashValue="34UACRfuB5AixQ02FYzsWYMsXx7+v+FCu2/MUBSPMCVLQrOlZxzLltmVof3OREAzSMLzegeiFpTtlmVBV4BLVA==" saltValue="0sD6neaHocoYj++p8+ZY4A==" spinCount="100000" sheet="1" formatCells="0" formatColumns="0" formatRows="0" insertColumns="0" insertRows="0" insertHyperlinks="0" deleteColumns="0" deleteRows="0" sort="0" autoFilter="0" pivotTables="0"/>
  <autoFilter ref="A8:Q8" xr:uid="{BEA6ED0E-DC21-40D6-B400-A1B524DC49FB}"/>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707" priority="1">
      <formula>IFERROR(INDEX(DiasCategorias, E27-FechaInicio+1),0)=1</formula>
    </cfRule>
    <cfRule type="expression" dxfId="706" priority="2">
      <formula>IFERROR(INDEX(DiasCategorias, E27-FechaInicio+1),0)=2</formula>
    </cfRule>
    <cfRule type="expression" dxfId="705" priority="3">
      <formula>IFERROR(INDEX(DiasCategorias, E27-FechaInicio+1),0)=3</formula>
    </cfRule>
    <cfRule type="expression" dxfId="704" priority="4">
      <formula>IFERROR(INDEX(DiasCategorias, E27-FechaInicio+1),0)=4</formula>
    </cfRule>
    <cfRule type="expression" dxfId="703" priority="5">
      <formula>IFERROR(INDEX(DiasCategorias, E27-FechaInicio+1),0)=5</formula>
    </cfRule>
    <cfRule type="expression" dxfId="702" priority="6">
      <formula>IFERROR(INDEX(DiasCategorias, E27-FechaInicio+1),0)=6</formula>
    </cfRule>
    <cfRule type="expression" dxfId="701" priority="7">
      <formula>IFERROR(INDEX(DiasCategorias, E27-FechaInicio+1),0)=7</formula>
    </cfRule>
    <cfRule type="expression" dxfId="700" priority="8">
      <formula>IFERROR(INDEX(DiasCategorias, E27-FechaInicio+1),0)=8</formula>
    </cfRule>
    <cfRule type="expression" dxfId="699" priority="9">
      <formula>IFERROR(INDEX(DiasCategorias, E27-FechaInicio+1),0)=9</formula>
    </cfRule>
    <cfRule type="expression" dxfId="698" priority="10">
      <formula>IFERROR(INDEX(DiasCategorias, E27-FechaInicio+1),0)=10</formula>
    </cfRule>
    <cfRule type="expression" dxfId="697" priority="11">
      <formula>IFERROR(INDEX(DiasCategorias, E27-FechaInicio+1),0)=11</formula>
    </cfRule>
    <cfRule type="expression" dxfId="696" priority="12">
      <formula>IFERROR(INDEX(DiasCategorias, E27-FechaInicio+1),0)=12</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5334B-7D06-4ADF-A13B-4CA45E790189}">
  <sheetPr codeName="Hoja35">
    <tabColor rgb="FFFFC000"/>
  </sheetPr>
  <dimension ref="A1:AD40"/>
  <sheetViews>
    <sheetView workbookViewId="0">
      <selection activeCell="E27" sqref="E27:K27"/>
    </sheetView>
  </sheetViews>
  <sheetFormatPr baseColWidth="10" defaultRowHeight="15" x14ac:dyDescent="0.25"/>
  <cols>
    <col min="2" max="2" width="9.140625" customWidth="1"/>
    <col min="3" max="3" width="31.7109375" customWidth="1"/>
    <col min="4" max="4" width="14.7109375" bestFit="1" customWidth="1"/>
    <col min="5" max="5" width="13.140625" bestFit="1" customWidth="1"/>
    <col min="6" max="27" width="15" customWidth="1"/>
  </cols>
  <sheetData>
    <row r="1" spans="1:30" ht="15" customHeight="1" x14ac:dyDescent="0.25">
      <c r="A1" s="268"/>
      <c r="B1" s="268"/>
      <c r="C1" s="281" t="s">
        <v>8</v>
      </c>
      <c r="D1" s="282"/>
      <c r="E1" s="282"/>
      <c r="F1" s="282"/>
      <c r="G1" s="283"/>
      <c r="H1" s="288"/>
      <c r="I1" s="289"/>
    </row>
    <row r="2" spans="1:30" ht="15.75" customHeight="1" thickBot="1" x14ac:dyDescent="0.3">
      <c r="A2" s="268"/>
      <c r="B2" s="268"/>
      <c r="C2" s="285"/>
      <c r="D2" s="286"/>
      <c r="E2" s="286"/>
      <c r="F2" s="286"/>
      <c r="G2" s="287"/>
      <c r="H2" s="288"/>
      <c r="I2" s="289"/>
    </row>
    <row r="3" spans="1:30" x14ac:dyDescent="0.25">
      <c r="A3" s="268"/>
      <c r="B3" s="268"/>
      <c r="C3" s="268"/>
      <c r="D3" s="268"/>
      <c r="E3" s="268"/>
      <c r="F3" s="268"/>
      <c r="G3" s="268"/>
      <c r="H3" s="268"/>
      <c r="I3" s="268"/>
    </row>
    <row r="4" spans="1:30" x14ac:dyDescent="0.25">
      <c r="A4" s="268"/>
      <c r="B4" s="268"/>
      <c r="C4" s="268"/>
      <c r="D4" s="268"/>
      <c r="E4" s="268"/>
      <c r="F4" s="268"/>
      <c r="G4" s="268"/>
      <c r="H4" s="268"/>
      <c r="I4" s="268"/>
    </row>
    <row r="5" spans="1:30" x14ac:dyDescent="0.25">
      <c r="A5" s="268"/>
      <c r="B5" s="268"/>
      <c r="C5" s="268"/>
      <c r="D5" s="268"/>
      <c r="E5" s="268"/>
      <c r="F5" s="268"/>
      <c r="G5" s="268"/>
      <c r="H5" s="268"/>
      <c r="I5" s="268"/>
    </row>
    <row r="6" spans="1:30" ht="27" x14ac:dyDescent="0.5">
      <c r="A6" s="273" t="s">
        <v>10</v>
      </c>
      <c r="B6" s="273"/>
      <c r="C6" s="268"/>
      <c r="D6" s="268"/>
      <c r="E6" s="268"/>
      <c r="F6" s="268"/>
      <c r="G6" s="268"/>
      <c r="H6" s="268"/>
      <c r="I6" s="268"/>
    </row>
    <row r="7" spans="1:30" ht="27.75" thickBot="1" x14ac:dyDescent="0.55000000000000004">
      <c r="A7" s="274">
        <v>20</v>
      </c>
      <c r="B7" s="274"/>
      <c r="C7" s="296"/>
      <c r="D7" s="296"/>
      <c r="E7" s="296"/>
      <c r="F7" s="296"/>
      <c r="G7" s="296"/>
      <c r="H7" s="296"/>
      <c r="I7" s="296"/>
    </row>
    <row r="8" spans="1:30" ht="19.5" thickBot="1" x14ac:dyDescent="0.45">
      <c r="A8" s="29" t="s">
        <v>14</v>
      </c>
      <c r="B8" s="29" t="s">
        <v>15</v>
      </c>
      <c r="C8" s="29" t="s">
        <v>16</v>
      </c>
      <c r="D8" s="29" t="s">
        <v>114</v>
      </c>
      <c r="E8" s="30" t="s">
        <v>17</v>
      </c>
      <c r="F8" s="75" t="s">
        <v>77</v>
      </c>
      <c r="G8" s="75" t="s">
        <v>78</v>
      </c>
      <c r="H8" s="75" t="s">
        <v>79</v>
      </c>
      <c r="I8" s="75" t="s">
        <v>80</v>
      </c>
      <c r="J8" s="75" t="s">
        <v>81</v>
      </c>
      <c r="K8" s="75" t="s">
        <v>82</v>
      </c>
      <c r="L8" s="75" t="s">
        <v>83</v>
      </c>
      <c r="M8" s="75" t="s">
        <v>84</v>
      </c>
      <c r="N8" s="75" t="s">
        <v>85</v>
      </c>
      <c r="O8" s="75" t="s">
        <v>86</v>
      </c>
      <c r="P8" s="75" t="s">
        <v>87</v>
      </c>
      <c r="Q8" s="75" t="s">
        <v>88</v>
      </c>
      <c r="R8" s="75" t="s">
        <v>89</v>
      </c>
      <c r="S8" s="75" t="s">
        <v>90</v>
      </c>
      <c r="T8" s="75" t="s">
        <v>27</v>
      </c>
      <c r="U8" s="75" t="s">
        <v>19</v>
      </c>
      <c r="V8" s="75" t="s">
        <v>21</v>
      </c>
      <c r="W8" s="75" t="s">
        <v>28</v>
      </c>
      <c r="X8" s="75" t="s">
        <v>29</v>
      </c>
      <c r="Y8" s="75" t="s">
        <v>30</v>
      </c>
      <c r="Z8" s="75" t="s">
        <v>32</v>
      </c>
      <c r="AA8" s="75" t="s">
        <v>33</v>
      </c>
      <c r="AB8" s="30" t="s">
        <v>4</v>
      </c>
      <c r="AC8" s="164" t="s">
        <v>18</v>
      </c>
    </row>
    <row r="9" spans="1:30" ht="15.75" thickBot="1" x14ac:dyDescent="0.3">
      <c r="A9" s="80"/>
      <c r="B9" s="81"/>
      <c r="C9" s="81"/>
      <c r="D9" s="154"/>
      <c r="E9" s="162"/>
      <c r="F9" s="78"/>
      <c r="G9" s="78"/>
      <c r="H9" s="81"/>
      <c r="I9" s="81"/>
      <c r="J9" s="81"/>
      <c r="K9" s="81"/>
      <c r="L9" s="81"/>
      <c r="M9" s="81"/>
      <c r="N9" s="81"/>
      <c r="O9" s="81"/>
      <c r="P9" s="81"/>
      <c r="Q9" s="81"/>
      <c r="R9" s="81"/>
      <c r="S9" s="81"/>
      <c r="T9" s="81"/>
      <c r="U9" s="81"/>
      <c r="V9" s="81"/>
      <c r="W9" s="81"/>
      <c r="X9" s="81"/>
      <c r="Y9" s="81"/>
      <c r="Z9" s="81"/>
      <c r="AA9" s="81"/>
      <c r="AB9" s="73">
        <f>SUM(F9:AA9)</f>
        <v>0</v>
      </c>
      <c r="AC9" s="165">
        <f t="shared" ref="AC9:AC19" si="0">E9-AB9</f>
        <v>0</v>
      </c>
      <c r="AD9">
        <f>_xlfn.ISOWEEKNUM(A9)</f>
        <v>52</v>
      </c>
    </row>
    <row r="10" spans="1:30" ht="15.75" thickBot="1" x14ac:dyDescent="0.3">
      <c r="A10" s="80"/>
      <c r="B10" s="81"/>
      <c r="C10" s="81"/>
      <c r="D10" s="156"/>
      <c r="E10" s="162"/>
      <c r="F10" s="78"/>
      <c r="G10" s="78"/>
      <c r="H10" s="78"/>
      <c r="I10" s="78"/>
      <c r="J10" s="81"/>
      <c r="K10" s="81"/>
      <c r="L10" s="81"/>
      <c r="M10" s="81"/>
      <c r="N10" s="81"/>
      <c r="O10" s="81"/>
      <c r="P10" s="81"/>
      <c r="Q10" s="81"/>
      <c r="R10" s="81"/>
      <c r="S10" s="81"/>
      <c r="T10" s="81"/>
      <c r="U10" s="81"/>
      <c r="V10" s="81"/>
      <c r="W10" s="81"/>
      <c r="X10" s="81"/>
      <c r="Y10" s="81"/>
      <c r="Z10" s="81"/>
      <c r="AA10" s="81"/>
      <c r="AB10" s="73">
        <f t="shared" ref="AB10:AB19" si="1">SUM(F10:AA10)</f>
        <v>0</v>
      </c>
      <c r="AC10" s="165">
        <f t="shared" si="0"/>
        <v>0</v>
      </c>
    </row>
    <row r="11" spans="1:30" ht="15.75" thickBot="1" x14ac:dyDescent="0.3">
      <c r="A11" s="80"/>
      <c r="B11" s="81"/>
      <c r="C11" s="81"/>
      <c r="D11" s="154"/>
      <c r="E11" s="162"/>
      <c r="F11" s="78"/>
      <c r="G11" s="78"/>
      <c r="H11" s="78"/>
      <c r="I11" s="78"/>
      <c r="J11" s="81"/>
      <c r="K11" s="81"/>
      <c r="L11" s="81"/>
      <c r="M11" s="81"/>
      <c r="N11" s="81"/>
      <c r="O11" s="81"/>
      <c r="P11" s="81"/>
      <c r="Q11" s="81"/>
      <c r="R11" s="81"/>
      <c r="S11" s="81"/>
      <c r="T11" s="81"/>
      <c r="U11" s="81"/>
      <c r="V11" s="81"/>
      <c r="W11" s="81"/>
      <c r="X11" s="81"/>
      <c r="Y11" s="81"/>
      <c r="Z11" s="81"/>
      <c r="AA11" s="81"/>
      <c r="AB11" s="73">
        <f t="shared" si="1"/>
        <v>0</v>
      </c>
      <c r="AC11" s="165">
        <f t="shared" si="0"/>
        <v>0</v>
      </c>
    </row>
    <row r="12" spans="1:30" ht="15.75" thickBot="1" x14ac:dyDescent="0.3">
      <c r="A12" s="80"/>
      <c r="B12" s="81"/>
      <c r="C12" s="81"/>
      <c r="D12" s="156"/>
      <c r="E12" s="162"/>
      <c r="F12" s="78"/>
      <c r="G12" s="78"/>
      <c r="H12" s="78"/>
      <c r="I12" s="78"/>
      <c r="J12" s="81"/>
      <c r="K12" s="81"/>
      <c r="L12" s="81"/>
      <c r="M12" s="81"/>
      <c r="N12" s="81"/>
      <c r="O12" s="81"/>
      <c r="P12" s="81"/>
      <c r="Q12" s="53"/>
      <c r="R12" s="81"/>
      <c r="S12" s="81"/>
      <c r="T12" s="81"/>
      <c r="U12" s="81"/>
      <c r="V12" s="81"/>
      <c r="W12" s="81"/>
      <c r="X12" s="81"/>
      <c r="Y12" s="81"/>
      <c r="Z12" s="81"/>
      <c r="AA12" s="81"/>
      <c r="AB12" s="73">
        <f t="shared" si="1"/>
        <v>0</v>
      </c>
      <c r="AC12" s="165">
        <f t="shared" si="0"/>
        <v>0</v>
      </c>
    </row>
    <row r="13" spans="1:30" ht="15.75" thickBot="1" x14ac:dyDescent="0.3">
      <c r="A13" s="80"/>
      <c r="B13" s="81"/>
      <c r="C13" s="81"/>
      <c r="D13" s="154"/>
      <c r="E13" s="162"/>
      <c r="F13" s="78"/>
      <c r="G13" s="78"/>
      <c r="H13" s="78"/>
      <c r="I13" s="78"/>
      <c r="J13" s="81"/>
      <c r="K13" s="81"/>
      <c r="L13" s="81"/>
      <c r="M13" s="81"/>
      <c r="N13" s="81"/>
      <c r="O13" s="81"/>
      <c r="P13" s="81"/>
      <c r="Q13" s="81"/>
      <c r="R13" s="81"/>
      <c r="S13" s="81"/>
      <c r="T13" s="81"/>
      <c r="U13" s="81"/>
      <c r="V13" s="81"/>
      <c r="W13" s="81"/>
      <c r="X13" s="81"/>
      <c r="Y13" s="81"/>
      <c r="Z13" s="81"/>
      <c r="AA13" s="81"/>
      <c r="AB13" s="73">
        <f t="shared" si="1"/>
        <v>0</v>
      </c>
      <c r="AC13" s="165">
        <f t="shared" si="0"/>
        <v>0</v>
      </c>
    </row>
    <row r="14" spans="1:30" ht="15.75" thickBot="1" x14ac:dyDescent="0.3">
      <c r="A14" s="80"/>
      <c r="B14" s="81"/>
      <c r="C14" s="81"/>
      <c r="D14" s="154"/>
      <c r="E14" s="162"/>
      <c r="F14" s="78"/>
      <c r="G14" s="78"/>
      <c r="H14" s="78"/>
      <c r="I14" s="78"/>
      <c r="J14" s="81"/>
      <c r="K14" s="81"/>
      <c r="L14" s="81"/>
      <c r="M14" s="81"/>
      <c r="N14" s="81"/>
      <c r="O14" s="81"/>
      <c r="P14" s="81"/>
      <c r="Q14" s="81"/>
      <c r="R14" s="81"/>
      <c r="S14" s="81"/>
      <c r="T14" s="81"/>
      <c r="U14" s="81"/>
      <c r="V14" s="81"/>
      <c r="W14" s="81"/>
      <c r="X14" s="81"/>
      <c r="Y14" s="81"/>
      <c r="Z14" s="81"/>
      <c r="AA14" s="81"/>
      <c r="AB14" s="73">
        <f t="shared" si="1"/>
        <v>0</v>
      </c>
      <c r="AC14" s="165">
        <f t="shared" si="0"/>
        <v>0</v>
      </c>
    </row>
    <row r="15" spans="1:30" ht="15.75" thickBot="1" x14ac:dyDescent="0.3">
      <c r="A15" s="80"/>
      <c r="B15" s="81"/>
      <c r="C15" s="81"/>
      <c r="D15" s="154"/>
      <c r="E15" s="162"/>
      <c r="F15" s="78"/>
      <c r="G15" s="78"/>
      <c r="H15" s="78"/>
      <c r="I15" s="78"/>
      <c r="J15" s="81"/>
      <c r="K15" s="81"/>
      <c r="L15" s="81"/>
      <c r="M15" s="81"/>
      <c r="N15" s="81"/>
      <c r="O15" s="81"/>
      <c r="P15" s="81"/>
      <c r="Q15" s="81"/>
      <c r="R15" s="81"/>
      <c r="S15" s="81"/>
      <c r="T15" s="81"/>
      <c r="U15" s="81"/>
      <c r="V15" s="81"/>
      <c r="W15" s="81"/>
      <c r="X15" s="81"/>
      <c r="Y15" s="81"/>
      <c r="Z15" s="81"/>
      <c r="AA15" s="81"/>
      <c r="AB15" s="73">
        <f t="shared" si="1"/>
        <v>0</v>
      </c>
      <c r="AC15" s="165">
        <f t="shared" si="0"/>
        <v>0</v>
      </c>
    </row>
    <row r="16" spans="1:30" ht="15.75" thickBot="1" x14ac:dyDescent="0.3">
      <c r="A16" s="80"/>
      <c r="B16" s="81"/>
      <c r="C16" s="81"/>
      <c r="D16" s="154"/>
      <c r="E16" s="162"/>
      <c r="F16" s="78"/>
      <c r="G16" s="78"/>
      <c r="H16" s="78"/>
      <c r="I16" s="78"/>
      <c r="J16" s="81"/>
      <c r="K16" s="81"/>
      <c r="L16" s="81"/>
      <c r="M16" s="81"/>
      <c r="N16" s="81"/>
      <c r="O16" s="81"/>
      <c r="P16" s="81"/>
      <c r="Q16" s="81"/>
      <c r="R16" s="81"/>
      <c r="S16" s="81"/>
      <c r="T16" s="81"/>
      <c r="U16" s="81"/>
      <c r="V16" s="81"/>
      <c r="W16" s="81"/>
      <c r="X16" s="81"/>
      <c r="Y16" s="81"/>
      <c r="Z16" s="81"/>
      <c r="AA16" s="81"/>
      <c r="AB16" s="73">
        <f t="shared" si="1"/>
        <v>0</v>
      </c>
      <c r="AC16" s="165">
        <f t="shared" si="0"/>
        <v>0</v>
      </c>
    </row>
    <row r="17" spans="1:29" ht="15.75" thickBot="1" x14ac:dyDescent="0.3">
      <c r="A17" s="80"/>
      <c r="B17" s="81"/>
      <c r="C17" s="81"/>
      <c r="D17" s="154"/>
      <c r="E17" s="162"/>
      <c r="F17" s="78"/>
      <c r="G17" s="78"/>
      <c r="H17" s="78"/>
      <c r="I17" s="78"/>
      <c r="J17" s="81"/>
      <c r="K17" s="81"/>
      <c r="L17" s="81"/>
      <c r="M17" s="81"/>
      <c r="N17" s="81"/>
      <c r="O17" s="81"/>
      <c r="P17" s="81"/>
      <c r="Q17" s="81"/>
      <c r="R17" s="81"/>
      <c r="S17" s="81"/>
      <c r="T17" s="81"/>
      <c r="U17" s="81"/>
      <c r="V17" s="81"/>
      <c r="W17" s="81"/>
      <c r="X17" s="81"/>
      <c r="Y17" s="81"/>
      <c r="Z17" s="81"/>
      <c r="AA17" s="81"/>
      <c r="AB17" s="73">
        <f t="shared" si="1"/>
        <v>0</v>
      </c>
      <c r="AC17" s="165">
        <f t="shared" si="0"/>
        <v>0</v>
      </c>
    </row>
    <row r="18" spans="1:29" ht="15.75" thickBot="1" x14ac:dyDescent="0.3">
      <c r="A18" s="80"/>
      <c r="B18" s="81"/>
      <c r="C18" s="81"/>
      <c r="D18" s="154"/>
      <c r="E18" s="162"/>
      <c r="F18" s="78"/>
      <c r="G18" s="78"/>
      <c r="H18" s="78"/>
      <c r="I18" s="78"/>
      <c r="J18" s="81"/>
      <c r="K18" s="81"/>
      <c r="L18" s="81"/>
      <c r="M18" s="81"/>
      <c r="N18" s="81"/>
      <c r="O18" s="81"/>
      <c r="P18" s="81"/>
      <c r="Q18" s="81"/>
      <c r="R18" s="81"/>
      <c r="S18" s="81"/>
      <c r="T18" s="81"/>
      <c r="U18" s="81"/>
      <c r="V18" s="81"/>
      <c r="W18" s="81"/>
      <c r="X18" s="81"/>
      <c r="Y18" s="81"/>
      <c r="Z18" s="81"/>
      <c r="AA18" s="81"/>
      <c r="AB18" s="73">
        <f t="shared" si="1"/>
        <v>0</v>
      </c>
      <c r="AC18" s="165">
        <f t="shared" si="0"/>
        <v>0</v>
      </c>
    </row>
    <row r="19" spans="1:29" ht="15.75" thickBot="1" x14ac:dyDescent="0.3">
      <c r="A19" s="80"/>
      <c r="B19" s="81"/>
      <c r="C19" s="81"/>
      <c r="D19" s="154"/>
      <c r="E19" s="162"/>
      <c r="F19" s="78"/>
      <c r="G19" s="78"/>
      <c r="H19" s="78"/>
      <c r="I19" s="78"/>
      <c r="J19" s="81"/>
      <c r="K19" s="81"/>
      <c r="L19" s="81"/>
      <c r="M19" s="81"/>
      <c r="N19" s="81"/>
      <c r="O19" s="81"/>
      <c r="P19" s="81"/>
      <c r="Q19" s="81"/>
      <c r="R19" s="81"/>
      <c r="S19" s="81"/>
      <c r="T19" s="81"/>
      <c r="U19" s="81"/>
      <c r="V19" s="81"/>
      <c r="W19" s="81"/>
      <c r="X19" s="81"/>
      <c r="Y19" s="81"/>
      <c r="Z19" s="81"/>
      <c r="AA19" s="81"/>
      <c r="AB19" s="73">
        <f t="shared" si="1"/>
        <v>0</v>
      </c>
      <c r="AC19" s="165">
        <f t="shared" si="0"/>
        <v>0</v>
      </c>
    </row>
    <row r="20" spans="1:29" ht="15.75" thickBot="1" x14ac:dyDescent="0.3">
      <c r="A20" t="s">
        <v>4</v>
      </c>
      <c r="E20" s="163">
        <f>SUM(E9:E19)</f>
        <v>0</v>
      </c>
      <c r="F20" s="12"/>
      <c r="G20" s="12"/>
      <c r="H20" s="12"/>
      <c r="I20" s="12"/>
      <c r="J20" s="6"/>
      <c r="K20" s="6"/>
      <c r="L20" s="6"/>
      <c r="M20" s="6"/>
      <c r="N20" s="6"/>
      <c r="O20" s="6"/>
      <c r="P20" s="6"/>
      <c r="Q20" s="81"/>
      <c r="R20" s="81"/>
      <c r="S20" s="81"/>
      <c r="T20" s="81"/>
      <c r="U20" s="81"/>
      <c r="V20" s="81"/>
      <c r="W20" s="81"/>
      <c r="X20" s="81"/>
      <c r="Y20" s="81"/>
      <c r="Z20" s="81"/>
      <c r="AA20" s="81"/>
      <c r="AB20" s="73">
        <f>SUM(AB9:AB19)</f>
        <v>0</v>
      </c>
      <c r="AC20" s="166">
        <f>SUM(AC9:AC19)</f>
        <v>0</v>
      </c>
    </row>
    <row r="21" spans="1:29" ht="15.75" thickBot="1" x14ac:dyDescent="0.3"/>
    <row r="22" spans="1:29" ht="16.5" thickBot="1" x14ac:dyDescent="0.35">
      <c r="H22" s="291" t="s">
        <v>20</v>
      </c>
      <c r="I22" s="292"/>
      <c r="J22" s="15">
        <f>E20</f>
        <v>0</v>
      </c>
    </row>
    <row r="23" spans="1:29" ht="19.5" thickBot="1" x14ac:dyDescent="0.45">
      <c r="H23" s="279" t="s">
        <v>3</v>
      </c>
      <c r="I23" s="280"/>
      <c r="J23" s="16">
        <f>AB20</f>
        <v>0</v>
      </c>
    </row>
    <row r="24" spans="1:29" ht="19.5" thickBot="1" x14ac:dyDescent="0.45">
      <c r="H24" s="279" t="s">
        <v>7</v>
      </c>
      <c r="I24" s="279"/>
      <c r="J24" s="13">
        <f>AC20</f>
        <v>0</v>
      </c>
    </row>
    <row r="26" spans="1:29"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c r="U26" s="151"/>
      <c r="V26" s="151"/>
      <c r="W26" s="151"/>
      <c r="X26" s="151"/>
      <c r="Y26" s="151"/>
      <c r="Z26" s="151"/>
      <c r="AA26" s="151"/>
    </row>
    <row r="27" spans="1:29" ht="18.75" x14ac:dyDescent="0.25">
      <c r="D27" s="140" t="s">
        <v>144</v>
      </c>
      <c r="E27" s="141" t="s">
        <v>285</v>
      </c>
      <c r="F27" s="141" t="s">
        <v>286</v>
      </c>
      <c r="G27" s="141" t="s">
        <v>287</v>
      </c>
      <c r="H27" s="141" t="s">
        <v>288</v>
      </c>
      <c r="I27" s="141" t="s">
        <v>289</v>
      </c>
      <c r="J27" s="184" t="s">
        <v>290</v>
      </c>
      <c r="K27" s="184" t="s">
        <v>291</v>
      </c>
      <c r="L27" s="152"/>
      <c r="M27" s="152"/>
      <c r="N27" s="152"/>
      <c r="O27" s="152"/>
      <c r="P27" s="152"/>
      <c r="Q27" s="152"/>
      <c r="R27" s="152"/>
      <c r="S27" s="152"/>
      <c r="T27" s="152"/>
      <c r="U27" s="152"/>
      <c r="V27" s="152"/>
      <c r="W27" s="152"/>
      <c r="X27" s="152"/>
      <c r="Y27" s="152"/>
      <c r="Z27" s="152"/>
      <c r="AA27" s="152"/>
    </row>
    <row r="40" spans="11:11" x14ac:dyDescent="0.25">
      <c r="K40" t="s">
        <v>31</v>
      </c>
    </row>
  </sheetData>
  <sheetProtection algorithmName="SHA-512" hashValue="c8uKCtv6ns8PSq9D/1cWSNqHY6dhx6IKVAaFUmhPceO7xiNlEetYaiL/KbC44ZSEwwIHjGb1L76ahaHifzg3gQ==" saltValue="Pr7wtFpxQ76XFOu/bIgSow==" spinCount="100000" sheet="1" formatCells="0" formatColumns="0" formatRows="0" insertColumns="0" insertRows="0" insertHyperlinks="0" deleteColumns="0" deleteRows="0" sort="0" autoFilter="0" pivotTables="0"/>
  <autoFilter ref="A8:AC8" xr:uid="{72F5334B-7D06-4ADF-A13B-4CA45E790189}"/>
  <mergeCells count="9">
    <mergeCell ref="H22:I22"/>
    <mergeCell ref="H23:I23"/>
    <mergeCell ref="H24:I24"/>
    <mergeCell ref="A1:B5"/>
    <mergeCell ref="C1:G2"/>
    <mergeCell ref="H1:I2"/>
    <mergeCell ref="C3:I7"/>
    <mergeCell ref="A6:B6"/>
    <mergeCell ref="A7:B7"/>
  </mergeCells>
  <phoneticPr fontId="18" type="noConversion"/>
  <conditionalFormatting sqref="L27:AA27">
    <cfRule type="expression" dxfId="695" priority="25">
      <formula>IFERROR(INDEX(DiasCategorias, L27-FechaInicio+1),0)=1</formula>
    </cfRule>
    <cfRule type="expression" dxfId="694" priority="26">
      <formula>IFERROR(INDEX(DiasCategorias, L27-FechaInicio+1),0)=2</formula>
    </cfRule>
    <cfRule type="expression" dxfId="693" priority="27">
      <formula>IFERROR(INDEX(DiasCategorias, L27-FechaInicio+1),0)=3</formula>
    </cfRule>
    <cfRule type="expression" dxfId="692" priority="28">
      <formula>IFERROR(INDEX(DiasCategorias, L27-FechaInicio+1),0)=4</formula>
    </cfRule>
    <cfRule type="expression" dxfId="691" priority="29">
      <formula>IFERROR(INDEX(DiasCategorias, L27-FechaInicio+1),0)=5</formula>
    </cfRule>
    <cfRule type="expression" dxfId="690" priority="30">
      <formula>IFERROR(INDEX(DiasCategorias, L27-FechaInicio+1),0)=6</formula>
    </cfRule>
    <cfRule type="expression" dxfId="689" priority="31">
      <formula>IFERROR(INDEX(DiasCategorias, L27-FechaInicio+1),0)=7</formula>
    </cfRule>
    <cfRule type="expression" dxfId="688" priority="32">
      <formula>IFERROR(INDEX(DiasCategorias, L27-FechaInicio+1),0)=8</formula>
    </cfRule>
    <cfRule type="expression" dxfId="687" priority="33">
      <formula>IFERROR(INDEX(DiasCategorias, L27-FechaInicio+1),0)=9</formula>
    </cfRule>
    <cfRule type="expression" dxfId="686" priority="34">
      <formula>IFERROR(INDEX(DiasCategorias, L27-FechaInicio+1),0)=10</formula>
    </cfRule>
    <cfRule type="expression" dxfId="685" priority="35">
      <formula>IFERROR(INDEX(DiasCategorias, L27-FechaInicio+1),0)=11</formula>
    </cfRule>
    <cfRule type="expression" dxfId="684" priority="36">
      <formula>IFERROR(INDEX(DiasCategorias, L27-FechaInicio+1),0)=12</formula>
    </cfRule>
  </conditionalFormatting>
  <conditionalFormatting sqref="E27:K27">
    <cfRule type="expression" dxfId="683" priority="1">
      <formula>IFERROR(INDEX(DiasCategorias, E27-FechaInicio+1),0)=1</formula>
    </cfRule>
    <cfRule type="expression" dxfId="682" priority="2">
      <formula>IFERROR(INDEX(DiasCategorias, E27-FechaInicio+1),0)=2</formula>
    </cfRule>
    <cfRule type="expression" dxfId="681" priority="3">
      <formula>IFERROR(INDEX(DiasCategorias, E27-FechaInicio+1),0)=3</formula>
    </cfRule>
    <cfRule type="expression" dxfId="680" priority="4">
      <formula>IFERROR(INDEX(DiasCategorias, E27-FechaInicio+1),0)=4</formula>
    </cfRule>
    <cfRule type="expression" dxfId="679" priority="5">
      <formula>IFERROR(INDEX(DiasCategorias, E27-FechaInicio+1),0)=5</formula>
    </cfRule>
    <cfRule type="expression" dxfId="678" priority="6">
      <formula>IFERROR(INDEX(DiasCategorias, E27-FechaInicio+1),0)=6</formula>
    </cfRule>
    <cfRule type="expression" dxfId="677" priority="7">
      <formula>IFERROR(INDEX(DiasCategorias, E27-FechaInicio+1),0)=7</formula>
    </cfRule>
    <cfRule type="expression" dxfId="676" priority="8">
      <formula>IFERROR(INDEX(DiasCategorias, E27-FechaInicio+1),0)=8</formula>
    </cfRule>
    <cfRule type="expression" dxfId="675" priority="9">
      <formula>IFERROR(INDEX(DiasCategorias, E27-FechaInicio+1),0)=9</formula>
    </cfRule>
    <cfRule type="expression" dxfId="674" priority="10">
      <formula>IFERROR(INDEX(DiasCategorias, E27-FechaInicio+1),0)=10</formula>
    </cfRule>
    <cfRule type="expression" dxfId="673" priority="11">
      <formula>IFERROR(INDEX(DiasCategorias, E27-FechaInicio+1),0)=11</formula>
    </cfRule>
    <cfRule type="expression" dxfId="672" priority="12">
      <formula>IFERROR(INDEX(DiasCategorias, E27-FechaInicio+1),0)=12</formula>
    </cfRule>
  </conditionalFormatting>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B173D-C7D9-478D-8BD5-CC317A86694D}">
  <sheetPr codeName="Hoja34">
    <tabColor theme="3" tint="0.59999389629810485"/>
  </sheetPr>
  <dimension ref="A1:V40"/>
  <sheetViews>
    <sheetView workbookViewId="0">
      <selection activeCell="E27" sqref="E27:K27"/>
    </sheetView>
  </sheetViews>
  <sheetFormatPr baseColWidth="10" defaultRowHeight="15" x14ac:dyDescent="0.25"/>
  <cols>
    <col min="2" max="2" width="9.140625" customWidth="1"/>
    <col min="3" max="3" width="27.5703125" bestFit="1" customWidth="1"/>
    <col min="5" max="5" width="13.140625" bestFit="1" customWidth="1"/>
    <col min="6" max="6" width="18" customWidth="1"/>
    <col min="7" max="19" width="15.42578125" bestFit="1"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21</v>
      </c>
      <c r="B7" s="274"/>
      <c r="C7" s="296"/>
      <c r="D7" s="296"/>
      <c r="E7" s="296"/>
      <c r="F7" s="296"/>
      <c r="G7" s="296"/>
      <c r="H7" s="296"/>
      <c r="I7" s="296"/>
    </row>
    <row r="8" spans="1:22" ht="19.5" thickBot="1" x14ac:dyDescent="0.45">
      <c r="A8" s="29" t="s">
        <v>14</v>
      </c>
      <c r="B8" s="29" t="s">
        <v>15</v>
      </c>
      <c r="C8" s="29" t="s">
        <v>16</v>
      </c>
      <c r="D8" s="29" t="s">
        <v>114</v>
      </c>
      <c r="E8" s="30" t="s">
        <v>17</v>
      </c>
      <c r="F8" s="75" t="s">
        <v>78</v>
      </c>
      <c r="G8" s="75" t="s">
        <v>79</v>
      </c>
      <c r="H8" s="75" t="s">
        <v>80</v>
      </c>
      <c r="I8" s="75" t="s">
        <v>81</v>
      </c>
      <c r="J8" s="75" t="s">
        <v>82</v>
      </c>
      <c r="K8" s="75" t="s">
        <v>83</v>
      </c>
      <c r="L8" s="75" t="s">
        <v>84</v>
      </c>
      <c r="M8" s="75" t="s">
        <v>85</v>
      </c>
      <c r="N8" s="119" t="s">
        <v>86</v>
      </c>
      <c r="O8" s="119" t="s">
        <v>87</v>
      </c>
      <c r="P8" s="119" t="s">
        <v>88</v>
      </c>
      <c r="Q8" s="119" t="s">
        <v>89</v>
      </c>
      <c r="R8" s="119" t="s">
        <v>90</v>
      </c>
      <c r="S8" s="119" t="s">
        <v>27</v>
      </c>
      <c r="T8" s="120" t="s">
        <v>4</v>
      </c>
      <c r="U8" s="164" t="s">
        <v>18</v>
      </c>
    </row>
    <row r="9" spans="1:22" ht="15.75" thickBot="1" x14ac:dyDescent="0.3">
      <c r="A9" s="80"/>
      <c r="B9" s="81"/>
      <c r="C9" s="81"/>
      <c r="D9" s="154"/>
      <c r="E9" s="162"/>
      <c r="F9" s="78"/>
      <c r="G9" s="78"/>
      <c r="H9" s="81"/>
      <c r="I9" s="81"/>
      <c r="J9" s="81"/>
      <c r="K9" s="81"/>
      <c r="L9" s="81"/>
      <c r="M9" s="81"/>
      <c r="N9" s="154"/>
      <c r="O9" s="81"/>
      <c r="P9" s="81"/>
      <c r="Q9" s="81"/>
      <c r="R9" s="81"/>
      <c r="S9" s="81"/>
      <c r="T9" s="73">
        <f>SUM(F9:S9)</f>
        <v>0</v>
      </c>
      <c r="U9" s="165">
        <f t="shared" ref="U9:U19" si="0">E9-T9</f>
        <v>0</v>
      </c>
      <c r="V9">
        <f>_xlfn.ISOWEEKNUM(A9)</f>
        <v>52</v>
      </c>
    </row>
    <row r="10" spans="1:22" ht="15.75" thickBot="1" x14ac:dyDescent="0.3">
      <c r="A10" s="80"/>
      <c r="B10" s="81"/>
      <c r="C10" s="81"/>
      <c r="D10" s="154"/>
      <c r="E10" s="162"/>
      <c r="F10" s="78"/>
      <c r="G10" s="78"/>
      <c r="H10" s="78"/>
      <c r="I10" s="78"/>
      <c r="J10" s="81"/>
      <c r="K10" s="81"/>
      <c r="L10" s="81"/>
      <c r="M10" s="81"/>
      <c r="N10" s="154"/>
      <c r="O10" s="81"/>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154"/>
      <c r="O11" s="81"/>
      <c r="P11" s="81"/>
      <c r="Q11" s="81"/>
      <c r="R11" s="81"/>
      <c r="S11" s="81"/>
      <c r="T11" s="73">
        <f t="shared" si="1"/>
        <v>0</v>
      </c>
      <c r="U11" s="165">
        <f t="shared" si="0"/>
        <v>0</v>
      </c>
    </row>
    <row r="12" spans="1:22" ht="15.75" thickBot="1" x14ac:dyDescent="0.3">
      <c r="A12" s="80"/>
      <c r="B12" s="81"/>
      <c r="C12" s="81"/>
      <c r="D12" s="154"/>
      <c r="E12" s="162"/>
      <c r="F12" s="78"/>
      <c r="G12" s="78"/>
      <c r="H12" s="78"/>
      <c r="I12" s="78"/>
      <c r="J12" s="81"/>
      <c r="K12" s="81"/>
      <c r="L12" s="81"/>
      <c r="M12" s="81"/>
      <c r="N12" s="154"/>
      <c r="O12" s="81"/>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154"/>
      <c r="O13" s="81"/>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154"/>
      <c r="O14" s="81"/>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154"/>
      <c r="O15" s="81"/>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154"/>
      <c r="O16" s="81"/>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154"/>
      <c r="O17" s="81"/>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154"/>
      <c r="O18" s="81"/>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154"/>
      <c r="O19" s="81"/>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155"/>
      <c r="O20" s="6"/>
      <c r="P20" s="6"/>
      <c r="Q20" s="6"/>
      <c r="R20" s="6"/>
      <c r="S20" s="6"/>
      <c r="T20" s="73">
        <f>SUM(T9:T19)</f>
        <v>0</v>
      </c>
      <c r="U20" s="166">
        <f>SUM(U9:U19)</f>
        <v>0</v>
      </c>
    </row>
    <row r="21" spans="1:21" ht="15.75" thickBot="1" x14ac:dyDescent="0.3"/>
    <row r="22" spans="1:21" ht="16.5" thickBot="1" x14ac:dyDescent="0.35">
      <c r="H22" s="291" t="s">
        <v>20</v>
      </c>
      <c r="I22" s="292"/>
      <c r="J22" s="15">
        <f>E20</f>
        <v>0</v>
      </c>
    </row>
    <row r="23" spans="1:21" ht="19.5" thickBot="1" x14ac:dyDescent="0.45">
      <c r="H23" s="279" t="s">
        <v>3</v>
      </c>
      <c r="I23" s="280"/>
      <c r="J23" s="16">
        <f>T20</f>
        <v>0</v>
      </c>
    </row>
    <row r="24" spans="1:21" ht="19.5" thickBot="1" x14ac:dyDescent="0.45">
      <c r="H24" s="279" t="s">
        <v>7</v>
      </c>
      <c r="I24" s="279"/>
      <c r="J24" s="13">
        <f>U20</f>
        <v>0</v>
      </c>
    </row>
    <row r="26" spans="1:21"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row>
    <row r="27" spans="1:21" ht="18.75" x14ac:dyDescent="0.25">
      <c r="D27" s="140" t="s">
        <v>145</v>
      </c>
      <c r="E27" s="141" t="s">
        <v>292</v>
      </c>
      <c r="F27" s="141" t="s">
        <v>293</v>
      </c>
      <c r="G27" s="141" t="s">
        <v>294</v>
      </c>
      <c r="H27" s="141" t="s">
        <v>295</v>
      </c>
      <c r="I27" s="141" t="s">
        <v>296</v>
      </c>
      <c r="J27" s="184" t="s">
        <v>297</v>
      </c>
      <c r="K27" s="184" t="s">
        <v>298</v>
      </c>
      <c r="L27" s="152"/>
      <c r="M27" s="152"/>
      <c r="N27" s="152"/>
      <c r="O27" s="152"/>
      <c r="P27" s="152"/>
      <c r="Q27" s="152"/>
      <c r="R27" s="152"/>
      <c r="S27" s="152"/>
    </row>
    <row r="40" spans="11:11" x14ac:dyDescent="0.25">
      <c r="K40" t="s">
        <v>31</v>
      </c>
    </row>
  </sheetData>
  <sheetProtection algorithmName="SHA-512" hashValue="0TrqKdpISlGnARAuI5P+2/KfMPsnCYuJn5iHhzw4BsH69y3DteNTvBg2JXzrioo2VeR83CsnjdijcQws9U0Jzg==" saltValue="W9LVm7MpLnXizzc93rwdJg==" spinCount="100000" sheet="1" formatCells="0" formatColumns="0" formatRows="0" insertColumns="0" insertRows="0" insertHyperlinks="0" deleteColumns="0" deleteRows="0" sort="0" autoFilter="0" pivotTables="0"/>
  <autoFilter ref="A8:U8" xr:uid="{69DB173D-C7D9-478D-8BD5-CC317A86694D}"/>
  <mergeCells count="9">
    <mergeCell ref="H22:I22"/>
    <mergeCell ref="H23:I23"/>
    <mergeCell ref="H24:I24"/>
    <mergeCell ref="A1:B5"/>
    <mergeCell ref="C1:G2"/>
    <mergeCell ref="H1:I2"/>
    <mergeCell ref="C3:I7"/>
    <mergeCell ref="A6:B6"/>
    <mergeCell ref="A7:B7"/>
  </mergeCells>
  <phoneticPr fontId="18" type="noConversion"/>
  <conditionalFormatting sqref="L27:S27">
    <cfRule type="expression" dxfId="671" priority="25">
      <formula>IFERROR(INDEX(DiasCategorias, L27-FechaInicio+1),0)=1</formula>
    </cfRule>
    <cfRule type="expression" dxfId="670" priority="26">
      <formula>IFERROR(INDEX(DiasCategorias, L27-FechaInicio+1),0)=2</formula>
    </cfRule>
    <cfRule type="expression" dxfId="669" priority="27">
      <formula>IFERROR(INDEX(DiasCategorias, L27-FechaInicio+1),0)=3</formula>
    </cfRule>
    <cfRule type="expression" dxfId="668" priority="28">
      <formula>IFERROR(INDEX(DiasCategorias, L27-FechaInicio+1),0)=4</formula>
    </cfRule>
    <cfRule type="expression" dxfId="667" priority="29">
      <formula>IFERROR(INDEX(DiasCategorias, L27-FechaInicio+1),0)=5</formula>
    </cfRule>
    <cfRule type="expression" dxfId="666" priority="30">
      <formula>IFERROR(INDEX(DiasCategorias, L27-FechaInicio+1),0)=6</formula>
    </cfRule>
    <cfRule type="expression" dxfId="665" priority="31">
      <formula>IFERROR(INDEX(DiasCategorias, L27-FechaInicio+1),0)=7</formula>
    </cfRule>
    <cfRule type="expression" dxfId="664" priority="32">
      <formula>IFERROR(INDEX(DiasCategorias, L27-FechaInicio+1),0)=8</formula>
    </cfRule>
    <cfRule type="expression" dxfId="663" priority="33">
      <formula>IFERROR(INDEX(DiasCategorias, L27-FechaInicio+1),0)=9</formula>
    </cfRule>
    <cfRule type="expression" dxfId="662" priority="34">
      <formula>IFERROR(INDEX(DiasCategorias, L27-FechaInicio+1),0)=10</formula>
    </cfRule>
    <cfRule type="expression" dxfId="661" priority="35">
      <formula>IFERROR(INDEX(DiasCategorias, L27-FechaInicio+1),0)=11</formula>
    </cfRule>
    <cfRule type="expression" dxfId="660" priority="36">
      <formula>IFERROR(INDEX(DiasCategorias, L27-FechaInicio+1),0)=12</formula>
    </cfRule>
  </conditionalFormatting>
  <conditionalFormatting sqref="E27:K27">
    <cfRule type="expression" dxfId="659" priority="1">
      <formula>IFERROR(INDEX(DiasCategorias, E27-FechaInicio+1),0)=1</formula>
    </cfRule>
    <cfRule type="expression" dxfId="658" priority="2">
      <formula>IFERROR(INDEX(DiasCategorias, E27-FechaInicio+1),0)=2</formula>
    </cfRule>
    <cfRule type="expression" dxfId="657" priority="3">
      <formula>IFERROR(INDEX(DiasCategorias, E27-FechaInicio+1),0)=3</formula>
    </cfRule>
    <cfRule type="expression" dxfId="656" priority="4">
      <formula>IFERROR(INDEX(DiasCategorias, E27-FechaInicio+1),0)=4</formula>
    </cfRule>
    <cfRule type="expression" dxfId="655" priority="5">
      <formula>IFERROR(INDEX(DiasCategorias, E27-FechaInicio+1),0)=5</formula>
    </cfRule>
    <cfRule type="expression" dxfId="654" priority="6">
      <formula>IFERROR(INDEX(DiasCategorias, E27-FechaInicio+1),0)=6</formula>
    </cfRule>
    <cfRule type="expression" dxfId="653" priority="7">
      <formula>IFERROR(INDEX(DiasCategorias, E27-FechaInicio+1),0)=7</formula>
    </cfRule>
    <cfRule type="expression" dxfId="652" priority="8">
      <formula>IFERROR(INDEX(DiasCategorias, E27-FechaInicio+1),0)=8</formula>
    </cfRule>
    <cfRule type="expression" dxfId="651" priority="9">
      <formula>IFERROR(INDEX(DiasCategorias, E27-FechaInicio+1),0)=9</formula>
    </cfRule>
    <cfRule type="expression" dxfId="650" priority="10">
      <formula>IFERROR(INDEX(DiasCategorias, E27-FechaInicio+1),0)=10</formula>
    </cfRule>
    <cfRule type="expression" dxfId="649" priority="11">
      <formula>IFERROR(INDEX(DiasCategorias, E27-FechaInicio+1),0)=11</formula>
    </cfRule>
    <cfRule type="expression" dxfId="648" priority="12">
      <formula>IFERROR(INDEX(DiasCategorias, E27-FechaInicio+1),0)=12</formula>
    </cfRule>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F95EA-A874-4AD1-A12F-BD3B22FE5C4A}">
  <sheetPr codeName="Hoja33">
    <tabColor theme="9" tint="-0.249977111117893"/>
  </sheetPr>
  <dimension ref="A1:V40"/>
  <sheetViews>
    <sheetView workbookViewId="0">
      <selection activeCell="E27" sqref="E27:K27"/>
    </sheetView>
  </sheetViews>
  <sheetFormatPr baseColWidth="10" defaultRowHeight="15" x14ac:dyDescent="0.25"/>
  <cols>
    <col min="2" max="2" width="8.5703125" customWidth="1"/>
    <col min="3" max="3" width="33.7109375" customWidth="1"/>
    <col min="4" max="4" width="14.7109375" bestFit="1" customWidth="1"/>
    <col min="5" max="7" width="13.140625" bestFit="1" customWidth="1"/>
    <col min="8" max="8" width="13.28515625" customWidth="1"/>
    <col min="9" max="10" width="13.140625" bestFit="1" customWidth="1"/>
    <col min="11" max="19" width="14"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22</v>
      </c>
      <c r="B7" s="274"/>
      <c r="C7" s="296"/>
      <c r="D7" s="296"/>
      <c r="E7" s="296"/>
      <c r="F7" s="296"/>
      <c r="G7" s="296"/>
      <c r="H7" s="296"/>
      <c r="I7" s="296"/>
    </row>
    <row r="8" spans="1:22" ht="19.5" thickBot="1" x14ac:dyDescent="0.45">
      <c r="A8" s="29" t="s">
        <v>14</v>
      </c>
      <c r="B8" s="29" t="s">
        <v>15</v>
      </c>
      <c r="C8" s="29" t="s">
        <v>16</v>
      </c>
      <c r="D8" s="29" t="s">
        <v>114</v>
      </c>
      <c r="E8" s="30" t="s">
        <v>17</v>
      </c>
      <c r="F8" s="75" t="s">
        <v>79</v>
      </c>
      <c r="G8" s="75" t="s">
        <v>80</v>
      </c>
      <c r="H8" s="75" t="s">
        <v>81</v>
      </c>
      <c r="I8" s="75" t="s">
        <v>82</v>
      </c>
      <c r="J8" s="75" t="s">
        <v>83</v>
      </c>
      <c r="K8" s="75" t="s">
        <v>84</v>
      </c>
      <c r="L8" s="75" t="s">
        <v>85</v>
      </c>
      <c r="M8" s="75" t="s">
        <v>86</v>
      </c>
      <c r="N8" s="75" t="s">
        <v>87</v>
      </c>
      <c r="O8" s="75" t="s">
        <v>88</v>
      </c>
      <c r="P8" s="75" t="s">
        <v>89</v>
      </c>
      <c r="Q8" s="75" t="s">
        <v>90</v>
      </c>
      <c r="R8" s="75" t="s">
        <v>27</v>
      </c>
      <c r="S8" s="75" t="s">
        <v>19</v>
      </c>
      <c r="T8" s="30" t="s">
        <v>4</v>
      </c>
      <c r="U8" s="164" t="s">
        <v>18</v>
      </c>
    </row>
    <row r="9" spans="1:22" ht="15.75" thickBot="1" x14ac:dyDescent="0.3">
      <c r="A9" s="80"/>
      <c r="B9" s="81"/>
      <c r="C9" s="81"/>
      <c r="D9" s="154"/>
      <c r="E9" s="162"/>
      <c r="F9" s="78"/>
      <c r="G9" s="78"/>
      <c r="H9" s="81"/>
      <c r="I9" s="81"/>
      <c r="J9" s="81"/>
      <c r="K9" s="81"/>
      <c r="L9" s="81"/>
      <c r="M9" s="81"/>
      <c r="N9" s="81"/>
      <c r="O9" s="81"/>
      <c r="P9" s="81"/>
      <c r="Q9" s="81"/>
      <c r="R9" s="81"/>
      <c r="S9" s="81"/>
      <c r="T9" s="73">
        <f>SUM(F9:S9)</f>
        <v>0</v>
      </c>
      <c r="U9" s="165">
        <f t="shared" ref="U9:U19" si="0">E9-T9</f>
        <v>0</v>
      </c>
      <c r="V9">
        <f>_xlfn.ISOWEEKNUM(A9)</f>
        <v>52</v>
      </c>
    </row>
    <row r="10" spans="1:22" ht="15.75" thickBot="1" x14ac:dyDescent="0.3">
      <c r="A10" s="80"/>
      <c r="B10" s="81"/>
      <c r="C10" s="81"/>
      <c r="D10" s="154"/>
      <c r="E10" s="162"/>
      <c r="F10" s="78"/>
      <c r="G10" s="78"/>
      <c r="H10" s="78"/>
      <c r="I10" s="78"/>
      <c r="J10" s="81"/>
      <c r="K10" s="81"/>
      <c r="L10" s="81"/>
      <c r="M10" s="81"/>
      <c r="N10" s="81"/>
      <c r="O10" s="81"/>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81"/>
      <c r="O11" s="81"/>
      <c r="P11" s="81"/>
      <c r="Q11" s="81"/>
      <c r="R11" s="81"/>
      <c r="S11" s="81"/>
      <c r="T11" s="73">
        <f t="shared" si="1"/>
        <v>0</v>
      </c>
      <c r="U11" s="165">
        <f t="shared" si="0"/>
        <v>0</v>
      </c>
    </row>
    <row r="12" spans="1:22" ht="15.75" thickBot="1" x14ac:dyDescent="0.3">
      <c r="A12" s="80"/>
      <c r="B12" s="81"/>
      <c r="C12" s="81"/>
      <c r="D12" s="154"/>
      <c r="E12" s="162"/>
      <c r="F12" s="78"/>
      <c r="G12" s="78"/>
      <c r="H12" s="78"/>
      <c r="I12" s="78"/>
      <c r="J12" s="81"/>
      <c r="K12" s="81"/>
      <c r="L12" s="81"/>
      <c r="M12" s="81"/>
      <c r="N12" s="81"/>
      <c r="O12" s="81"/>
      <c r="P12" s="81"/>
      <c r="Q12" s="81"/>
      <c r="R12" s="81"/>
      <c r="S12" s="81"/>
      <c r="T12" s="73">
        <f t="shared" si="1"/>
        <v>0</v>
      </c>
      <c r="U12" s="165">
        <f t="shared" si="0"/>
        <v>0</v>
      </c>
    </row>
    <row r="13" spans="1:22" ht="15.75" thickBot="1" x14ac:dyDescent="0.3">
      <c r="A13" s="80"/>
      <c r="B13" s="81"/>
      <c r="C13" s="81"/>
      <c r="D13" s="156"/>
      <c r="E13" s="162"/>
      <c r="F13" s="78"/>
      <c r="G13" s="78"/>
      <c r="H13" s="78"/>
      <c r="I13" s="78"/>
      <c r="J13" s="81"/>
      <c r="K13" s="81"/>
      <c r="L13" s="81"/>
      <c r="M13" s="81"/>
      <c r="N13" s="81"/>
      <c r="O13" s="81"/>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81"/>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81"/>
      <c r="O15" s="81"/>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81"/>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81"/>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81"/>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81"/>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6"/>
      <c r="P20" s="6"/>
      <c r="Q20" s="6"/>
      <c r="R20" s="6"/>
      <c r="S20" s="6"/>
      <c r="T20" s="73">
        <f>SUM(T9:T19)</f>
        <v>0</v>
      </c>
      <c r="U20" s="166">
        <f>SUM(U9:U19)</f>
        <v>0</v>
      </c>
    </row>
    <row r="21" spans="1:21" ht="15.75" thickBot="1" x14ac:dyDescent="0.3"/>
    <row r="22" spans="1:21" ht="16.5" thickBot="1" x14ac:dyDescent="0.35">
      <c r="H22" s="291" t="s">
        <v>20</v>
      </c>
      <c r="I22" s="292"/>
      <c r="J22" s="15">
        <f>E20</f>
        <v>0</v>
      </c>
    </row>
    <row r="23" spans="1:21" ht="19.5" thickBot="1" x14ac:dyDescent="0.45">
      <c r="H23" s="279" t="s">
        <v>3</v>
      </c>
      <c r="I23" s="280"/>
      <c r="J23" s="16">
        <f>T20</f>
        <v>0</v>
      </c>
    </row>
    <row r="24" spans="1:21" ht="19.5" thickBot="1" x14ac:dyDescent="0.45">
      <c r="H24" s="279" t="s">
        <v>7</v>
      </c>
      <c r="I24" s="279"/>
      <c r="J24" s="13">
        <f>U20</f>
        <v>0</v>
      </c>
    </row>
    <row r="26" spans="1:21"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row>
    <row r="27" spans="1:21" ht="18.75" x14ac:dyDescent="0.25">
      <c r="D27" s="140" t="s">
        <v>146</v>
      </c>
      <c r="E27" s="141" t="s">
        <v>299</v>
      </c>
      <c r="F27" s="141" t="s">
        <v>300</v>
      </c>
      <c r="G27" s="141" t="s">
        <v>301</v>
      </c>
      <c r="H27" s="141" t="s">
        <v>302</v>
      </c>
      <c r="I27" s="141" t="s">
        <v>303</v>
      </c>
      <c r="J27" s="184" t="s">
        <v>304</v>
      </c>
      <c r="K27" s="184" t="s">
        <v>305</v>
      </c>
      <c r="L27" s="152"/>
      <c r="M27" s="152"/>
      <c r="N27" s="152"/>
      <c r="O27" s="152"/>
      <c r="P27" s="152"/>
      <c r="Q27" s="152"/>
      <c r="R27" s="152"/>
      <c r="S27" s="152"/>
    </row>
    <row r="40" spans="11:11" x14ac:dyDescent="0.25">
      <c r="K40" t="s">
        <v>31</v>
      </c>
    </row>
  </sheetData>
  <sheetProtection algorithmName="SHA-512" hashValue="qnfV7Fxvdh5Ajqp9SlCY1Ytg4Md7HOHagqAxHfN3ATNvDIvfKfAFBmp8ld+9brA6mmfSNoQ+4HaOXfQLcSVnTg==" saltValue="Iy0b2FigGkBPtKemImm6Qw==" spinCount="100000" sheet="1" formatCells="0" formatColumns="0" formatRows="0" insertColumns="0" insertRows="0" insertHyperlinks="0" deleteColumns="0" deleteRows="0" sort="0" autoFilter="0" pivotTables="0"/>
  <mergeCells count="9">
    <mergeCell ref="H22:I22"/>
    <mergeCell ref="H23:I23"/>
    <mergeCell ref="H24:I24"/>
    <mergeCell ref="A1:B5"/>
    <mergeCell ref="C1:G2"/>
    <mergeCell ref="H1:I2"/>
    <mergeCell ref="C3:I7"/>
    <mergeCell ref="A6:B6"/>
    <mergeCell ref="A7:B7"/>
  </mergeCells>
  <phoneticPr fontId="18" type="noConversion"/>
  <conditionalFormatting sqref="L27:S27">
    <cfRule type="expression" dxfId="647" priority="25">
      <formula>IFERROR(INDEX(DiasCategorias, L27-FechaInicio+1),0)=1</formula>
    </cfRule>
    <cfRule type="expression" dxfId="646" priority="26">
      <formula>IFERROR(INDEX(DiasCategorias, L27-FechaInicio+1),0)=2</formula>
    </cfRule>
    <cfRule type="expression" dxfId="645" priority="27">
      <formula>IFERROR(INDEX(DiasCategorias, L27-FechaInicio+1),0)=3</formula>
    </cfRule>
    <cfRule type="expression" dxfId="644" priority="28">
      <formula>IFERROR(INDEX(DiasCategorias, L27-FechaInicio+1),0)=4</formula>
    </cfRule>
    <cfRule type="expression" dxfId="643" priority="29">
      <formula>IFERROR(INDEX(DiasCategorias, L27-FechaInicio+1),0)=5</formula>
    </cfRule>
    <cfRule type="expression" dxfId="642" priority="30">
      <formula>IFERROR(INDEX(DiasCategorias, L27-FechaInicio+1),0)=6</formula>
    </cfRule>
    <cfRule type="expression" dxfId="641" priority="31">
      <formula>IFERROR(INDEX(DiasCategorias, L27-FechaInicio+1),0)=7</formula>
    </cfRule>
    <cfRule type="expression" dxfId="640" priority="32">
      <formula>IFERROR(INDEX(DiasCategorias, L27-FechaInicio+1),0)=8</formula>
    </cfRule>
    <cfRule type="expression" dxfId="639" priority="33">
      <formula>IFERROR(INDEX(DiasCategorias, L27-FechaInicio+1),0)=9</formula>
    </cfRule>
    <cfRule type="expression" dxfId="638" priority="34">
      <formula>IFERROR(INDEX(DiasCategorias, L27-FechaInicio+1),0)=10</formula>
    </cfRule>
    <cfRule type="expression" dxfId="637" priority="35">
      <formula>IFERROR(INDEX(DiasCategorias, L27-FechaInicio+1),0)=11</formula>
    </cfRule>
    <cfRule type="expression" dxfId="636" priority="36">
      <formula>IFERROR(INDEX(DiasCategorias, L27-FechaInicio+1),0)=12</formula>
    </cfRule>
  </conditionalFormatting>
  <conditionalFormatting sqref="E27:K27">
    <cfRule type="expression" dxfId="635" priority="1">
      <formula>IFERROR(INDEX(DiasCategorias, E27-FechaInicio+1),0)=1</formula>
    </cfRule>
    <cfRule type="expression" dxfId="634" priority="2">
      <formula>IFERROR(INDEX(DiasCategorias, E27-FechaInicio+1),0)=2</formula>
    </cfRule>
    <cfRule type="expression" dxfId="633" priority="3">
      <formula>IFERROR(INDEX(DiasCategorias, E27-FechaInicio+1),0)=3</formula>
    </cfRule>
    <cfRule type="expression" dxfId="632" priority="4">
      <formula>IFERROR(INDEX(DiasCategorias, E27-FechaInicio+1),0)=4</formula>
    </cfRule>
    <cfRule type="expression" dxfId="631" priority="5">
      <formula>IFERROR(INDEX(DiasCategorias, E27-FechaInicio+1),0)=5</formula>
    </cfRule>
    <cfRule type="expression" dxfId="630" priority="6">
      <formula>IFERROR(INDEX(DiasCategorias, E27-FechaInicio+1),0)=6</formula>
    </cfRule>
    <cfRule type="expression" dxfId="629" priority="7">
      <formula>IFERROR(INDEX(DiasCategorias, E27-FechaInicio+1),0)=7</formula>
    </cfRule>
    <cfRule type="expression" dxfId="628" priority="8">
      <formula>IFERROR(INDEX(DiasCategorias, E27-FechaInicio+1),0)=8</formula>
    </cfRule>
    <cfRule type="expression" dxfId="627" priority="9">
      <formula>IFERROR(INDEX(DiasCategorias, E27-FechaInicio+1),0)=9</formula>
    </cfRule>
    <cfRule type="expression" dxfId="626" priority="10">
      <formula>IFERROR(INDEX(DiasCategorias, E27-FechaInicio+1),0)=10</formula>
    </cfRule>
    <cfRule type="expression" dxfId="625" priority="11">
      <formula>IFERROR(INDEX(DiasCategorias, E27-FechaInicio+1),0)=11</formula>
    </cfRule>
    <cfRule type="expression" dxfId="624" priority="12">
      <formula>IFERROR(INDEX(DiasCategorias, E27-FechaInicio+1),0)=12</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7ECE8-6573-41C6-921C-BDFD165B5D2A}">
  <sheetPr codeName="Hoja32">
    <tabColor rgb="FFFFFF00"/>
  </sheetPr>
  <dimension ref="A1:T40"/>
  <sheetViews>
    <sheetView topLeftCell="A3" workbookViewId="0">
      <selection activeCell="E27" sqref="E27:K27"/>
    </sheetView>
  </sheetViews>
  <sheetFormatPr baseColWidth="10" defaultRowHeight="15" x14ac:dyDescent="0.25"/>
  <cols>
    <col min="2" max="2" width="8.28515625" customWidth="1"/>
    <col min="3" max="3" width="27.5703125" bestFit="1" customWidth="1"/>
    <col min="4" max="4" width="14.140625" customWidth="1"/>
    <col min="5" max="5" width="13.140625" bestFit="1" customWidth="1"/>
    <col min="6" max="7" width="15.42578125" bestFit="1" customWidth="1"/>
    <col min="8" max="8" width="15.42578125" customWidth="1"/>
    <col min="9" max="17" width="15.42578125" bestFit="1" customWidth="1"/>
  </cols>
  <sheetData>
    <row r="1" spans="1:20" ht="15" customHeight="1" x14ac:dyDescent="0.25">
      <c r="A1" s="268"/>
      <c r="B1" s="268"/>
      <c r="C1" s="281" t="s">
        <v>8</v>
      </c>
      <c r="D1" s="282"/>
      <c r="E1" s="282"/>
      <c r="F1" s="282"/>
      <c r="G1" s="283"/>
      <c r="H1" s="288"/>
      <c r="I1" s="289"/>
    </row>
    <row r="2" spans="1:20" ht="15.75" customHeight="1" thickBot="1" x14ac:dyDescent="0.3">
      <c r="A2" s="268"/>
      <c r="B2" s="268"/>
      <c r="C2" s="285"/>
      <c r="D2" s="286"/>
      <c r="E2" s="286"/>
      <c r="F2" s="286"/>
      <c r="G2" s="287"/>
      <c r="H2" s="288"/>
      <c r="I2" s="289"/>
    </row>
    <row r="3" spans="1:20" x14ac:dyDescent="0.25">
      <c r="A3" s="268"/>
      <c r="B3" s="268"/>
      <c r="C3" s="268"/>
      <c r="D3" s="268"/>
      <c r="E3" s="268"/>
      <c r="F3" s="268"/>
      <c r="G3" s="268"/>
      <c r="H3" s="268"/>
      <c r="I3" s="268"/>
    </row>
    <row r="4" spans="1:20" x14ac:dyDescent="0.25">
      <c r="A4" s="268"/>
      <c r="B4" s="268"/>
      <c r="C4" s="268"/>
      <c r="D4" s="268"/>
      <c r="E4" s="268"/>
      <c r="F4" s="268"/>
      <c r="G4" s="268"/>
      <c r="H4" s="268"/>
      <c r="I4" s="268"/>
    </row>
    <row r="5" spans="1:20" x14ac:dyDescent="0.25">
      <c r="A5" s="268"/>
      <c r="B5" s="268"/>
      <c r="C5" s="268"/>
      <c r="D5" s="268"/>
      <c r="E5" s="268"/>
      <c r="F5" s="268"/>
      <c r="G5" s="268"/>
      <c r="H5" s="268"/>
      <c r="I5" s="268"/>
    </row>
    <row r="6" spans="1:20" ht="27" x14ac:dyDescent="0.5">
      <c r="A6" s="273" t="s">
        <v>10</v>
      </c>
      <c r="B6" s="273"/>
      <c r="C6" s="268"/>
      <c r="D6" s="268"/>
      <c r="E6" s="268"/>
      <c r="F6" s="268"/>
      <c r="G6" s="268"/>
      <c r="H6" s="268"/>
      <c r="I6" s="268"/>
    </row>
    <row r="7" spans="1:20" ht="27.75" thickBot="1" x14ac:dyDescent="0.55000000000000004">
      <c r="A7" s="274">
        <v>23</v>
      </c>
      <c r="B7" s="274"/>
      <c r="C7" s="296"/>
      <c r="D7" s="296"/>
      <c r="E7" s="296"/>
      <c r="F7" s="296"/>
      <c r="G7" s="296"/>
      <c r="H7" s="296"/>
      <c r="I7" s="296"/>
    </row>
    <row r="8" spans="1:20" ht="19.5" thickBot="1" x14ac:dyDescent="0.45">
      <c r="A8" s="29" t="s">
        <v>14</v>
      </c>
      <c r="B8" s="29" t="s">
        <v>15</v>
      </c>
      <c r="C8" s="29" t="s">
        <v>16</v>
      </c>
      <c r="D8" s="29" t="s">
        <v>114</v>
      </c>
      <c r="E8" s="30" t="s">
        <v>17</v>
      </c>
      <c r="F8" s="75" t="s">
        <v>80</v>
      </c>
      <c r="G8" s="75" t="s">
        <v>81</v>
      </c>
      <c r="H8" s="75" t="s">
        <v>82</v>
      </c>
      <c r="I8" s="75" t="s">
        <v>83</v>
      </c>
      <c r="J8" s="75" t="s">
        <v>84</v>
      </c>
      <c r="K8" s="75" t="s">
        <v>85</v>
      </c>
      <c r="L8" s="75" t="s">
        <v>86</v>
      </c>
      <c r="M8" s="75" t="s">
        <v>87</v>
      </c>
      <c r="N8" s="75" t="s">
        <v>88</v>
      </c>
      <c r="O8" s="75" t="s">
        <v>89</v>
      </c>
      <c r="P8" s="75" t="s">
        <v>90</v>
      </c>
      <c r="Q8" s="75" t="s">
        <v>27</v>
      </c>
      <c r="R8" s="30" t="s">
        <v>4</v>
      </c>
      <c r="S8" s="164" t="s">
        <v>18</v>
      </c>
    </row>
    <row r="9" spans="1:20" ht="15.75" thickBot="1" x14ac:dyDescent="0.3">
      <c r="A9" s="80"/>
      <c r="B9" s="80"/>
      <c r="C9" s="81"/>
      <c r="D9" s="154"/>
      <c r="E9" s="162"/>
      <c r="F9" s="78"/>
      <c r="G9" s="78"/>
      <c r="H9" s="81"/>
      <c r="I9" s="81"/>
      <c r="J9" s="81"/>
      <c r="K9" s="81"/>
      <c r="L9" s="81"/>
      <c r="M9" s="81"/>
      <c r="N9" s="81"/>
      <c r="O9" s="81"/>
      <c r="P9" s="81"/>
      <c r="Q9" s="81"/>
      <c r="R9" s="73">
        <f>SUM(F9:Q9)</f>
        <v>0</v>
      </c>
      <c r="S9" s="165">
        <f t="shared" ref="S9:S19" si="0">E9-R9</f>
        <v>0</v>
      </c>
      <c r="T9">
        <f>_xlfn.ISOWEEKNUM(A9)</f>
        <v>52</v>
      </c>
    </row>
    <row r="10" spans="1:20" ht="15.75" thickBot="1" x14ac:dyDescent="0.3">
      <c r="A10" s="80"/>
      <c r="B10" s="81"/>
      <c r="C10" s="81"/>
      <c r="D10" s="154"/>
      <c r="E10" s="162"/>
      <c r="F10" s="78"/>
      <c r="G10" s="78"/>
      <c r="H10" s="78"/>
      <c r="I10" s="78"/>
      <c r="J10" s="81"/>
      <c r="K10" s="81"/>
      <c r="L10" s="81"/>
      <c r="M10" s="81"/>
      <c r="N10" s="81"/>
      <c r="O10" s="81"/>
      <c r="P10" s="81"/>
      <c r="Q10" s="81"/>
      <c r="R10" s="73">
        <f t="shared" ref="R10:R19" si="1">SUM(F10:Q10)</f>
        <v>0</v>
      </c>
      <c r="S10" s="165">
        <f t="shared" si="0"/>
        <v>0</v>
      </c>
    </row>
    <row r="11" spans="1:20" ht="15.75" thickBot="1" x14ac:dyDescent="0.3">
      <c r="A11" s="80"/>
      <c r="B11" s="81"/>
      <c r="C11" s="81"/>
      <c r="D11" s="154"/>
      <c r="E11" s="162"/>
      <c r="F11" s="78"/>
      <c r="G11" s="78"/>
      <c r="H11" s="78"/>
      <c r="I11" s="78"/>
      <c r="J11" s="81"/>
      <c r="K11" s="81"/>
      <c r="L11" s="81"/>
      <c r="M11" s="81"/>
      <c r="N11" s="81"/>
      <c r="O11" s="81"/>
      <c r="P11" s="81"/>
      <c r="Q11" s="81"/>
      <c r="R11" s="73">
        <f t="shared" si="1"/>
        <v>0</v>
      </c>
      <c r="S11" s="165">
        <f t="shared" si="0"/>
        <v>0</v>
      </c>
    </row>
    <row r="12" spans="1:20" ht="15.75" thickBot="1" x14ac:dyDescent="0.3">
      <c r="A12" s="80"/>
      <c r="B12" s="81"/>
      <c r="C12" s="81"/>
      <c r="D12" s="154"/>
      <c r="E12" s="162"/>
      <c r="F12" s="78"/>
      <c r="G12" s="78"/>
      <c r="H12" s="78"/>
      <c r="I12" s="78"/>
      <c r="J12" s="81"/>
      <c r="K12" s="81"/>
      <c r="L12" s="81"/>
      <c r="M12" s="81"/>
      <c r="N12" s="81"/>
      <c r="O12" s="81"/>
      <c r="P12" s="81"/>
      <c r="Q12" s="81"/>
      <c r="R12" s="73">
        <f t="shared" si="1"/>
        <v>0</v>
      </c>
      <c r="S12" s="165">
        <f t="shared" si="0"/>
        <v>0</v>
      </c>
    </row>
    <row r="13" spans="1:20" ht="15.75" thickBot="1" x14ac:dyDescent="0.3">
      <c r="A13" s="80"/>
      <c r="B13" s="81"/>
      <c r="C13" s="81"/>
      <c r="D13" s="154"/>
      <c r="E13" s="162"/>
      <c r="F13" s="78"/>
      <c r="G13" s="78"/>
      <c r="H13" s="78"/>
      <c r="I13" s="78"/>
      <c r="J13" s="81"/>
      <c r="K13" s="81"/>
      <c r="L13" s="81"/>
      <c r="M13" s="81"/>
      <c r="N13" s="81"/>
      <c r="O13" s="81"/>
      <c r="P13" s="81"/>
      <c r="Q13" s="81"/>
      <c r="R13" s="73">
        <f t="shared" si="1"/>
        <v>0</v>
      </c>
      <c r="S13" s="165">
        <f t="shared" si="0"/>
        <v>0</v>
      </c>
    </row>
    <row r="14" spans="1:20" ht="15.75" thickBot="1" x14ac:dyDescent="0.3">
      <c r="A14" s="80"/>
      <c r="B14" s="81"/>
      <c r="C14" s="81"/>
      <c r="D14" s="154"/>
      <c r="E14" s="162"/>
      <c r="F14" s="78"/>
      <c r="G14" s="78"/>
      <c r="H14" s="78"/>
      <c r="I14" s="78"/>
      <c r="J14" s="81"/>
      <c r="K14" s="81"/>
      <c r="L14" s="81"/>
      <c r="M14" s="81"/>
      <c r="N14" s="81"/>
      <c r="O14" s="81"/>
      <c r="P14" s="81"/>
      <c r="Q14" s="81"/>
      <c r="R14" s="73">
        <f t="shared" si="1"/>
        <v>0</v>
      </c>
      <c r="S14" s="165">
        <f t="shared" si="0"/>
        <v>0</v>
      </c>
    </row>
    <row r="15" spans="1:20" ht="15.75" thickBot="1" x14ac:dyDescent="0.3">
      <c r="A15" s="80"/>
      <c r="B15" s="81"/>
      <c r="C15" s="81"/>
      <c r="D15" s="154"/>
      <c r="E15" s="162"/>
      <c r="F15" s="78"/>
      <c r="G15" s="78"/>
      <c r="H15" s="78"/>
      <c r="I15" s="78"/>
      <c r="J15" s="81"/>
      <c r="K15" s="81"/>
      <c r="L15" s="81"/>
      <c r="M15" s="81"/>
      <c r="N15" s="81"/>
      <c r="O15" s="81"/>
      <c r="P15" s="81"/>
      <c r="Q15" s="81"/>
      <c r="R15" s="73">
        <f t="shared" si="1"/>
        <v>0</v>
      </c>
      <c r="S15" s="165">
        <f t="shared" si="0"/>
        <v>0</v>
      </c>
    </row>
    <row r="16" spans="1:20" ht="15.75" thickBot="1" x14ac:dyDescent="0.3">
      <c r="A16" s="80"/>
      <c r="B16" s="81"/>
      <c r="C16" s="81"/>
      <c r="D16" s="154"/>
      <c r="E16" s="162"/>
      <c r="F16" s="78"/>
      <c r="G16" s="78"/>
      <c r="H16" s="78"/>
      <c r="I16" s="78"/>
      <c r="J16" s="81"/>
      <c r="K16" s="81"/>
      <c r="L16" s="81"/>
      <c r="M16" s="81"/>
      <c r="N16" s="81"/>
      <c r="O16" s="81"/>
      <c r="P16" s="81"/>
      <c r="Q16" s="81"/>
      <c r="R16" s="73">
        <f t="shared" si="1"/>
        <v>0</v>
      </c>
      <c r="S16" s="165">
        <f t="shared" si="0"/>
        <v>0</v>
      </c>
    </row>
    <row r="17" spans="1:19" ht="15.75" thickBot="1" x14ac:dyDescent="0.3">
      <c r="A17" s="80"/>
      <c r="B17" s="81"/>
      <c r="C17" s="81"/>
      <c r="D17" s="154"/>
      <c r="E17" s="162"/>
      <c r="F17" s="78"/>
      <c r="G17" s="78"/>
      <c r="H17" s="78"/>
      <c r="I17" s="78"/>
      <c r="J17" s="81"/>
      <c r="K17" s="81"/>
      <c r="L17" s="81"/>
      <c r="M17" s="81"/>
      <c r="N17" s="81"/>
      <c r="O17" s="81"/>
      <c r="P17" s="81"/>
      <c r="Q17" s="81"/>
      <c r="R17" s="73">
        <f t="shared" si="1"/>
        <v>0</v>
      </c>
      <c r="S17" s="165">
        <f t="shared" si="0"/>
        <v>0</v>
      </c>
    </row>
    <row r="18" spans="1:19" ht="15.75" thickBot="1" x14ac:dyDescent="0.3">
      <c r="A18" s="80"/>
      <c r="B18" s="81"/>
      <c r="C18" s="81"/>
      <c r="D18" s="154"/>
      <c r="E18" s="162"/>
      <c r="F18" s="78"/>
      <c r="G18" s="78"/>
      <c r="H18" s="78"/>
      <c r="I18" s="78"/>
      <c r="J18" s="81"/>
      <c r="K18" s="81"/>
      <c r="L18" s="81"/>
      <c r="M18" s="81"/>
      <c r="N18" s="81"/>
      <c r="O18" s="81"/>
      <c r="P18" s="81"/>
      <c r="Q18" s="81"/>
      <c r="R18" s="73">
        <f t="shared" si="1"/>
        <v>0</v>
      </c>
      <c r="S18" s="165">
        <f t="shared" si="0"/>
        <v>0</v>
      </c>
    </row>
    <row r="19" spans="1:19" ht="15.75" thickBot="1" x14ac:dyDescent="0.3">
      <c r="A19" s="80"/>
      <c r="B19" s="81"/>
      <c r="C19" s="81"/>
      <c r="D19" s="154"/>
      <c r="E19" s="162"/>
      <c r="F19" s="78"/>
      <c r="G19" s="78"/>
      <c r="H19" s="78"/>
      <c r="I19" s="78"/>
      <c r="J19" s="81"/>
      <c r="K19" s="81"/>
      <c r="L19" s="81"/>
      <c r="M19" s="81"/>
      <c r="N19" s="81"/>
      <c r="O19" s="81"/>
      <c r="P19" s="81"/>
      <c r="Q19" s="81"/>
      <c r="R19" s="73">
        <f t="shared" si="1"/>
        <v>0</v>
      </c>
      <c r="S19" s="165">
        <f t="shared" si="0"/>
        <v>0</v>
      </c>
    </row>
    <row r="20" spans="1:19" ht="15.75" thickBot="1" x14ac:dyDescent="0.3">
      <c r="A20" t="s">
        <v>4</v>
      </c>
      <c r="E20" s="163">
        <f>SUM(E9:E19)</f>
        <v>0</v>
      </c>
      <c r="F20" s="12"/>
      <c r="G20" s="12"/>
      <c r="H20" s="12"/>
      <c r="I20" s="12"/>
      <c r="J20" s="6"/>
      <c r="K20" s="6"/>
      <c r="L20" s="6"/>
      <c r="M20" s="6"/>
      <c r="N20" s="6"/>
      <c r="O20" s="6"/>
      <c r="P20" s="6"/>
      <c r="Q20" s="6"/>
      <c r="R20" s="73">
        <f>SUM(R9:R19)</f>
        <v>0</v>
      </c>
      <c r="S20" s="166">
        <f>SUM(S9:S19)</f>
        <v>0</v>
      </c>
    </row>
    <row r="21" spans="1:19" ht="15.75" thickBot="1" x14ac:dyDescent="0.3"/>
    <row r="22" spans="1:19" ht="16.5" thickBot="1" x14ac:dyDescent="0.35">
      <c r="H22" s="291" t="s">
        <v>20</v>
      </c>
      <c r="I22" s="292"/>
      <c r="J22" s="15">
        <f>E20</f>
        <v>0</v>
      </c>
    </row>
    <row r="23" spans="1:19" ht="19.5" thickBot="1" x14ac:dyDescent="0.45">
      <c r="H23" s="279" t="s">
        <v>3</v>
      </c>
      <c r="I23" s="280"/>
      <c r="J23" s="16">
        <f>R20</f>
        <v>0</v>
      </c>
    </row>
    <row r="24" spans="1:19" ht="19.5" thickBot="1" x14ac:dyDescent="0.45">
      <c r="H24" s="279" t="s">
        <v>7</v>
      </c>
      <c r="I24" s="279"/>
      <c r="J24" s="13">
        <f>S20</f>
        <v>0</v>
      </c>
    </row>
    <row r="26" spans="1:19" ht="18.75" x14ac:dyDescent="0.25">
      <c r="D26" s="137">
        <v>45292</v>
      </c>
      <c r="E26" s="138" t="s">
        <v>47</v>
      </c>
      <c r="F26" s="138" t="s">
        <v>41</v>
      </c>
      <c r="G26" s="138" t="s">
        <v>42</v>
      </c>
      <c r="H26" s="138" t="s">
        <v>43</v>
      </c>
      <c r="I26" s="138" t="s">
        <v>44</v>
      </c>
      <c r="J26" s="139" t="s">
        <v>45</v>
      </c>
      <c r="K26" s="139" t="s">
        <v>46</v>
      </c>
      <c r="L26" s="151"/>
      <c r="M26" s="151"/>
      <c r="N26" s="151"/>
      <c r="O26" s="151"/>
      <c r="P26" s="151"/>
      <c r="Q26" s="151"/>
    </row>
    <row r="27" spans="1:19" ht="18.75" x14ac:dyDescent="0.25">
      <c r="D27" s="140" t="s">
        <v>147</v>
      </c>
      <c r="E27" s="141" t="s">
        <v>306</v>
      </c>
      <c r="F27" s="141" t="s">
        <v>307</v>
      </c>
      <c r="G27" s="141" t="s">
        <v>308</v>
      </c>
      <c r="H27" s="141" t="s">
        <v>309</v>
      </c>
      <c r="I27" s="141" t="s">
        <v>310</v>
      </c>
      <c r="J27" s="184" t="s">
        <v>311</v>
      </c>
      <c r="K27" s="184" t="s">
        <v>312</v>
      </c>
      <c r="L27" s="152"/>
      <c r="M27" s="152"/>
      <c r="N27" s="152"/>
      <c r="O27" s="152"/>
      <c r="P27" s="152"/>
      <c r="Q27" s="152"/>
    </row>
    <row r="40" spans="11:11" x14ac:dyDescent="0.25">
      <c r="K40" t="s">
        <v>31</v>
      </c>
    </row>
  </sheetData>
  <sheetProtection algorithmName="SHA-512" hashValue="+snUm1RJ2qijpZ542qMLsjePDw/d4B4RITLmV0XPxfMArbjkareQBnU4pFfYVlLmm6B0buxQhTI4w716sqM9ag==" saltValue="JTVaoiWS4wC54YknFxPDdQ==" spinCount="100000" sheet="1" formatCells="0" formatColumns="0" formatRows="0" insertColumns="0" insertRows="0" insertHyperlinks="0" deleteColumns="0" deleteRows="0" sort="0" autoFilter="0" pivotTables="0"/>
  <autoFilter ref="A8:S8" xr:uid="{2E07ECE8-6573-41C6-921C-BDFD165B5D2A}"/>
  <mergeCells count="9">
    <mergeCell ref="H22:I22"/>
    <mergeCell ref="H23:I23"/>
    <mergeCell ref="H24:I24"/>
    <mergeCell ref="A1:B5"/>
    <mergeCell ref="C1:G2"/>
    <mergeCell ref="H1:I2"/>
    <mergeCell ref="C3:I7"/>
    <mergeCell ref="A6:B6"/>
    <mergeCell ref="A7:B7"/>
  </mergeCells>
  <phoneticPr fontId="18" type="noConversion"/>
  <conditionalFormatting sqref="L27:Q27">
    <cfRule type="expression" dxfId="623" priority="25">
      <formula>IFERROR(INDEX(DiasCategorias, L27-FechaInicio+1),0)=1</formula>
    </cfRule>
    <cfRule type="expression" dxfId="622" priority="26">
      <formula>IFERROR(INDEX(DiasCategorias, L27-FechaInicio+1),0)=2</formula>
    </cfRule>
    <cfRule type="expression" dxfId="621" priority="27">
      <formula>IFERROR(INDEX(DiasCategorias, L27-FechaInicio+1),0)=3</formula>
    </cfRule>
    <cfRule type="expression" dxfId="620" priority="28">
      <formula>IFERROR(INDEX(DiasCategorias, L27-FechaInicio+1),0)=4</formula>
    </cfRule>
    <cfRule type="expression" dxfId="619" priority="29">
      <formula>IFERROR(INDEX(DiasCategorias, L27-FechaInicio+1),0)=5</formula>
    </cfRule>
    <cfRule type="expression" dxfId="618" priority="30">
      <formula>IFERROR(INDEX(DiasCategorias, L27-FechaInicio+1),0)=6</formula>
    </cfRule>
    <cfRule type="expression" dxfId="617" priority="31">
      <formula>IFERROR(INDEX(DiasCategorias, L27-FechaInicio+1),0)=7</formula>
    </cfRule>
    <cfRule type="expression" dxfId="616" priority="32">
      <formula>IFERROR(INDEX(DiasCategorias, L27-FechaInicio+1),0)=8</formula>
    </cfRule>
    <cfRule type="expression" dxfId="615" priority="33">
      <formula>IFERROR(INDEX(DiasCategorias, L27-FechaInicio+1),0)=9</formula>
    </cfRule>
    <cfRule type="expression" dxfId="614" priority="34">
      <formula>IFERROR(INDEX(DiasCategorias, L27-FechaInicio+1),0)=10</formula>
    </cfRule>
    <cfRule type="expression" dxfId="613" priority="35">
      <formula>IFERROR(INDEX(DiasCategorias, L27-FechaInicio+1),0)=11</formula>
    </cfRule>
    <cfRule type="expression" dxfId="612" priority="36">
      <formula>IFERROR(INDEX(DiasCategorias, L27-FechaInicio+1),0)=12</formula>
    </cfRule>
  </conditionalFormatting>
  <conditionalFormatting sqref="E27:K27">
    <cfRule type="expression" dxfId="611" priority="1">
      <formula>IFERROR(INDEX(DiasCategorias, E27-FechaInicio+1),0)=1</formula>
    </cfRule>
    <cfRule type="expression" dxfId="610" priority="2">
      <formula>IFERROR(INDEX(DiasCategorias, E27-FechaInicio+1),0)=2</formula>
    </cfRule>
    <cfRule type="expression" dxfId="609" priority="3">
      <formula>IFERROR(INDEX(DiasCategorias, E27-FechaInicio+1),0)=3</formula>
    </cfRule>
    <cfRule type="expression" dxfId="608" priority="4">
      <formula>IFERROR(INDEX(DiasCategorias, E27-FechaInicio+1),0)=4</formula>
    </cfRule>
    <cfRule type="expression" dxfId="607" priority="5">
      <formula>IFERROR(INDEX(DiasCategorias, E27-FechaInicio+1),0)=5</formula>
    </cfRule>
    <cfRule type="expression" dxfId="606" priority="6">
      <formula>IFERROR(INDEX(DiasCategorias, E27-FechaInicio+1),0)=6</formula>
    </cfRule>
    <cfRule type="expression" dxfId="605" priority="7">
      <formula>IFERROR(INDEX(DiasCategorias, E27-FechaInicio+1),0)=7</formula>
    </cfRule>
    <cfRule type="expression" dxfId="604" priority="8">
      <formula>IFERROR(INDEX(DiasCategorias, E27-FechaInicio+1),0)=8</formula>
    </cfRule>
    <cfRule type="expression" dxfId="603" priority="9">
      <formula>IFERROR(INDEX(DiasCategorias, E27-FechaInicio+1),0)=9</formula>
    </cfRule>
    <cfRule type="expression" dxfId="602" priority="10">
      <formula>IFERROR(INDEX(DiasCategorias, E27-FechaInicio+1),0)=10</formula>
    </cfRule>
    <cfRule type="expression" dxfId="601" priority="11">
      <formula>IFERROR(INDEX(DiasCategorias, E27-FechaInicio+1),0)=11</formula>
    </cfRule>
    <cfRule type="expression" dxfId="600" priority="12">
      <formula>IFERROR(INDEX(DiasCategorias, E27-FechaInicio+1),0)=12</formula>
    </cfRule>
  </conditionalFormatting>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390B-CE73-47D5-96B7-568A4744C7D8}">
  <sheetPr codeName="Hoja31">
    <tabColor theme="2" tint="-0.249977111117893"/>
  </sheetPr>
  <dimension ref="A1:W40"/>
  <sheetViews>
    <sheetView topLeftCell="A6"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11" width="15.42578125" bestFit="1" customWidth="1"/>
    <col min="12" max="20" width="16" customWidth="1"/>
  </cols>
  <sheetData>
    <row r="1" spans="1:23" ht="15" customHeight="1" x14ac:dyDescent="0.25">
      <c r="A1" s="268"/>
      <c r="B1" s="268"/>
      <c r="C1" s="281" t="s">
        <v>8</v>
      </c>
      <c r="D1" s="282"/>
      <c r="E1" s="282"/>
      <c r="F1" s="282"/>
      <c r="G1" s="283"/>
      <c r="H1" s="288"/>
      <c r="I1" s="289"/>
    </row>
    <row r="2" spans="1:23" ht="15.75" customHeight="1" thickBot="1" x14ac:dyDescent="0.3">
      <c r="A2" s="268"/>
      <c r="B2" s="268"/>
      <c r="C2" s="285"/>
      <c r="D2" s="286"/>
      <c r="E2" s="286"/>
      <c r="F2" s="286"/>
      <c r="G2" s="287"/>
      <c r="H2" s="288"/>
      <c r="I2" s="289"/>
    </row>
    <row r="3" spans="1:23" x14ac:dyDescent="0.25">
      <c r="A3" s="268"/>
      <c r="B3" s="268"/>
      <c r="C3" s="268"/>
      <c r="D3" s="268"/>
      <c r="E3" s="268"/>
      <c r="F3" s="268"/>
      <c r="G3" s="268"/>
      <c r="H3" s="268"/>
      <c r="I3" s="268"/>
    </row>
    <row r="4" spans="1:23" x14ac:dyDescent="0.25">
      <c r="A4" s="268"/>
      <c r="B4" s="268"/>
      <c r="C4" s="268"/>
      <c r="D4" s="268"/>
      <c r="E4" s="268"/>
      <c r="F4" s="268"/>
      <c r="G4" s="268"/>
      <c r="H4" s="268"/>
      <c r="I4" s="268"/>
    </row>
    <row r="5" spans="1:23" x14ac:dyDescent="0.25">
      <c r="A5" s="268"/>
      <c r="B5" s="268"/>
      <c r="C5" s="268"/>
      <c r="D5" s="268"/>
      <c r="E5" s="268"/>
      <c r="F5" s="268"/>
      <c r="G5" s="268"/>
      <c r="H5" s="268"/>
      <c r="I5" s="268"/>
    </row>
    <row r="6" spans="1:23" ht="27" x14ac:dyDescent="0.5">
      <c r="A6" s="273" t="s">
        <v>10</v>
      </c>
      <c r="B6" s="273"/>
      <c r="C6" s="268"/>
      <c r="D6" s="268"/>
      <c r="E6" s="268"/>
      <c r="F6" s="268"/>
      <c r="G6" s="268"/>
      <c r="H6" s="268"/>
      <c r="I6" s="268"/>
    </row>
    <row r="7" spans="1:23" ht="27.75" thickBot="1" x14ac:dyDescent="0.55000000000000004">
      <c r="A7" s="274">
        <v>24</v>
      </c>
      <c r="B7" s="274"/>
      <c r="C7" s="296"/>
      <c r="D7" s="296"/>
      <c r="E7" s="296"/>
      <c r="F7" s="296"/>
      <c r="G7" s="296"/>
      <c r="H7" s="296"/>
      <c r="I7" s="296"/>
    </row>
    <row r="8" spans="1:23" ht="19.5" thickBot="1" x14ac:dyDescent="0.45">
      <c r="A8" s="29" t="s">
        <v>14</v>
      </c>
      <c r="B8" s="29" t="s">
        <v>15</v>
      </c>
      <c r="C8" s="29" t="s">
        <v>16</v>
      </c>
      <c r="D8" s="29" t="s">
        <v>114</v>
      </c>
      <c r="E8" s="30" t="s">
        <v>17</v>
      </c>
      <c r="F8" s="75" t="s">
        <v>81</v>
      </c>
      <c r="G8" s="75" t="s">
        <v>82</v>
      </c>
      <c r="H8" s="75" t="s">
        <v>83</v>
      </c>
      <c r="I8" s="75" t="s">
        <v>84</v>
      </c>
      <c r="J8" s="75" t="s">
        <v>85</v>
      </c>
      <c r="K8" s="75" t="s">
        <v>86</v>
      </c>
      <c r="L8" s="75" t="s">
        <v>87</v>
      </c>
      <c r="M8" s="75" t="s">
        <v>88</v>
      </c>
      <c r="N8" s="75" t="s">
        <v>89</v>
      </c>
      <c r="O8" s="75" t="s">
        <v>90</v>
      </c>
      <c r="P8" s="75" t="s">
        <v>27</v>
      </c>
      <c r="Q8" s="75" t="s">
        <v>19</v>
      </c>
      <c r="R8" s="75" t="s">
        <v>21</v>
      </c>
      <c r="S8" s="75" t="s">
        <v>28</v>
      </c>
      <c r="T8" s="75" t="s">
        <v>29</v>
      </c>
      <c r="U8" s="30" t="s">
        <v>4</v>
      </c>
      <c r="V8" s="164" t="s">
        <v>18</v>
      </c>
    </row>
    <row r="9" spans="1:23" ht="15.75" thickBot="1" x14ac:dyDescent="0.3">
      <c r="A9" s="80"/>
      <c r="B9" s="81"/>
      <c r="C9" s="81"/>
      <c r="D9" s="156"/>
      <c r="E9" s="162"/>
      <c r="F9" s="78"/>
      <c r="G9" s="78"/>
      <c r="H9" s="81"/>
      <c r="I9" s="81"/>
      <c r="J9" s="81"/>
      <c r="K9" s="81"/>
      <c r="L9" s="81"/>
      <c r="M9" s="81"/>
      <c r="N9" s="81"/>
      <c r="O9" s="81"/>
      <c r="P9" s="81"/>
      <c r="Q9" s="81"/>
      <c r="R9" s="81"/>
      <c r="S9" s="81"/>
      <c r="T9" s="81"/>
      <c r="U9" s="73">
        <f>SUM(F9:T9)</f>
        <v>0</v>
      </c>
      <c r="V9" s="165">
        <f t="shared" ref="V9:V19" si="0">E9-U9</f>
        <v>0</v>
      </c>
      <c r="W9">
        <f>_xlfn.ISOWEEKNUM(A9)</f>
        <v>52</v>
      </c>
    </row>
    <row r="10" spans="1:23" ht="15.75" thickBot="1" x14ac:dyDescent="0.3">
      <c r="A10" s="80"/>
      <c r="B10" s="81"/>
      <c r="C10" s="81"/>
      <c r="D10" s="154"/>
      <c r="E10" s="162"/>
      <c r="F10" s="78"/>
      <c r="G10" s="78"/>
      <c r="H10" s="78"/>
      <c r="I10" s="78"/>
      <c r="J10" s="81"/>
      <c r="K10" s="81"/>
      <c r="L10" s="81"/>
      <c r="M10" s="81"/>
      <c r="N10" s="81"/>
      <c r="O10" s="81"/>
      <c r="P10" s="81"/>
      <c r="Q10" s="81"/>
      <c r="R10" s="81"/>
      <c r="S10" s="81"/>
      <c r="T10" s="81"/>
      <c r="U10" s="73">
        <f t="shared" ref="U10:U19" si="1">SUM(F10:T10)</f>
        <v>0</v>
      </c>
      <c r="V10" s="165">
        <f t="shared" si="0"/>
        <v>0</v>
      </c>
    </row>
    <row r="11" spans="1:23" ht="15.75" thickBot="1" x14ac:dyDescent="0.3">
      <c r="A11" s="80"/>
      <c r="B11" s="81"/>
      <c r="C11" s="81"/>
      <c r="D11" s="154"/>
      <c r="E11" s="162"/>
      <c r="F11" s="78"/>
      <c r="G11" s="78"/>
      <c r="H11" s="78"/>
      <c r="I11" s="78"/>
      <c r="J11" s="81"/>
      <c r="K11" s="81"/>
      <c r="L11" s="81"/>
      <c r="M11" s="81"/>
      <c r="N11" s="81"/>
      <c r="O11" s="81"/>
      <c r="P11" s="81"/>
      <c r="Q11" s="81"/>
      <c r="R11" s="81"/>
      <c r="S11" s="81"/>
      <c r="T11" s="81"/>
      <c r="U11" s="73">
        <f t="shared" si="1"/>
        <v>0</v>
      </c>
      <c r="V11" s="165">
        <f t="shared" si="0"/>
        <v>0</v>
      </c>
    </row>
    <row r="12" spans="1:23" ht="15.75" thickBot="1" x14ac:dyDescent="0.3">
      <c r="A12" s="80"/>
      <c r="B12" s="81"/>
      <c r="C12" s="81"/>
      <c r="D12" s="154"/>
      <c r="E12" s="162"/>
      <c r="F12" s="78"/>
      <c r="G12" s="78"/>
      <c r="H12" s="78"/>
      <c r="I12" s="78"/>
      <c r="J12" s="81"/>
      <c r="K12" s="81"/>
      <c r="L12" s="81"/>
      <c r="M12" s="81"/>
      <c r="N12" s="81"/>
      <c r="O12" s="81"/>
      <c r="P12" s="81"/>
      <c r="Q12" s="81"/>
      <c r="R12" s="81"/>
      <c r="S12" s="81"/>
      <c r="T12" s="81"/>
      <c r="U12" s="73">
        <f t="shared" si="1"/>
        <v>0</v>
      </c>
      <c r="V12" s="165">
        <f t="shared" si="0"/>
        <v>0</v>
      </c>
    </row>
    <row r="13" spans="1:23" ht="15.75" thickBot="1" x14ac:dyDescent="0.3">
      <c r="A13" s="80"/>
      <c r="B13" s="81"/>
      <c r="C13" s="81"/>
      <c r="D13" s="154"/>
      <c r="E13" s="162"/>
      <c r="F13" s="78"/>
      <c r="G13" s="78"/>
      <c r="H13" s="78"/>
      <c r="I13" s="78"/>
      <c r="J13" s="81"/>
      <c r="K13" s="81"/>
      <c r="L13" s="81"/>
      <c r="M13" s="81"/>
      <c r="N13" s="81"/>
      <c r="O13" s="81"/>
      <c r="P13" s="81"/>
      <c r="Q13" s="81"/>
      <c r="R13" s="81"/>
      <c r="S13" s="81"/>
      <c r="T13" s="81"/>
      <c r="U13" s="73">
        <f t="shared" si="1"/>
        <v>0</v>
      </c>
      <c r="V13" s="165">
        <f t="shared" si="0"/>
        <v>0</v>
      </c>
    </row>
    <row r="14" spans="1:23" ht="15.75" thickBot="1" x14ac:dyDescent="0.3">
      <c r="A14" s="80"/>
      <c r="B14" s="81"/>
      <c r="C14" s="81"/>
      <c r="D14" s="154"/>
      <c r="E14" s="162"/>
      <c r="F14" s="78"/>
      <c r="G14" s="78"/>
      <c r="H14" s="78"/>
      <c r="I14" s="78"/>
      <c r="J14" s="81"/>
      <c r="K14" s="81"/>
      <c r="L14" s="81"/>
      <c r="M14" s="81"/>
      <c r="N14" s="81"/>
      <c r="O14" s="81"/>
      <c r="P14" s="81"/>
      <c r="Q14" s="81"/>
      <c r="R14" s="81"/>
      <c r="S14" s="81"/>
      <c r="T14" s="81"/>
      <c r="U14" s="73">
        <f t="shared" si="1"/>
        <v>0</v>
      </c>
      <c r="V14" s="165">
        <f t="shared" si="0"/>
        <v>0</v>
      </c>
    </row>
    <row r="15" spans="1:23" ht="15.75" thickBot="1" x14ac:dyDescent="0.3">
      <c r="A15" s="80"/>
      <c r="B15" s="81"/>
      <c r="C15" s="81"/>
      <c r="D15" s="154"/>
      <c r="E15" s="162"/>
      <c r="F15" s="78"/>
      <c r="G15" s="78"/>
      <c r="H15" s="78"/>
      <c r="I15" s="78"/>
      <c r="J15" s="81"/>
      <c r="K15" s="81"/>
      <c r="L15" s="81"/>
      <c r="M15" s="81"/>
      <c r="N15" s="81"/>
      <c r="O15" s="81"/>
      <c r="P15" s="81"/>
      <c r="Q15" s="81"/>
      <c r="R15" s="81"/>
      <c r="S15" s="81"/>
      <c r="T15" s="81"/>
      <c r="U15" s="73">
        <f t="shared" si="1"/>
        <v>0</v>
      </c>
      <c r="V15" s="165">
        <f t="shared" si="0"/>
        <v>0</v>
      </c>
    </row>
    <row r="16" spans="1:23" ht="15.75" thickBot="1" x14ac:dyDescent="0.3">
      <c r="A16" s="80"/>
      <c r="B16" s="81"/>
      <c r="C16" s="81"/>
      <c r="D16" s="154"/>
      <c r="E16" s="162"/>
      <c r="F16" s="78"/>
      <c r="G16" s="78"/>
      <c r="H16" s="78"/>
      <c r="I16" s="78"/>
      <c r="J16" s="81"/>
      <c r="K16" s="81"/>
      <c r="L16" s="81"/>
      <c r="M16" s="81"/>
      <c r="N16" s="81"/>
      <c r="O16" s="81"/>
      <c r="P16" s="81"/>
      <c r="Q16" s="81"/>
      <c r="R16" s="81"/>
      <c r="S16" s="81"/>
      <c r="T16" s="81"/>
      <c r="U16" s="73">
        <f t="shared" si="1"/>
        <v>0</v>
      </c>
      <c r="V16" s="165">
        <f t="shared" si="0"/>
        <v>0</v>
      </c>
    </row>
    <row r="17" spans="1:22" ht="15.75" thickBot="1" x14ac:dyDescent="0.3">
      <c r="A17" s="80"/>
      <c r="B17" s="81"/>
      <c r="C17" s="81"/>
      <c r="D17" s="154"/>
      <c r="E17" s="162"/>
      <c r="F17" s="78"/>
      <c r="G17" s="78"/>
      <c r="H17" s="78"/>
      <c r="I17" s="78"/>
      <c r="J17" s="81"/>
      <c r="K17" s="81"/>
      <c r="L17" s="81"/>
      <c r="M17" s="81"/>
      <c r="N17" s="81"/>
      <c r="O17" s="81"/>
      <c r="P17" s="81"/>
      <c r="Q17" s="81"/>
      <c r="R17" s="81"/>
      <c r="S17" s="81"/>
      <c r="T17" s="81"/>
      <c r="U17" s="73">
        <f t="shared" si="1"/>
        <v>0</v>
      </c>
      <c r="V17" s="165">
        <f t="shared" si="0"/>
        <v>0</v>
      </c>
    </row>
    <row r="18" spans="1:22" ht="15.75" thickBot="1" x14ac:dyDescent="0.3">
      <c r="A18" s="80"/>
      <c r="B18" s="81"/>
      <c r="C18" s="81"/>
      <c r="D18" s="154"/>
      <c r="E18" s="162"/>
      <c r="F18" s="78"/>
      <c r="G18" s="78"/>
      <c r="H18" s="78"/>
      <c r="I18" s="78"/>
      <c r="J18" s="81"/>
      <c r="K18" s="81"/>
      <c r="L18" s="81"/>
      <c r="M18" s="81"/>
      <c r="N18" s="81"/>
      <c r="O18" s="81"/>
      <c r="P18" s="81"/>
      <c r="Q18" s="81"/>
      <c r="R18" s="81"/>
      <c r="S18" s="81"/>
      <c r="T18" s="81"/>
      <c r="U18" s="73">
        <f t="shared" si="1"/>
        <v>0</v>
      </c>
      <c r="V18" s="165">
        <f t="shared" si="0"/>
        <v>0</v>
      </c>
    </row>
    <row r="19" spans="1:22" ht="15.75" thickBot="1" x14ac:dyDescent="0.3">
      <c r="A19" s="80"/>
      <c r="B19" s="81"/>
      <c r="C19" s="81"/>
      <c r="D19" s="154"/>
      <c r="E19" s="162"/>
      <c r="F19" s="78"/>
      <c r="G19" s="78"/>
      <c r="H19" s="78"/>
      <c r="I19" s="78"/>
      <c r="J19" s="81"/>
      <c r="K19" s="81"/>
      <c r="L19" s="81"/>
      <c r="M19" s="81"/>
      <c r="N19" s="81"/>
      <c r="O19" s="81"/>
      <c r="P19" s="81"/>
      <c r="Q19" s="81"/>
      <c r="R19" s="81"/>
      <c r="S19" s="81"/>
      <c r="T19" s="81"/>
      <c r="U19" s="73">
        <f t="shared" si="1"/>
        <v>0</v>
      </c>
      <c r="V19" s="165">
        <f t="shared" si="0"/>
        <v>0</v>
      </c>
    </row>
    <row r="20" spans="1:22" ht="15.75" thickBot="1" x14ac:dyDescent="0.3">
      <c r="A20" t="s">
        <v>4</v>
      </c>
      <c r="E20" s="163">
        <f>SUM(E9:E19)</f>
        <v>0</v>
      </c>
      <c r="F20" s="12"/>
      <c r="G20" s="12"/>
      <c r="H20" s="12"/>
      <c r="I20" s="12"/>
      <c r="J20" s="6"/>
      <c r="K20" s="6"/>
      <c r="L20" s="6"/>
      <c r="M20" s="6"/>
      <c r="N20" s="6"/>
      <c r="O20" s="6"/>
      <c r="P20" s="6"/>
      <c r="Q20" s="6"/>
      <c r="R20" s="6"/>
      <c r="S20" s="6"/>
      <c r="T20" s="6"/>
      <c r="U20" s="73">
        <f>SUM(U9:U19)</f>
        <v>0</v>
      </c>
      <c r="V20" s="166">
        <f>SUM(V9:V19)</f>
        <v>0</v>
      </c>
    </row>
    <row r="21" spans="1:22" ht="15.75" thickBot="1" x14ac:dyDescent="0.3"/>
    <row r="22" spans="1:22" ht="16.5" thickBot="1" x14ac:dyDescent="0.35">
      <c r="H22" s="291" t="s">
        <v>20</v>
      </c>
      <c r="I22" s="292"/>
      <c r="J22" s="15">
        <f>E20</f>
        <v>0</v>
      </c>
    </row>
    <row r="23" spans="1:22" ht="19.5" thickBot="1" x14ac:dyDescent="0.45">
      <c r="H23" s="279" t="s">
        <v>3</v>
      </c>
      <c r="I23" s="280"/>
      <c r="J23" s="16">
        <f>U20</f>
        <v>0</v>
      </c>
    </row>
    <row r="24" spans="1:22" ht="19.5" thickBot="1" x14ac:dyDescent="0.45">
      <c r="H24" s="279" t="s">
        <v>7</v>
      </c>
      <c r="I24" s="279"/>
      <c r="J24" s="13">
        <f>V20</f>
        <v>0</v>
      </c>
    </row>
    <row r="26" spans="1:22"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row>
    <row r="27" spans="1:22" ht="18.75" x14ac:dyDescent="0.25">
      <c r="D27" s="140" t="s">
        <v>148</v>
      </c>
      <c r="E27" s="141" t="s">
        <v>313</v>
      </c>
      <c r="F27" s="141" t="s">
        <v>314</v>
      </c>
      <c r="G27" s="141" t="s">
        <v>315</v>
      </c>
      <c r="H27" s="141" t="s">
        <v>316</v>
      </c>
      <c r="I27" s="141" t="s">
        <v>317</v>
      </c>
      <c r="J27" s="184" t="s">
        <v>318</v>
      </c>
      <c r="K27" s="184" t="s">
        <v>319</v>
      </c>
      <c r="L27" s="152"/>
      <c r="M27" s="152"/>
      <c r="N27" s="152"/>
      <c r="O27" s="152"/>
      <c r="P27" s="152"/>
      <c r="Q27" s="152"/>
      <c r="R27" s="152"/>
      <c r="S27" s="152"/>
      <c r="T27" s="152"/>
    </row>
    <row r="40" spans="11:11" x14ac:dyDescent="0.25">
      <c r="K40" t="s">
        <v>31</v>
      </c>
    </row>
  </sheetData>
  <sheetProtection algorithmName="SHA-512" hashValue="jNPa9ltJcJPQQj44KLM+9C6J+hojTy+AOrkGdBSb7cXD/xyxIPHI8gko5zhRQ96wLe/X70RDK7kRhLHkCMI3aA==" saltValue="auVHDgnNru76/VBEYWgAYA==" spinCount="100000" sheet="1" formatCells="0" formatColumns="0" formatRows="0" insertColumns="0" insertRows="0" insertHyperlinks="0" deleteColumns="0" deleteRows="0" sort="0" autoFilter="0" pivotTables="0"/>
  <autoFilter ref="A8:V8" xr:uid="{0BF6390B-CE73-47D5-96B7-568A4744C7D8}"/>
  <mergeCells count="9">
    <mergeCell ref="H22:I22"/>
    <mergeCell ref="H23:I23"/>
    <mergeCell ref="H24:I24"/>
    <mergeCell ref="A1:B5"/>
    <mergeCell ref="C1:G2"/>
    <mergeCell ref="H1:I2"/>
    <mergeCell ref="C3:I7"/>
    <mergeCell ref="A6:B6"/>
    <mergeCell ref="A7:B7"/>
  </mergeCells>
  <phoneticPr fontId="18" type="noConversion"/>
  <conditionalFormatting sqref="L27:T27">
    <cfRule type="expression" dxfId="599" priority="25">
      <formula>IFERROR(INDEX(DiasCategorias, L27-FechaInicio+1),0)=1</formula>
    </cfRule>
    <cfRule type="expression" dxfId="598" priority="26">
      <formula>IFERROR(INDEX(DiasCategorias, L27-FechaInicio+1),0)=2</formula>
    </cfRule>
    <cfRule type="expression" dxfId="597" priority="27">
      <formula>IFERROR(INDEX(DiasCategorias, L27-FechaInicio+1),0)=3</formula>
    </cfRule>
    <cfRule type="expression" dxfId="596" priority="28">
      <formula>IFERROR(INDEX(DiasCategorias, L27-FechaInicio+1),0)=4</formula>
    </cfRule>
    <cfRule type="expression" dxfId="595" priority="29">
      <formula>IFERROR(INDEX(DiasCategorias, L27-FechaInicio+1),0)=5</formula>
    </cfRule>
    <cfRule type="expression" dxfId="594" priority="30">
      <formula>IFERROR(INDEX(DiasCategorias, L27-FechaInicio+1),0)=6</formula>
    </cfRule>
    <cfRule type="expression" dxfId="593" priority="31">
      <formula>IFERROR(INDEX(DiasCategorias, L27-FechaInicio+1),0)=7</formula>
    </cfRule>
    <cfRule type="expression" dxfId="592" priority="32">
      <formula>IFERROR(INDEX(DiasCategorias, L27-FechaInicio+1),0)=8</formula>
    </cfRule>
    <cfRule type="expression" dxfId="591" priority="33">
      <formula>IFERROR(INDEX(DiasCategorias, L27-FechaInicio+1),0)=9</formula>
    </cfRule>
    <cfRule type="expression" dxfId="590" priority="34">
      <formula>IFERROR(INDEX(DiasCategorias, L27-FechaInicio+1),0)=10</formula>
    </cfRule>
    <cfRule type="expression" dxfId="589" priority="35">
      <formula>IFERROR(INDEX(DiasCategorias, L27-FechaInicio+1),0)=11</formula>
    </cfRule>
    <cfRule type="expression" dxfId="588" priority="36">
      <formula>IFERROR(INDEX(DiasCategorias, L27-FechaInicio+1),0)=12</formula>
    </cfRule>
  </conditionalFormatting>
  <conditionalFormatting sqref="E27:K27">
    <cfRule type="expression" dxfId="587" priority="1">
      <formula>IFERROR(INDEX(DiasCategorias, E27-FechaInicio+1),0)=1</formula>
    </cfRule>
    <cfRule type="expression" dxfId="586" priority="2">
      <formula>IFERROR(INDEX(DiasCategorias, E27-FechaInicio+1),0)=2</formula>
    </cfRule>
    <cfRule type="expression" dxfId="585" priority="3">
      <formula>IFERROR(INDEX(DiasCategorias, E27-FechaInicio+1),0)=3</formula>
    </cfRule>
    <cfRule type="expression" dxfId="584" priority="4">
      <formula>IFERROR(INDEX(DiasCategorias, E27-FechaInicio+1),0)=4</formula>
    </cfRule>
    <cfRule type="expression" dxfId="583" priority="5">
      <formula>IFERROR(INDEX(DiasCategorias, E27-FechaInicio+1),0)=5</formula>
    </cfRule>
    <cfRule type="expression" dxfId="582" priority="6">
      <formula>IFERROR(INDEX(DiasCategorias, E27-FechaInicio+1),0)=6</formula>
    </cfRule>
    <cfRule type="expression" dxfId="581" priority="7">
      <formula>IFERROR(INDEX(DiasCategorias, E27-FechaInicio+1),0)=7</formula>
    </cfRule>
    <cfRule type="expression" dxfId="580" priority="8">
      <formula>IFERROR(INDEX(DiasCategorias, E27-FechaInicio+1),0)=8</formula>
    </cfRule>
    <cfRule type="expression" dxfId="579" priority="9">
      <formula>IFERROR(INDEX(DiasCategorias, E27-FechaInicio+1),0)=9</formula>
    </cfRule>
    <cfRule type="expression" dxfId="578" priority="10">
      <formula>IFERROR(INDEX(DiasCategorias, E27-FechaInicio+1),0)=10</formula>
    </cfRule>
    <cfRule type="expression" dxfId="577" priority="11">
      <formula>IFERROR(INDEX(DiasCategorias, E27-FechaInicio+1),0)=11</formula>
    </cfRule>
    <cfRule type="expression" dxfId="576" priority="12">
      <formula>IFERROR(INDEX(DiasCategorias, E27-FechaInicio+1),0)=12</formula>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7A686-B614-4970-84CA-D456BCF04D12}">
  <sheetPr codeName="Hoja30">
    <tabColor rgb="FF7030A0"/>
  </sheetPr>
  <dimension ref="A1:V40"/>
  <sheetViews>
    <sheetView workbookViewId="0">
      <selection activeCell="E27" sqref="E27:K27"/>
    </sheetView>
  </sheetViews>
  <sheetFormatPr baseColWidth="10" defaultRowHeight="15" x14ac:dyDescent="0.25"/>
  <cols>
    <col min="2" max="2" width="9.140625" customWidth="1"/>
    <col min="3" max="3" width="27.5703125" bestFit="1" customWidth="1"/>
    <col min="5" max="5" width="13.140625" bestFit="1" customWidth="1"/>
    <col min="6" max="6" width="16.140625" customWidth="1"/>
    <col min="7" max="7" width="15.85546875" customWidth="1"/>
    <col min="8" max="8" width="14.140625" customWidth="1"/>
    <col min="9" max="9" width="14.42578125" customWidth="1"/>
    <col min="10" max="10" width="15.5703125" customWidth="1"/>
    <col min="11" max="19" width="15.28515625"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75" thickBot="1" x14ac:dyDescent="0.55000000000000004">
      <c r="A7" s="274">
        <v>25</v>
      </c>
      <c r="B7" s="274"/>
      <c r="C7" s="296"/>
      <c r="D7" s="296"/>
      <c r="E7" s="296"/>
      <c r="F7" s="296"/>
      <c r="G7" s="296"/>
      <c r="H7" s="296"/>
      <c r="I7" s="296"/>
    </row>
    <row r="8" spans="1:22" ht="19.5" thickBot="1" x14ac:dyDescent="0.45">
      <c r="A8" s="29" t="s">
        <v>14</v>
      </c>
      <c r="B8" s="29" t="s">
        <v>15</v>
      </c>
      <c r="C8" s="29" t="s">
        <v>16</v>
      </c>
      <c r="D8" s="29" t="s">
        <v>114</v>
      </c>
      <c r="E8" s="30" t="s">
        <v>17</v>
      </c>
      <c r="F8" s="75" t="s">
        <v>82</v>
      </c>
      <c r="G8" s="75" t="s">
        <v>83</v>
      </c>
      <c r="H8" s="75" t="s">
        <v>84</v>
      </c>
      <c r="I8" s="75" t="s">
        <v>85</v>
      </c>
      <c r="J8" s="75" t="s">
        <v>86</v>
      </c>
      <c r="K8" s="75" t="s">
        <v>87</v>
      </c>
      <c r="L8" s="75" t="s">
        <v>88</v>
      </c>
      <c r="M8" s="75" t="s">
        <v>89</v>
      </c>
      <c r="N8" s="75" t="s">
        <v>90</v>
      </c>
      <c r="O8" s="75" t="s">
        <v>27</v>
      </c>
      <c r="P8" s="75" t="s">
        <v>19</v>
      </c>
      <c r="Q8" s="75" t="s">
        <v>21</v>
      </c>
      <c r="R8" s="75" t="s">
        <v>28</v>
      </c>
      <c r="S8" s="75" t="s">
        <v>29</v>
      </c>
      <c r="T8" s="30" t="s">
        <v>4</v>
      </c>
      <c r="U8" s="164" t="s">
        <v>18</v>
      </c>
    </row>
    <row r="9" spans="1:22" ht="15.75" thickBot="1" x14ac:dyDescent="0.3">
      <c r="A9" s="80"/>
      <c r="B9" s="81"/>
      <c r="C9" s="81"/>
      <c r="D9" s="154"/>
      <c r="E9" s="162"/>
      <c r="F9" s="78"/>
      <c r="G9" s="78"/>
      <c r="H9" s="81"/>
      <c r="I9" s="81"/>
      <c r="J9" s="81"/>
      <c r="K9" s="81"/>
      <c r="L9" s="81"/>
      <c r="M9" s="81"/>
      <c r="N9" s="81"/>
      <c r="O9" s="81"/>
      <c r="P9" s="81"/>
      <c r="Q9" s="81"/>
      <c r="R9" s="81"/>
      <c r="S9" s="81"/>
      <c r="T9" s="73">
        <f>SUM(F9:S9)</f>
        <v>0</v>
      </c>
      <c r="U9" s="165">
        <f t="shared" ref="U9:U19" si="0">E9-T9</f>
        <v>0</v>
      </c>
      <c r="V9">
        <f>_xlfn.ISOWEEKNUM(A9)</f>
        <v>52</v>
      </c>
    </row>
    <row r="10" spans="1:22" ht="15.75" thickBot="1" x14ac:dyDescent="0.3">
      <c r="A10" s="80"/>
      <c r="B10" s="81"/>
      <c r="C10" s="81"/>
      <c r="D10" s="154"/>
      <c r="E10" s="162"/>
      <c r="F10" s="78"/>
      <c r="G10" s="78"/>
      <c r="H10" s="78"/>
      <c r="I10" s="78"/>
      <c r="J10" s="81"/>
      <c r="K10" s="81"/>
      <c r="L10" s="81"/>
      <c r="M10" s="81"/>
      <c r="N10" s="81"/>
      <c r="O10" s="81"/>
      <c r="P10" s="81"/>
      <c r="Q10" s="81"/>
      <c r="R10" s="81"/>
      <c r="S10" s="81"/>
      <c r="T10" s="73">
        <f t="shared" ref="T10:T19" si="1">SUM(F10:S10)</f>
        <v>0</v>
      </c>
      <c r="U10" s="165">
        <f t="shared" si="0"/>
        <v>0</v>
      </c>
    </row>
    <row r="11" spans="1:22" ht="15.75" thickBot="1" x14ac:dyDescent="0.3">
      <c r="A11" s="80"/>
      <c r="B11" s="81"/>
      <c r="C11" s="81"/>
      <c r="D11" s="154"/>
      <c r="E11" s="162"/>
      <c r="F11" s="78"/>
      <c r="G11" s="78"/>
      <c r="H11" s="78"/>
      <c r="I11" s="78"/>
      <c r="J11" s="81"/>
      <c r="K11" s="81"/>
      <c r="L11" s="81"/>
      <c r="M11" s="81"/>
      <c r="N11" s="81"/>
      <c r="O11" s="81"/>
      <c r="P11" s="81"/>
      <c r="Q11" s="81"/>
      <c r="R11" s="81"/>
      <c r="S11" s="81"/>
      <c r="T11" s="73">
        <f t="shared" si="1"/>
        <v>0</v>
      </c>
      <c r="U11" s="165">
        <f t="shared" si="0"/>
        <v>0</v>
      </c>
    </row>
    <row r="12" spans="1:22" ht="15.75" thickBot="1" x14ac:dyDescent="0.3">
      <c r="A12" s="80"/>
      <c r="B12" s="81"/>
      <c r="C12" s="81"/>
      <c r="D12" s="154"/>
      <c r="E12" s="162"/>
      <c r="F12" s="78"/>
      <c r="G12" s="78"/>
      <c r="H12" s="78"/>
      <c r="I12" s="78"/>
      <c r="J12" s="81"/>
      <c r="K12" s="81"/>
      <c r="L12" s="81"/>
      <c r="M12" s="81"/>
      <c r="N12" s="81"/>
      <c r="O12" s="81"/>
      <c r="P12" s="81"/>
      <c r="Q12" s="81"/>
      <c r="R12" s="81"/>
      <c r="S12" s="81"/>
      <c r="T12" s="73">
        <f t="shared" si="1"/>
        <v>0</v>
      </c>
      <c r="U12" s="165">
        <f t="shared" si="0"/>
        <v>0</v>
      </c>
    </row>
    <row r="13" spans="1:22" ht="15.75" thickBot="1" x14ac:dyDescent="0.3">
      <c r="A13" s="80"/>
      <c r="B13" s="81"/>
      <c r="C13" s="81"/>
      <c r="D13" s="154"/>
      <c r="E13" s="162"/>
      <c r="F13" s="78"/>
      <c r="G13" s="78"/>
      <c r="H13" s="78"/>
      <c r="I13" s="78"/>
      <c r="J13" s="81"/>
      <c r="K13" s="81"/>
      <c r="L13" s="81"/>
      <c r="M13" s="81"/>
      <c r="N13" s="81"/>
      <c r="O13" s="81"/>
      <c r="P13" s="81"/>
      <c r="Q13" s="81"/>
      <c r="R13" s="81"/>
      <c r="S13" s="81"/>
      <c r="T13" s="73">
        <f t="shared" si="1"/>
        <v>0</v>
      </c>
      <c r="U13" s="165">
        <f t="shared" si="0"/>
        <v>0</v>
      </c>
    </row>
    <row r="14" spans="1:22" ht="15.75" thickBot="1" x14ac:dyDescent="0.3">
      <c r="A14" s="80"/>
      <c r="B14" s="81"/>
      <c r="C14" s="81"/>
      <c r="D14" s="154"/>
      <c r="E14" s="162"/>
      <c r="F14" s="78"/>
      <c r="G14" s="78"/>
      <c r="H14" s="78"/>
      <c r="I14" s="78"/>
      <c r="J14" s="81"/>
      <c r="K14" s="81"/>
      <c r="L14" s="81"/>
      <c r="M14" s="81"/>
      <c r="N14" s="81"/>
      <c r="O14" s="81"/>
      <c r="P14" s="81"/>
      <c r="Q14" s="81"/>
      <c r="R14" s="81"/>
      <c r="S14" s="81"/>
      <c r="T14" s="73">
        <f t="shared" si="1"/>
        <v>0</v>
      </c>
      <c r="U14" s="165">
        <f t="shared" si="0"/>
        <v>0</v>
      </c>
    </row>
    <row r="15" spans="1:22" ht="15.75" thickBot="1" x14ac:dyDescent="0.3">
      <c r="A15" s="80"/>
      <c r="B15" s="81"/>
      <c r="C15" s="81"/>
      <c r="D15" s="154"/>
      <c r="E15" s="162"/>
      <c r="F15" s="78"/>
      <c r="G15" s="78"/>
      <c r="H15" s="78"/>
      <c r="I15" s="78"/>
      <c r="J15" s="81"/>
      <c r="K15" s="81"/>
      <c r="L15" s="81"/>
      <c r="M15" s="81"/>
      <c r="N15" s="81"/>
      <c r="O15" s="81"/>
      <c r="P15" s="81"/>
      <c r="Q15" s="81"/>
      <c r="R15" s="81"/>
      <c r="S15" s="81"/>
      <c r="T15" s="73">
        <f t="shared" si="1"/>
        <v>0</v>
      </c>
      <c r="U15" s="165">
        <f t="shared" si="0"/>
        <v>0</v>
      </c>
    </row>
    <row r="16" spans="1:22" ht="15.75" thickBot="1" x14ac:dyDescent="0.3">
      <c r="A16" s="80"/>
      <c r="B16" s="81"/>
      <c r="C16" s="81"/>
      <c r="D16" s="154"/>
      <c r="E16" s="162"/>
      <c r="F16" s="78"/>
      <c r="G16" s="78"/>
      <c r="H16" s="78"/>
      <c r="I16" s="78"/>
      <c r="J16" s="81"/>
      <c r="K16" s="81"/>
      <c r="L16" s="81"/>
      <c r="M16" s="81"/>
      <c r="N16" s="81"/>
      <c r="O16" s="81"/>
      <c r="P16" s="81"/>
      <c r="Q16" s="81"/>
      <c r="R16" s="81"/>
      <c r="S16" s="81"/>
      <c r="T16" s="73">
        <f t="shared" si="1"/>
        <v>0</v>
      </c>
      <c r="U16" s="165">
        <f t="shared" si="0"/>
        <v>0</v>
      </c>
    </row>
    <row r="17" spans="1:21" ht="15.75" thickBot="1" x14ac:dyDescent="0.3">
      <c r="A17" s="80"/>
      <c r="B17" s="81"/>
      <c r="C17" s="81"/>
      <c r="D17" s="154"/>
      <c r="E17" s="162"/>
      <c r="F17" s="78"/>
      <c r="G17" s="78"/>
      <c r="H17" s="78"/>
      <c r="I17" s="78"/>
      <c r="J17" s="81"/>
      <c r="K17" s="81"/>
      <c r="L17" s="81"/>
      <c r="M17" s="81"/>
      <c r="N17" s="81"/>
      <c r="O17" s="81"/>
      <c r="P17" s="81"/>
      <c r="Q17" s="81"/>
      <c r="R17" s="81"/>
      <c r="S17" s="81"/>
      <c r="T17" s="73">
        <f t="shared" si="1"/>
        <v>0</v>
      </c>
      <c r="U17" s="165">
        <f t="shared" si="0"/>
        <v>0</v>
      </c>
    </row>
    <row r="18" spans="1:21" ht="15.75" thickBot="1" x14ac:dyDescent="0.3">
      <c r="A18" s="80"/>
      <c r="B18" s="81"/>
      <c r="C18" s="81"/>
      <c r="D18" s="154"/>
      <c r="E18" s="162"/>
      <c r="F18" s="78"/>
      <c r="G18" s="78"/>
      <c r="H18" s="78"/>
      <c r="I18" s="78"/>
      <c r="J18" s="81"/>
      <c r="K18" s="81"/>
      <c r="L18" s="81"/>
      <c r="M18" s="81"/>
      <c r="N18" s="81"/>
      <c r="O18" s="81"/>
      <c r="P18" s="81"/>
      <c r="Q18" s="81"/>
      <c r="R18" s="81"/>
      <c r="S18" s="81"/>
      <c r="T18" s="73">
        <f t="shared" si="1"/>
        <v>0</v>
      </c>
      <c r="U18" s="165">
        <f t="shared" si="0"/>
        <v>0</v>
      </c>
    </row>
    <row r="19" spans="1:21" ht="15.75" thickBot="1" x14ac:dyDescent="0.3">
      <c r="A19" s="80"/>
      <c r="B19" s="81"/>
      <c r="C19" s="81"/>
      <c r="D19" s="154"/>
      <c r="E19" s="162"/>
      <c r="F19" s="78"/>
      <c r="G19" s="78"/>
      <c r="H19" s="78"/>
      <c r="I19" s="78"/>
      <c r="J19" s="81"/>
      <c r="K19" s="81"/>
      <c r="L19" s="81"/>
      <c r="M19" s="81"/>
      <c r="N19" s="81"/>
      <c r="O19" s="81"/>
      <c r="P19" s="81"/>
      <c r="Q19" s="81"/>
      <c r="R19" s="81"/>
      <c r="S19" s="81"/>
      <c r="T19" s="73">
        <f t="shared" si="1"/>
        <v>0</v>
      </c>
      <c r="U19" s="165">
        <f t="shared" si="0"/>
        <v>0</v>
      </c>
    </row>
    <row r="20" spans="1:21" ht="15.75" thickBot="1" x14ac:dyDescent="0.3">
      <c r="A20" t="s">
        <v>4</v>
      </c>
      <c r="E20" s="163">
        <f>SUM(E9:E19)</f>
        <v>0</v>
      </c>
      <c r="F20" s="12"/>
      <c r="G20" s="12"/>
      <c r="H20" s="12"/>
      <c r="I20" s="12"/>
      <c r="J20" s="6"/>
      <c r="K20" s="6"/>
      <c r="L20" s="6"/>
      <c r="M20" s="6"/>
      <c r="N20" s="6"/>
      <c r="O20" s="6"/>
      <c r="P20" s="6"/>
      <c r="Q20" s="6"/>
      <c r="R20" s="6"/>
      <c r="S20" s="6"/>
      <c r="T20" s="73">
        <f>SUM(T9:T19)</f>
        <v>0</v>
      </c>
      <c r="U20" s="166">
        <f>SUM(U9:U19)</f>
        <v>0</v>
      </c>
    </row>
    <row r="21" spans="1:21" ht="15.75" thickBot="1" x14ac:dyDescent="0.3"/>
    <row r="22" spans="1:21" ht="16.5" thickBot="1" x14ac:dyDescent="0.35">
      <c r="H22" s="291" t="s">
        <v>20</v>
      </c>
      <c r="I22" s="292"/>
      <c r="J22" s="15">
        <f>E20</f>
        <v>0</v>
      </c>
    </row>
    <row r="23" spans="1:21" ht="19.5" thickBot="1" x14ac:dyDescent="0.45">
      <c r="H23" s="279" t="s">
        <v>3</v>
      </c>
      <c r="I23" s="280"/>
      <c r="J23" s="16">
        <f>T20</f>
        <v>0</v>
      </c>
    </row>
    <row r="24" spans="1:21" ht="19.5" thickBot="1" x14ac:dyDescent="0.45">
      <c r="H24" s="279" t="s">
        <v>7</v>
      </c>
      <c r="I24" s="279"/>
      <c r="J24" s="13">
        <f>U20</f>
        <v>0</v>
      </c>
    </row>
    <row r="26" spans="1:21"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row>
    <row r="27" spans="1:21" ht="18.75" x14ac:dyDescent="0.25">
      <c r="D27" s="140" t="s">
        <v>149</v>
      </c>
      <c r="E27" s="141" t="s">
        <v>320</v>
      </c>
      <c r="F27" s="141" t="s">
        <v>321</v>
      </c>
      <c r="G27" s="141" t="s">
        <v>322</v>
      </c>
      <c r="H27" s="141" t="s">
        <v>323</v>
      </c>
      <c r="I27" s="141" t="s">
        <v>324</v>
      </c>
      <c r="J27" s="184" t="s">
        <v>325</v>
      </c>
      <c r="K27" s="184" t="s">
        <v>326</v>
      </c>
      <c r="L27" s="152"/>
      <c r="M27" s="152"/>
      <c r="N27" s="152"/>
      <c r="O27" s="152"/>
      <c r="P27" s="152"/>
      <c r="Q27" s="152"/>
      <c r="R27" s="152"/>
      <c r="S27" s="152"/>
    </row>
    <row r="40" spans="11:11" x14ac:dyDescent="0.25">
      <c r="K40" t="s">
        <v>31</v>
      </c>
    </row>
  </sheetData>
  <sheetProtection algorithmName="SHA-512" hashValue="vAyzcqRmFB7+zVyz+VfxWlDhmL3fg6l11f4oPNcTB8JjcU/KctV+IbFVQ70EpwYsLeKZkNtT438+UtTYLo9UFA==" saltValue="tdvHIszWl0uaJWvjYaKvcQ==" spinCount="100000" sheet="1" formatCells="0" formatColumns="0" formatRows="0" insertColumns="0" insertRows="0" insertHyperlinks="0" deleteColumns="0" deleteRows="0" sort="0" autoFilter="0" pivotTables="0"/>
  <autoFilter ref="A8:U8" xr:uid="{F757A686-B614-4970-84CA-D456BCF04D12}"/>
  <mergeCells count="9">
    <mergeCell ref="H22:I22"/>
    <mergeCell ref="H23:I23"/>
    <mergeCell ref="H24:I24"/>
    <mergeCell ref="A1:B5"/>
    <mergeCell ref="C1:G2"/>
    <mergeCell ref="H1:I2"/>
    <mergeCell ref="C3:I7"/>
    <mergeCell ref="A6:B6"/>
    <mergeCell ref="A7:B7"/>
  </mergeCells>
  <phoneticPr fontId="18" type="noConversion"/>
  <conditionalFormatting sqref="L27:S27">
    <cfRule type="expression" dxfId="575" priority="25">
      <formula>IFERROR(INDEX(DiasCategorias, L27-FechaInicio+1),0)=1</formula>
    </cfRule>
    <cfRule type="expression" dxfId="574" priority="26">
      <formula>IFERROR(INDEX(DiasCategorias, L27-FechaInicio+1),0)=2</formula>
    </cfRule>
    <cfRule type="expression" dxfId="573" priority="27">
      <formula>IFERROR(INDEX(DiasCategorias, L27-FechaInicio+1),0)=3</formula>
    </cfRule>
    <cfRule type="expression" dxfId="572" priority="28">
      <formula>IFERROR(INDEX(DiasCategorias, L27-FechaInicio+1),0)=4</formula>
    </cfRule>
    <cfRule type="expression" dxfId="571" priority="29">
      <formula>IFERROR(INDEX(DiasCategorias, L27-FechaInicio+1),0)=5</formula>
    </cfRule>
    <cfRule type="expression" dxfId="570" priority="30">
      <formula>IFERROR(INDEX(DiasCategorias, L27-FechaInicio+1),0)=6</formula>
    </cfRule>
    <cfRule type="expression" dxfId="569" priority="31">
      <formula>IFERROR(INDEX(DiasCategorias, L27-FechaInicio+1),0)=7</formula>
    </cfRule>
    <cfRule type="expression" dxfId="568" priority="32">
      <formula>IFERROR(INDEX(DiasCategorias, L27-FechaInicio+1),0)=8</formula>
    </cfRule>
    <cfRule type="expression" dxfId="567" priority="33">
      <formula>IFERROR(INDEX(DiasCategorias, L27-FechaInicio+1),0)=9</formula>
    </cfRule>
    <cfRule type="expression" dxfId="566" priority="34">
      <formula>IFERROR(INDEX(DiasCategorias, L27-FechaInicio+1),0)=10</formula>
    </cfRule>
    <cfRule type="expression" dxfId="565" priority="35">
      <formula>IFERROR(INDEX(DiasCategorias, L27-FechaInicio+1),0)=11</formula>
    </cfRule>
    <cfRule type="expression" dxfId="564" priority="36">
      <formula>IFERROR(INDEX(DiasCategorias, L27-FechaInicio+1),0)=12</formula>
    </cfRule>
  </conditionalFormatting>
  <conditionalFormatting sqref="E27:K27">
    <cfRule type="expression" dxfId="563" priority="1">
      <formula>IFERROR(INDEX(DiasCategorias, E27-FechaInicio+1),0)=1</formula>
    </cfRule>
    <cfRule type="expression" dxfId="562" priority="2">
      <formula>IFERROR(INDEX(DiasCategorias, E27-FechaInicio+1),0)=2</formula>
    </cfRule>
    <cfRule type="expression" dxfId="561" priority="3">
      <formula>IFERROR(INDEX(DiasCategorias, E27-FechaInicio+1),0)=3</formula>
    </cfRule>
    <cfRule type="expression" dxfId="560" priority="4">
      <formula>IFERROR(INDEX(DiasCategorias, E27-FechaInicio+1),0)=4</formula>
    </cfRule>
    <cfRule type="expression" dxfId="559" priority="5">
      <formula>IFERROR(INDEX(DiasCategorias, E27-FechaInicio+1),0)=5</formula>
    </cfRule>
    <cfRule type="expression" dxfId="558" priority="6">
      <formula>IFERROR(INDEX(DiasCategorias, E27-FechaInicio+1),0)=6</formula>
    </cfRule>
    <cfRule type="expression" dxfId="557" priority="7">
      <formula>IFERROR(INDEX(DiasCategorias, E27-FechaInicio+1),0)=7</formula>
    </cfRule>
    <cfRule type="expression" dxfId="556" priority="8">
      <formula>IFERROR(INDEX(DiasCategorias, E27-FechaInicio+1),0)=8</formula>
    </cfRule>
    <cfRule type="expression" dxfId="555" priority="9">
      <formula>IFERROR(INDEX(DiasCategorias, E27-FechaInicio+1),0)=9</formula>
    </cfRule>
    <cfRule type="expression" dxfId="554" priority="10">
      <formula>IFERROR(INDEX(DiasCategorias, E27-FechaInicio+1),0)=10</formula>
    </cfRule>
    <cfRule type="expression" dxfId="553" priority="11">
      <formula>IFERROR(INDEX(DiasCategorias, E27-FechaInicio+1),0)=11</formula>
    </cfRule>
    <cfRule type="expression" dxfId="552" priority="12">
      <formula>IFERROR(INDEX(DiasCategorias, E27-FechaInicio+1),0)=12</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95956-9CA4-4896-ABE8-D1AB1788CEAD}">
  <sheetPr codeName="Hoja29">
    <tabColor theme="7" tint="-0.249977111117893"/>
  </sheetPr>
  <dimension ref="A1:U40"/>
  <sheetViews>
    <sheetView topLeftCell="A6" workbookViewId="0">
      <selection activeCell="E27" sqref="E27:K27"/>
    </sheetView>
  </sheetViews>
  <sheetFormatPr baseColWidth="10" defaultRowHeight="15" x14ac:dyDescent="0.25"/>
  <cols>
    <col min="2" max="2" width="9.140625" customWidth="1"/>
    <col min="3" max="3" width="27.5703125" bestFit="1" customWidth="1"/>
    <col min="4" max="4" width="18.42578125" customWidth="1"/>
    <col min="5" max="5" width="13.140625" bestFit="1" customWidth="1"/>
    <col min="6" max="6" width="15" customWidth="1"/>
    <col min="7" max="7" width="15.7109375" customWidth="1"/>
    <col min="8" max="8" width="16.42578125" customWidth="1"/>
    <col min="9" max="9" width="13.140625" bestFit="1" customWidth="1"/>
    <col min="10" max="10" width="14.7109375" customWidth="1"/>
    <col min="11" max="13" width="16.140625" customWidth="1"/>
    <col min="14" max="14" width="15.140625" customWidth="1"/>
    <col min="15" max="18" width="15.7109375" customWidth="1"/>
  </cols>
  <sheetData>
    <row r="1" spans="1:21" ht="15" customHeight="1" x14ac:dyDescent="0.25">
      <c r="A1" s="268"/>
      <c r="B1" s="268"/>
      <c r="C1" s="281" t="s">
        <v>8</v>
      </c>
      <c r="D1" s="282"/>
      <c r="E1" s="282"/>
      <c r="F1" s="282"/>
      <c r="G1" s="283"/>
      <c r="H1" s="288"/>
      <c r="I1" s="289"/>
    </row>
    <row r="2" spans="1:21" ht="15.75" customHeight="1" thickBot="1" x14ac:dyDescent="0.3">
      <c r="A2" s="268"/>
      <c r="B2" s="268"/>
      <c r="C2" s="285"/>
      <c r="D2" s="286"/>
      <c r="E2" s="286"/>
      <c r="F2" s="286"/>
      <c r="G2" s="287"/>
      <c r="H2" s="288"/>
      <c r="I2" s="289"/>
    </row>
    <row r="3" spans="1:21" x14ac:dyDescent="0.25">
      <c r="A3" s="268"/>
      <c r="B3" s="268"/>
      <c r="C3" s="268"/>
      <c r="D3" s="268"/>
      <c r="E3" s="268"/>
      <c r="F3" s="268"/>
      <c r="G3" s="268"/>
      <c r="H3" s="268"/>
      <c r="I3" s="268"/>
    </row>
    <row r="4" spans="1:21" x14ac:dyDescent="0.25">
      <c r="A4" s="268"/>
      <c r="B4" s="268"/>
      <c r="C4" s="268"/>
      <c r="D4" s="268"/>
      <c r="E4" s="268"/>
      <c r="F4" s="268"/>
      <c r="G4" s="268"/>
      <c r="H4" s="268"/>
      <c r="I4" s="268"/>
    </row>
    <row r="5" spans="1:21" x14ac:dyDescent="0.25">
      <c r="A5" s="268"/>
      <c r="B5" s="268"/>
      <c r="C5" s="268"/>
      <c r="D5" s="268"/>
      <c r="E5" s="268"/>
      <c r="F5" s="268"/>
      <c r="G5" s="268"/>
      <c r="H5" s="268"/>
      <c r="I5" s="268"/>
    </row>
    <row r="6" spans="1:21" ht="27" x14ac:dyDescent="0.5">
      <c r="A6" s="273" t="s">
        <v>10</v>
      </c>
      <c r="B6" s="273"/>
      <c r="C6" s="268"/>
      <c r="D6" s="268"/>
      <c r="E6" s="268"/>
      <c r="F6" s="268"/>
      <c r="G6" s="268"/>
      <c r="H6" s="268"/>
      <c r="I6" s="268"/>
    </row>
    <row r="7" spans="1:21" ht="27.75" thickBot="1" x14ac:dyDescent="0.55000000000000004">
      <c r="A7" s="274">
        <v>26</v>
      </c>
      <c r="B7" s="274"/>
      <c r="C7" s="296"/>
      <c r="D7" s="296"/>
      <c r="E7" s="296"/>
      <c r="F7" s="296"/>
      <c r="G7" s="296"/>
      <c r="H7" s="296"/>
      <c r="I7" s="296"/>
    </row>
    <row r="8" spans="1:21" ht="19.5" thickBot="1" x14ac:dyDescent="0.45">
      <c r="A8" s="29" t="s">
        <v>14</v>
      </c>
      <c r="B8" s="29" t="s">
        <v>15</v>
      </c>
      <c r="C8" s="29" t="s">
        <v>16</v>
      </c>
      <c r="D8" s="29" t="s">
        <v>114</v>
      </c>
      <c r="E8" s="30" t="s">
        <v>17</v>
      </c>
      <c r="F8" s="75" t="s">
        <v>83</v>
      </c>
      <c r="G8" s="75" t="s">
        <v>84</v>
      </c>
      <c r="H8" s="75" t="s">
        <v>85</v>
      </c>
      <c r="I8" s="75" t="s">
        <v>86</v>
      </c>
      <c r="J8" s="75" t="s">
        <v>87</v>
      </c>
      <c r="K8" s="75" t="s">
        <v>88</v>
      </c>
      <c r="L8" s="75" t="s">
        <v>89</v>
      </c>
      <c r="M8" s="75" t="s">
        <v>90</v>
      </c>
      <c r="N8" s="75" t="s">
        <v>27</v>
      </c>
      <c r="O8" s="75" t="s">
        <v>19</v>
      </c>
      <c r="P8" s="75" t="s">
        <v>21</v>
      </c>
      <c r="Q8" s="75" t="s">
        <v>28</v>
      </c>
      <c r="R8" s="75" t="s">
        <v>29</v>
      </c>
      <c r="S8" s="30" t="s">
        <v>4</v>
      </c>
      <c r="T8" s="164" t="s">
        <v>18</v>
      </c>
    </row>
    <row r="9" spans="1:21" ht="15.75" thickBot="1" x14ac:dyDescent="0.3">
      <c r="A9" s="80"/>
      <c r="B9" s="81"/>
      <c r="C9" s="81"/>
      <c r="D9" s="154"/>
      <c r="E9" s="162"/>
      <c r="F9" s="78"/>
      <c r="G9" s="78"/>
      <c r="H9" s="81"/>
      <c r="I9" s="81"/>
      <c r="J9" s="81"/>
      <c r="K9" s="81"/>
      <c r="L9" s="81"/>
      <c r="M9" s="81"/>
      <c r="N9" s="81"/>
      <c r="O9" s="81"/>
      <c r="P9" s="81"/>
      <c r="Q9" s="81"/>
      <c r="R9" s="81"/>
      <c r="S9" s="73">
        <f>SUM(F9:R9)</f>
        <v>0</v>
      </c>
      <c r="T9" s="165">
        <f t="shared" ref="T9:T19" si="0">E9-S9</f>
        <v>0</v>
      </c>
      <c r="U9">
        <f>_xlfn.ISOWEEKNUM(A9)</f>
        <v>52</v>
      </c>
    </row>
    <row r="10" spans="1:21" ht="27" customHeight="1" thickBot="1" x14ac:dyDescent="0.3">
      <c r="A10" s="80"/>
      <c r="B10" s="81"/>
      <c r="C10" s="81"/>
      <c r="D10" s="154"/>
      <c r="E10" s="162"/>
      <c r="F10" s="78"/>
      <c r="G10" s="78"/>
      <c r="H10" s="78"/>
      <c r="I10" s="78"/>
      <c r="J10" s="81"/>
      <c r="K10" s="81"/>
      <c r="L10" s="81"/>
      <c r="M10" s="81"/>
      <c r="N10" s="81"/>
      <c r="O10" s="81"/>
      <c r="P10" s="81"/>
      <c r="Q10" s="81"/>
      <c r="R10" s="81"/>
      <c r="S10" s="73">
        <f t="shared" ref="S10:S19" si="1">SUM(F10:R10)</f>
        <v>0</v>
      </c>
      <c r="T10" s="165">
        <f t="shared" si="0"/>
        <v>0</v>
      </c>
    </row>
    <row r="11" spans="1:21" ht="15.75" thickBot="1" x14ac:dyDescent="0.3">
      <c r="A11" s="80"/>
      <c r="B11" s="81"/>
      <c r="C11" s="81"/>
      <c r="D11" s="154"/>
      <c r="E11" s="162"/>
      <c r="F11" s="78"/>
      <c r="G11" s="78"/>
      <c r="H11" s="78"/>
      <c r="I11" s="78"/>
      <c r="J11" s="81"/>
      <c r="K11" s="81"/>
      <c r="L11" s="81"/>
      <c r="M11" s="81"/>
      <c r="N11" s="81"/>
      <c r="O11" s="81"/>
      <c r="P11" s="81"/>
      <c r="Q11" s="81"/>
      <c r="R11" s="81"/>
      <c r="S11" s="73">
        <f t="shared" si="1"/>
        <v>0</v>
      </c>
      <c r="T11" s="165">
        <f t="shared" si="0"/>
        <v>0</v>
      </c>
    </row>
    <row r="12" spans="1:21" ht="15.75" thickBot="1" x14ac:dyDescent="0.3">
      <c r="A12" s="80"/>
      <c r="B12" s="81"/>
      <c r="C12" s="81"/>
      <c r="D12" s="154"/>
      <c r="E12" s="162"/>
      <c r="F12" s="78"/>
      <c r="G12" s="78"/>
      <c r="H12" s="78"/>
      <c r="I12" s="78"/>
      <c r="J12" s="81"/>
      <c r="K12" s="81"/>
      <c r="L12" s="81"/>
      <c r="M12" s="81"/>
      <c r="N12" s="81"/>
      <c r="O12" s="81"/>
      <c r="P12" s="81"/>
      <c r="Q12" s="81"/>
      <c r="R12" s="81"/>
      <c r="S12" s="73">
        <f t="shared" si="1"/>
        <v>0</v>
      </c>
      <c r="T12" s="165">
        <f t="shared" si="0"/>
        <v>0</v>
      </c>
    </row>
    <row r="13" spans="1:21" ht="15.75" thickBot="1" x14ac:dyDescent="0.3">
      <c r="A13" s="80"/>
      <c r="B13" s="81"/>
      <c r="C13" s="81"/>
      <c r="D13" s="154"/>
      <c r="E13" s="162"/>
      <c r="F13" s="78"/>
      <c r="G13" s="78"/>
      <c r="H13" s="78"/>
      <c r="I13" s="78"/>
      <c r="J13" s="81"/>
      <c r="K13" s="81"/>
      <c r="L13" s="81"/>
      <c r="M13" s="81"/>
      <c r="N13" s="81"/>
      <c r="O13" s="81"/>
      <c r="P13" s="81"/>
      <c r="Q13" s="81"/>
      <c r="R13" s="81"/>
      <c r="S13" s="73">
        <f t="shared" si="1"/>
        <v>0</v>
      </c>
      <c r="T13" s="165">
        <f t="shared" si="0"/>
        <v>0</v>
      </c>
    </row>
    <row r="14" spans="1:21" ht="15.75" thickBot="1" x14ac:dyDescent="0.3">
      <c r="A14" s="80"/>
      <c r="B14" s="81"/>
      <c r="C14" s="81"/>
      <c r="D14" s="154"/>
      <c r="E14" s="162"/>
      <c r="F14" s="78"/>
      <c r="G14" s="78"/>
      <c r="H14" s="78"/>
      <c r="I14" s="78"/>
      <c r="J14" s="81"/>
      <c r="K14" s="81"/>
      <c r="L14" s="81"/>
      <c r="M14" s="81"/>
      <c r="N14" s="81"/>
      <c r="O14" s="81"/>
      <c r="P14" s="81"/>
      <c r="Q14" s="81"/>
      <c r="R14" s="81"/>
      <c r="S14" s="73">
        <f t="shared" si="1"/>
        <v>0</v>
      </c>
      <c r="T14" s="165">
        <f t="shared" si="0"/>
        <v>0</v>
      </c>
    </row>
    <row r="15" spans="1:21" ht="15.75" thickBot="1" x14ac:dyDescent="0.3">
      <c r="A15" s="80"/>
      <c r="B15" s="81"/>
      <c r="C15" s="81"/>
      <c r="D15" s="154"/>
      <c r="E15" s="162"/>
      <c r="F15" s="78"/>
      <c r="G15" s="78"/>
      <c r="H15" s="78"/>
      <c r="I15" s="78"/>
      <c r="J15" s="81"/>
      <c r="K15" s="81"/>
      <c r="L15" s="81"/>
      <c r="M15" s="81"/>
      <c r="N15" s="81"/>
      <c r="O15" s="81"/>
      <c r="P15" s="81"/>
      <c r="Q15" s="81"/>
      <c r="R15" s="81"/>
      <c r="S15" s="73">
        <f t="shared" si="1"/>
        <v>0</v>
      </c>
      <c r="T15" s="165">
        <f t="shared" si="0"/>
        <v>0</v>
      </c>
    </row>
    <row r="16" spans="1:21" ht="15.75" thickBot="1" x14ac:dyDescent="0.3">
      <c r="A16" s="80"/>
      <c r="B16" s="81"/>
      <c r="C16" s="81"/>
      <c r="D16" s="154"/>
      <c r="E16" s="162"/>
      <c r="F16" s="78"/>
      <c r="G16" s="78"/>
      <c r="H16" s="78"/>
      <c r="I16" s="78"/>
      <c r="J16" s="81"/>
      <c r="K16" s="81"/>
      <c r="L16" s="81"/>
      <c r="M16" s="81"/>
      <c r="N16" s="81"/>
      <c r="O16" s="81"/>
      <c r="P16" s="81"/>
      <c r="Q16" s="81"/>
      <c r="R16" s="81"/>
      <c r="S16" s="73">
        <f t="shared" si="1"/>
        <v>0</v>
      </c>
      <c r="T16" s="165">
        <f t="shared" si="0"/>
        <v>0</v>
      </c>
    </row>
    <row r="17" spans="1:20" ht="15.75" thickBot="1" x14ac:dyDescent="0.3">
      <c r="A17" s="80"/>
      <c r="B17" s="81"/>
      <c r="C17" s="81"/>
      <c r="D17" s="154"/>
      <c r="E17" s="162"/>
      <c r="F17" s="78"/>
      <c r="G17" s="78"/>
      <c r="H17" s="78"/>
      <c r="I17" s="78"/>
      <c r="J17" s="81"/>
      <c r="K17" s="81"/>
      <c r="L17" s="81"/>
      <c r="M17" s="81"/>
      <c r="N17" s="81"/>
      <c r="O17" s="81"/>
      <c r="P17" s="81"/>
      <c r="Q17" s="81"/>
      <c r="R17" s="81"/>
      <c r="S17" s="73">
        <f t="shared" si="1"/>
        <v>0</v>
      </c>
      <c r="T17" s="165">
        <f t="shared" si="0"/>
        <v>0</v>
      </c>
    </row>
    <row r="18" spans="1:20" ht="15.75" thickBot="1" x14ac:dyDescent="0.3">
      <c r="A18" s="80"/>
      <c r="B18" s="81"/>
      <c r="C18" s="81"/>
      <c r="D18" s="154"/>
      <c r="E18" s="162"/>
      <c r="F18" s="78"/>
      <c r="G18" s="78"/>
      <c r="H18" s="78"/>
      <c r="I18" s="78"/>
      <c r="J18" s="81"/>
      <c r="K18" s="81"/>
      <c r="L18" s="81"/>
      <c r="M18" s="81"/>
      <c r="N18" s="81"/>
      <c r="O18" s="81"/>
      <c r="P18" s="81"/>
      <c r="Q18" s="81"/>
      <c r="R18" s="81"/>
      <c r="S18" s="73">
        <f t="shared" si="1"/>
        <v>0</v>
      </c>
      <c r="T18" s="165">
        <f t="shared" si="0"/>
        <v>0</v>
      </c>
    </row>
    <row r="19" spans="1:20" ht="15.75" thickBot="1" x14ac:dyDescent="0.3">
      <c r="A19" s="80"/>
      <c r="B19" s="81"/>
      <c r="C19" s="81"/>
      <c r="D19" s="154"/>
      <c r="E19" s="162"/>
      <c r="F19" s="78"/>
      <c r="G19" s="78"/>
      <c r="H19" s="78"/>
      <c r="I19" s="78"/>
      <c r="J19" s="81"/>
      <c r="K19" s="81"/>
      <c r="L19" s="81"/>
      <c r="M19" s="81"/>
      <c r="N19" s="81"/>
      <c r="O19" s="81"/>
      <c r="P19" s="81"/>
      <c r="Q19" s="81"/>
      <c r="R19" s="81"/>
      <c r="S19" s="73">
        <f t="shared" si="1"/>
        <v>0</v>
      </c>
      <c r="T19" s="165">
        <f t="shared" si="0"/>
        <v>0</v>
      </c>
    </row>
    <row r="20" spans="1:20" ht="15.75" thickBot="1" x14ac:dyDescent="0.3">
      <c r="A20" t="s">
        <v>4</v>
      </c>
      <c r="E20" s="163">
        <f>SUM(E9:E19)</f>
        <v>0</v>
      </c>
      <c r="F20" s="12"/>
      <c r="G20" s="12"/>
      <c r="H20" s="12"/>
      <c r="I20" s="12"/>
      <c r="J20" s="6"/>
      <c r="K20" s="6"/>
      <c r="L20" s="6"/>
      <c r="M20" s="6"/>
      <c r="N20" s="6"/>
      <c r="O20" s="6"/>
      <c r="P20" s="6"/>
      <c r="Q20" s="6"/>
      <c r="R20" s="6"/>
      <c r="S20" s="73">
        <f>SUM(S9:S19)</f>
        <v>0</v>
      </c>
      <c r="T20" s="166">
        <f>SUM(T9:T19)</f>
        <v>0</v>
      </c>
    </row>
    <row r="21" spans="1:20" ht="15.75" thickBot="1" x14ac:dyDescent="0.3"/>
    <row r="22" spans="1:20" ht="16.5" thickBot="1" x14ac:dyDescent="0.35">
      <c r="H22" s="291" t="s">
        <v>20</v>
      </c>
      <c r="I22" s="292"/>
      <c r="J22" s="15">
        <f>E20</f>
        <v>0</v>
      </c>
    </row>
    <row r="23" spans="1:20" ht="19.5" thickBot="1" x14ac:dyDescent="0.45">
      <c r="H23" s="279" t="s">
        <v>3</v>
      </c>
      <c r="I23" s="280"/>
      <c r="J23" s="16">
        <f>S20</f>
        <v>0</v>
      </c>
    </row>
    <row r="24" spans="1:20" ht="19.5" thickBot="1" x14ac:dyDescent="0.45">
      <c r="H24" s="279" t="s">
        <v>7</v>
      </c>
      <c r="I24" s="279"/>
      <c r="J24" s="13">
        <f>T20</f>
        <v>0</v>
      </c>
    </row>
    <row r="26" spans="1:20"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row>
    <row r="27" spans="1:20" ht="18.75" x14ac:dyDescent="0.25">
      <c r="D27" s="140" t="s">
        <v>150</v>
      </c>
      <c r="E27" s="141" t="s">
        <v>327</v>
      </c>
      <c r="F27" s="141" t="s">
        <v>328</v>
      </c>
      <c r="G27" s="141" t="s">
        <v>329</v>
      </c>
      <c r="H27" s="141" t="s">
        <v>330</v>
      </c>
      <c r="I27" s="141" t="s">
        <v>331</v>
      </c>
      <c r="J27" s="184" t="s">
        <v>332</v>
      </c>
      <c r="K27" s="184" t="s">
        <v>333</v>
      </c>
      <c r="L27" s="152"/>
      <c r="M27" s="152"/>
      <c r="N27" s="152"/>
      <c r="O27" s="152"/>
      <c r="P27" s="152"/>
      <c r="Q27" s="152"/>
      <c r="R27" s="152"/>
    </row>
    <row r="40" spans="11:11" x14ac:dyDescent="0.25">
      <c r="K40" t="s">
        <v>31</v>
      </c>
    </row>
  </sheetData>
  <sheetProtection algorithmName="SHA-512" hashValue="nejV9b4slO9T2wbJXziO6to0r1xekCHcBovED31XM9moUDdCfWgmdz7nuzsFEws+9fJDO4oI/Xl9Pg9PeikBrg==" saltValue="eB0v/BXCc8HQ/kzvkuKlCg==" spinCount="100000" sheet="1" formatCells="0" formatColumns="0" formatRows="0" insertColumns="0" insertRows="0" insertHyperlinks="0" deleteColumns="0" deleteRows="0" sort="0" autoFilter="0" pivotTables="0"/>
  <autoFilter ref="A8:T8" xr:uid="{7C095956-9CA4-4896-ABE8-D1AB1788CEAD}"/>
  <mergeCells count="9">
    <mergeCell ref="H22:I22"/>
    <mergeCell ref="H23:I23"/>
    <mergeCell ref="H24:I24"/>
    <mergeCell ref="A1:B5"/>
    <mergeCell ref="C1:G2"/>
    <mergeCell ref="H1:I2"/>
    <mergeCell ref="C3:I7"/>
    <mergeCell ref="A6:B6"/>
    <mergeCell ref="A7:B7"/>
  </mergeCells>
  <phoneticPr fontId="18" type="noConversion"/>
  <conditionalFormatting sqref="L27:R27">
    <cfRule type="expression" dxfId="551" priority="25">
      <formula>IFERROR(INDEX(DiasCategorias, L27-FechaInicio+1),0)=1</formula>
    </cfRule>
    <cfRule type="expression" dxfId="550" priority="26">
      <formula>IFERROR(INDEX(DiasCategorias, L27-FechaInicio+1),0)=2</formula>
    </cfRule>
    <cfRule type="expression" dxfId="549" priority="27">
      <formula>IFERROR(INDEX(DiasCategorias, L27-FechaInicio+1),0)=3</formula>
    </cfRule>
    <cfRule type="expression" dxfId="548" priority="28">
      <formula>IFERROR(INDEX(DiasCategorias, L27-FechaInicio+1),0)=4</formula>
    </cfRule>
    <cfRule type="expression" dxfId="547" priority="29">
      <formula>IFERROR(INDEX(DiasCategorias, L27-FechaInicio+1),0)=5</formula>
    </cfRule>
    <cfRule type="expression" dxfId="546" priority="30">
      <formula>IFERROR(INDEX(DiasCategorias, L27-FechaInicio+1),0)=6</formula>
    </cfRule>
    <cfRule type="expression" dxfId="545" priority="31">
      <formula>IFERROR(INDEX(DiasCategorias, L27-FechaInicio+1),0)=7</formula>
    </cfRule>
    <cfRule type="expression" dxfId="544" priority="32">
      <formula>IFERROR(INDEX(DiasCategorias, L27-FechaInicio+1),0)=8</formula>
    </cfRule>
    <cfRule type="expression" dxfId="543" priority="33">
      <formula>IFERROR(INDEX(DiasCategorias, L27-FechaInicio+1),0)=9</formula>
    </cfRule>
    <cfRule type="expression" dxfId="542" priority="34">
      <formula>IFERROR(INDEX(DiasCategorias, L27-FechaInicio+1),0)=10</formula>
    </cfRule>
    <cfRule type="expression" dxfId="541" priority="35">
      <formula>IFERROR(INDEX(DiasCategorias, L27-FechaInicio+1),0)=11</formula>
    </cfRule>
    <cfRule type="expression" dxfId="540" priority="36">
      <formula>IFERROR(INDEX(DiasCategorias, L27-FechaInicio+1),0)=12</formula>
    </cfRule>
  </conditionalFormatting>
  <conditionalFormatting sqref="E27:K27">
    <cfRule type="expression" dxfId="539" priority="1">
      <formula>IFERROR(INDEX(DiasCategorias, E27-FechaInicio+1),0)=1</formula>
    </cfRule>
    <cfRule type="expression" dxfId="538" priority="2">
      <formula>IFERROR(INDEX(DiasCategorias, E27-FechaInicio+1),0)=2</formula>
    </cfRule>
    <cfRule type="expression" dxfId="537" priority="3">
      <formula>IFERROR(INDEX(DiasCategorias, E27-FechaInicio+1),0)=3</formula>
    </cfRule>
    <cfRule type="expression" dxfId="536" priority="4">
      <formula>IFERROR(INDEX(DiasCategorias, E27-FechaInicio+1),0)=4</formula>
    </cfRule>
    <cfRule type="expression" dxfId="535" priority="5">
      <formula>IFERROR(INDEX(DiasCategorias, E27-FechaInicio+1),0)=5</formula>
    </cfRule>
    <cfRule type="expression" dxfId="534" priority="6">
      <formula>IFERROR(INDEX(DiasCategorias, E27-FechaInicio+1),0)=6</formula>
    </cfRule>
    <cfRule type="expression" dxfId="533" priority="7">
      <formula>IFERROR(INDEX(DiasCategorias, E27-FechaInicio+1),0)=7</formula>
    </cfRule>
    <cfRule type="expression" dxfId="532" priority="8">
      <formula>IFERROR(INDEX(DiasCategorias, E27-FechaInicio+1),0)=8</formula>
    </cfRule>
    <cfRule type="expression" dxfId="531" priority="9">
      <formula>IFERROR(INDEX(DiasCategorias, E27-FechaInicio+1),0)=9</formula>
    </cfRule>
    <cfRule type="expression" dxfId="530" priority="10">
      <formula>IFERROR(INDEX(DiasCategorias, E27-FechaInicio+1),0)=10</formula>
    </cfRule>
    <cfRule type="expression" dxfId="529" priority="11">
      <formula>IFERROR(INDEX(DiasCategorias, E27-FechaInicio+1),0)=11</formula>
    </cfRule>
    <cfRule type="expression" dxfId="528" priority="12">
      <formula>IFERROR(INDEX(DiasCategorias, E27-FechaInicio+1),0)=12</formula>
    </cfRule>
  </conditionalFormatting>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21104-5CD7-40F1-AC39-A40E6EEBE15A}">
  <sheetPr codeName="Hoja26">
    <tabColor theme="5" tint="-0.249977111117893"/>
  </sheetPr>
  <dimension ref="A1:Y40"/>
  <sheetViews>
    <sheetView workbookViewId="0">
      <selection activeCell="E27" sqref="E27:K27"/>
    </sheetView>
  </sheetViews>
  <sheetFormatPr baseColWidth="10" defaultRowHeight="15" x14ac:dyDescent="0.25"/>
  <cols>
    <col min="2" max="2" width="9.140625" customWidth="1"/>
    <col min="3" max="3" width="27.5703125" bestFit="1" customWidth="1"/>
    <col min="5" max="5" width="13.140625" bestFit="1" customWidth="1"/>
    <col min="6" max="7" width="14.85546875" customWidth="1"/>
    <col min="8" max="8" width="15.42578125" customWidth="1"/>
    <col min="9" max="9" width="13.140625" bestFit="1" customWidth="1"/>
    <col min="10" max="10" width="14.85546875" customWidth="1"/>
    <col min="11" max="22" width="16.140625" customWidth="1"/>
  </cols>
  <sheetData>
    <row r="1" spans="1:25" ht="15" customHeight="1" x14ac:dyDescent="0.25">
      <c r="A1" s="268"/>
      <c r="B1" s="268"/>
      <c r="C1" s="281" t="s">
        <v>8</v>
      </c>
      <c r="D1" s="282"/>
      <c r="E1" s="282"/>
      <c r="F1" s="282"/>
      <c r="G1" s="283"/>
      <c r="H1" s="288"/>
      <c r="I1" s="289"/>
    </row>
    <row r="2" spans="1:25" ht="15.75" customHeight="1" thickBot="1" x14ac:dyDescent="0.3">
      <c r="A2" s="268"/>
      <c r="B2" s="268"/>
      <c r="C2" s="285"/>
      <c r="D2" s="286"/>
      <c r="E2" s="286"/>
      <c r="F2" s="286"/>
      <c r="G2" s="287"/>
      <c r="H2" s="288"/>
      <c r="I2" s="289"/>
    </row>
    <row r="3" spans="1:25" x14ac:dyDescent="0.25">
      <c r="A3" s="268"/>
      <c r="B3" s="268"/>
      <c r="C3" s="268"/>
      <c r="D3" s="268"/>
      <c r="E3" s="268"/>
      <c r="F3" s="268"/>
      <c r="G3" s="268"/>
      <c r="H3" s="268"/>
      <c r="I3" s="268"/>
    </row>
    <row r="4" spans="1:25" x14ac:dyDescent="0.25">
      <c r="A4" s="268"/>
      <c r="B4" s="268"/>
      <c r="C4" s="268"/>
      <c r="D4" s="268"/>
      <c r="E4" s="268"/>
      <c r="F4" s="268"/>
      <c r="G4" s="268"/>
      <c r="H4" s="268"/>
      <c r="I4" s="268"/>
    </row>
    <row r="5" spans="1:25" x14ac:dyDescent="0.25">
      <c r="A5" s="268"/>
      <c r="B5" s="268"/>
      <c r="C5" s="268"/>
      <c r="D5" s="268"/>
      <c r="E5" s="268"/>
      <c r="F5" s="268"/>
      <c r="G5" s="268"/>
      <c r="H5" s="268"/>
      <c r="I5" s="268"/>
    </row>
    <row r="6" spans="1:25" ht="27" x14ac:dyDescent="0.5">
      <c r="A6" s="273" t="s">
        <v>10</v>
      </c>
      <c r="B6" s="273"/>
      <c r="C6" s="268"/>
      <c r="D6" s="268"/>
      <c r="E6" s="268"/>
      <c r="F6" s="268"/>
      <c r="G6" s="268"/>
      <c r="H6" s="268"/>
      <c r="I6" s="268"/>
    </row>
    <row r="7" spans="1:25" ht="27.75" thickBot="1" x14ac:dyDescent="0.55000000000000004">
      <c r="A7" s="274">
        <v>27</v>
      </c>
      <c r="B7" s="274"/>
      <c r="C7" s="296"/>
      <c r="D7" s="296"/>
      <c r="E7" s="296"/>
      <c r="F7" s="296"/>
      <c r="G7" s="296"/>
      <c r="H7" s="296"/>
      <c r="I7" s="296"/>
    </row>
    <row r="8" spans="1:25" ht="19.5" thickBot="1" x14ac:dyDescent="0.45">
      <c r="A8" s="29" t="s">
        <v>14</v>
      </c>
      <c r="B8" s="29" t="s">
        <v>15</v>
      </c>
      <c r="C8" s="29" t="s">
        <v>16</v>
      </c>
      <c r="D8" s="29" t="s">
        <v>114</v>
      </c>
      <c r="E8" s="30" t="s">
        <v>17</v>
      </c>
      <c r="F8" s="75" t="s">
        <v>84</v>
      </c>
      <c r="G8" s="75" t="s">
        <v>85</v>
      </c>
      <c r="H8" s="75" t="s">
        <v>86</v>
      </c>
      <c r="I8" s="75" t="s">
        <v>87</v>
      </c>
      <c r="J8" s="75" t="s">
        <v>88</v>
      </c>
      <c r="K8" s="75" t="s">
        <v>89</v>
      </c>
      <c r="L8" s="75" t="s">
        <v>90</v>
      </c>
      <c r="M8" s="75" t="s">
        <v>27</v>
      </c>
      <c r="N8" s="75" t="s">
        <v>19</v>
      </c>
      <c r="O8" s="75" t="s">
        <v>21</v>
      </c>
      <c r="P8" s="75" t="s">
        <v>28</v>
      </c>
      <c r="Q8" s="75" t="s">
        <v>29</v>
      </c>
      <c r="R8" s="75" t="s">
        <v>30</v>
      </c>
      <c r="S8" s="75" t="s">
        <v>32</v>
      </c>
      <c r="T8" s="75" t="s">
        <v>33</v>
      </c>
      <c r="U8" s="75" t="s">
        <v>34</v>
      </c>
      <c r="V8" s="75" t="s">
        <v>35</v>
      </c>
      <c r="W8" s="30" t="s">
        <v>4</v>
      </c>
      <c r="X8" s="164" t="s">
        <v>18</v>
      </c>
    </row>
    <row r="9" spans="1:25" ht="15.75" thickBot="1" x14ac:dyDescent="0.3">
      <c r="A9" s="80"/>
      <c r="B9" s="81"/>
      <c r="C9" s="81"/>
      <c r="D9" s="154"/>
      <c r="E9" s="162"/>
      <c r="F9" s="78"/>
      <c r="G9" s="78"/>
      <c r="H9" s="81"/>
      <c r="I9" s="81"/>
      <c r="J9" s="81"/>
      <c r="K9" s="81"/>
      <c r="L9" s="81"/>
      <c r="M9" s="81"/>
      <c r="N9" s="81"/>
      <c r="O9" s="81"/>
      <c r="P9" s="81"/>
      <c r="Q9" s="81"/>
      <c r="R9" s="81"/>
      <c r="S9" s="81"/>
      <c r="T9" s="81"/>
      <c r="U9" s="81"/>
      <c r="V9" s="81"/>
      <c r="W9" s="73">
        <f>SUM(F9:V9)</f>
        <v>0</v>
      </c>
      <c r="X9" s="169">
        <f t="shared" ref="X9:X19" si="0">E9-W9</f>
        <v>0</v>
      </c>
      <c r="Y9">
        <f>_xlfn.ISOWEEKNUM(A9)</f>
        <v>52</v>
      </c>
    </row>
    <row r="10" spans="1:25" ht="15.75" thickBot="1" x14ac:dyDescent="0.3">
      <c r="A10" s="80"/>
      <c r="B10" s="81"/>
      <c r="C10" s="81"/>
      <c r="D10" s="154"/>
      <c r="E10" s="162"/>
      <c r="F10" s="78"/>
      <c r="G10" s="78"/>
      <c r="H10" s="78"/>
      <c r="I10" s="78"/>
      <c r="J10" s="81"/>
      <c r="K10" s="81"/>
      <c r="L10" s="81"/>
      <c r="M10" s="81"/>
      <c r="N10" s="81"/>
      <c r="O10" s="81"/>
      <c r="P10" s="81"/>
      <c r="Q10" s="81"/>
      <c r="R10" s="81"/>
      <c r="S10" s="81"/>
      <c r="T10" s="81"/>
      <c r="U10" s="81"/>
      <c r="V10" s="81"/>
      <c r="W10" s="73">
        <f t="shared" ref="W10:W19" si="1">SUM(F10:V10)</f>
        <v>0</v>
      </c>
      <c r="X10" s="169">
        <f t="shared" si="0"/>
        <v>0</v>
      </c>
    </row>
    <row r="11" spans="1:25" ht="15.75" thickBot="1" x14ac:dyDescent="0.3">
      <c r="A11" s="80"/>
      <c r="B11" s="81"/>
      <c r="C11" s="81"/>
      <c r="D11" s="154"/>
      <c r="E11" s="162"/>
      <c r="F11" s="78"/>
      <c r="G11" s="78"/>
      <c r="H11" s="78"/>
      <c r="I11" s="78"/>
      <c r="J11" s="81"/>
      <c r="K11" s="81"/>
      <c r="L11" s="81"/>
      <c r="M11" s="81"/>
      <c r="N11" s="81"/>
      <c r="O11" s="81"/>
      <c r="P11" s="81"/>
      <c r="Q11" s="81"/>
      <c r="R11" s="81"/>
      <c r="S11" s="81"/>
      <c r="T11" s="81"/>
      <c r="U11" s="81"/>
      <c r="V11" s="81"/>
      <c r="W11" s="73">
        <f t="shared" si="1"/>
        <v>0</v>
      </c>
      <c r="X11" s="165">
        <f t="shared" si="0"/>
        <v>0</v>
      </c>
    </row>
    <row r="12" spans="1:25" ht="15.75" thickBot="1" x14ac:dyDescent="0.3">
      <c r="A12" s="80"/>
      <c r="B12" s="81"/>
      <c r="C12" s="81"/>
      <c r="D12" s="154"/>
      <c r="E12" s="162"/>
      <c r="F12" s="78"/>
      <c r="G12" s="78"/>
      <c r="H12" s="78"/>
      <c r="I12" s="78"/>
      <c r="J12" s="81"/>
      <c r="K12" s="81"/>
      <c r="L12" s="81"/>
      <c r="M12" s="81"/>
      <c r="N12" s="81"/>
      <c r="O12" s="81"/>
      <c r="P12" s="81"/>
      <c r="Q12" s="81"/>
      <c r="R12" s="81"/>
      <c r="S12" s="81"/>
      <c r="T12" s="81"/>
      <c r="U12" s="81"/>
      <c r="V12" s="81"/>
      <c r="W12" s="73">
        <f t="shared" si="1"/>
        <v>0</v>
      </c>
      <c r="X12" s="165">
        <f t="shared" si="0"/>
        <v>0</v>
      </c>
    </row>
    <row r="13" spans="1:25" ht="15.75" thickBot="1" x14ac:dyDescent="0.3">
      <c r="A13" s="80"/>
      <c r="B13" s="81"/>
      <c r="C13" s="81"/>
      <c r="D13" s="154"/>
      <c r="E13" s="162"/>
      <c r="F13" s="78"/>
      <c r="G13" s="78"/>
      <c r="H13" s="78"/>
      <c r="I13" s="78"/>
      <c r="J13" s="81"/>
      <c r="K13" s="81"/>
      <c r="L13" s="81"/>
      <c r="M13" s="81"/>
      <c r="N13" s="81"/>
      <c r="O13" s="81"/>
      <c r="P13" s="81"/>
      <c r="Q13" s="81"/>
      <c r="R13" s="81"/>
      <c r="S13" s="81"/>
      <c r="T13" s="81"/>
      <c r="U13" s="81"/>
      <c r="V13" s="81"/>
      <c r="W13" s="73">
        <f t="shared" si="1"/>
        <v>0</v>
      </c>
      <c r="X13" s="165">
        <f t="shared" si="0"/>
        <v>0</v>
      </c>
    </row>
    <row r="14" spans="1:25" ht="15.75" thickBot="1" x14ac:dyDescent="0.3">
      <c r="A14" s="80"/>
      <c r="B14" s="81"/>
      <c r="C14" s="81"/>
      <c r="D14" s="154"/>
      <c r="E14" s="162"/>
      <c r="F14" s="78"/>
      <c r="G14" s="78"/>
      <c r="H14" s="78"/>
      <c r="I14" s="78"/>
      <c r="J14" s="81"/>
      <c r="K14" s="81"/>
      <c r="L14" s="81"/>
      <c r="M14" s="81"/>
      <c r="N14" s="81"/>
      <c r="O14" s="81"/>
      <c r="P14" s="81"/>
      <c r="Q14" s="81"/>
      <c r="R14" s="81"/>
      <c r="S14" s="81"/>
      <c r="T14" s="81"/>
      <c r="U14" s="81"/>
      <c r="V14" s="81"/>
      <c r="W14" s="73">
        <f t="shared" si="1"/>
        <v>0</v>
      </c>
      <c r="X14" s="165">
        <f t="shared" si="0"/>
        <v>0</v>
      </c>
    </row>
    <row r="15" spans="1:25" ht="15.75" thickBot="1" x14ac:dyDescent="0.3">
      <c r="A15" s="80"/>
      <c r="B15" s="81"/>
      <c r="C15" s="81"/>
      <c r="D15" s="154"/>
      <c r="E15" s="162"/>
      <c r="F15" s="78"/>
      <c r="G15" s="78"/>
      <c r="H15" s="78"/>
      <c r="I15" s="78"/>
      <c r="J15" s="81"/>
      <c r="K15" s="81"/>
      <c r="L15" s="81"/>
      <c r="M15" s="81"/>
      <c r="N15" s="81"/>
      <c r="O15" s="81"/>
      <c r="P15" s="81"/>
      <c r="Q15" s="81"/>
      <c r="R15" s="81"/>
      <c r="S15" s="81"/>
      <c r="T15" s="81"/>
      <c r="U15" s="81"/>
      <c r="V15" s="81"/>
      <c r="W15" s="73">
        <f t="shared" si="1"/>
        <v>0</v>
      </c>
      <c r="X15" s="165">
        <f t="shared" si="0"/>
        <v>0</v>
      </c>
    </row>
    <row r="16" spans="1:25" ht="15.75" thickBot="1" x14ac:dyDescent="0.3">
      <c r="A16" s="80"/>
      <c r="B16" s="81"/>
      <c r="C16" s="81"/>
      <c r="D16" s="154"/>
      <c r="E16" s="162"/>
      <c r="F16" s="78"/>
      <c r="G16" s="78"/>
      <c r="H16" s="78"/>
      <c r="I16" s="78"/>
      <c r="J16" s="81"/>
      <c r="K16" s="81"/>
      <c r="L16" s="81"/>
      <c r="M16" s="81"/>
      <c r="N16" s="81"/>
      <c r="O16" s="81"/>
      <c r="P16" s="81"/>
      <c r="Q16" s="81"/>
      <c r="R16" s="81"/>
      <c r="S16" s="81"/>
      <c r="T16" s="81"/>
      <c r="U16" s="81"/>
      <c r="V16" s="81"/>
      <c r="W16" s="73">
        <f t="shared" si="1"/>
        <v>0</v>
      </c>
      <c r="X16" s="165">
        <f t="shared" si="0"/>
        <v>0</v>
      </c>
    </row>
    <row r="17" spans="1:24" ht="15.75" thickBot="1" x14ac:dyDescent="0.3">
      <c r="A17" s="80"/>
      <c r="B17" s="81"/>
      <c r="C17" s="81"/>
      <c r="D17" s="154"/>
      <c r="E17" s="162"/>
      <c r="F17" s="78"/>
      <c r="G17" s="78"/>
      <c r="H17" s="78"/>
      <c r="I17" s="78"/>
      <c r="J17" s="81"/>
      <c r="K17" s="81"/>
      <c r="L17" s="81"/>
      <c r="M17" s="81"/>
      <c r="N17" s="81"/>
      <c r="O17" s="81"/>
      <c r="P17" s="81"/>
      <c r="Q17" s="81"/>
      <c r="R17" s="81"/>
      <c r="S17" s="81"/>
      <c r="T17" s="81"/>
      <c r="U17" s="81"/>
      <c r="V17" s="81"/>
      <c r="W17" s="73">
        <f t="shared" si="1"/>
        <v>0</v>
      </c>
      <c r="X17" s="165">
        <f t="shared" si="0"/>
        <v>0</v>
      </c>
    </row>
    <row r="18" spans="1:24" ht="15.75" thickBot="1" x14ac:dyDescent="0.3">
      <c r="A18" s="80"/>
      <c r="B18" s="81"/>
      <c r="C18" s="81"/>
      <c r="D18" s="154"/>
      <c r="E18" s="162"/>
      <c r="F18" s="78"/>
      <c r="G18" s="78"/>
      <c r="H18" s="78"/>
      <c r="I18" s="78"/>
      <c r="J18" s="81"/>
      <c r="K18" s="81"/>
      <c r="L18" s="81"/>
      <c r="M18" s="81"/>
      <c r="N18" s="81"/>
      <c r="O18" s="81"/>
      <c r="P18" s="81"/>
      <c r="Q18" s="81"/>
      <c r="R18" s="81"/>
      <c r="S18" s="81"/>
      <c r="T18" s="81"/>
      <c r="U18" s="81"/>
      <c r="V18" s="81"/>
      <c r="W18" s="73">
        <f t="shared" si="1"/>
        <v>0</v>
      </c>
      <c r="X18" s="165">
        <f t="shared" si="0"/>
        <v>0</v>
      </c>
    </row>
    <row r="19" spans="1:24" ht="15.75" thickBot="1" x14ac:dyDescent="0.3">
      <c r="A19" s="80"/>
      <c r="B19" s="81"/>
      <c r="C19" s="81"/>
      <c r="D19" s="154"/>
      <c r="E19" s="162"/>
      <c r="F19" s="78"/>
      <c r="G19" s="78"/>
      <c r="H19" s="78"/>
      <c r="I19" s="78"/>
      <c r="J19" s="81"/>
      <c r="K19" s="81"/>
      <c r="L19" s="81"/>
      <c r="M19" s="81"/>
      <c r="N19" s="81"/>
      <c r="O19" s="81"/>
      <c r="P19" s="81"/>
      <c r="Q19" s="81"/>
      <c r="R19" s="81"/>
      <c r="S19" s="81"/>
      <c r="T19" s="81"/>
      <c r="U19" s="81"/>
      <c r="V19" s="81"/>
      <c r="W19" s="73">
        <f t="shared" si="1"/>
        <v>0</v>
      </c>
      <c r="X19" s="165">
        <f t="shared" si="0"/>
        <v>0</v>
      </c>
    </row>
    <row r="20" spans="1:24" ht="15.75" thickBot="1" x14ac:dyDescent="0.3">
      <c r="A20" t="s">
        <v>4</v>
      </c>
      <c r="E20" s="163">
        <f>SUM(E9:E19)</f>
        <v>0</v>
      </c>
      <c r="F20" s="12"/>
      <c r="G20" s="12"/>
      <c r="H20" s="12"/>
      <c r="I20" s="12"/>
      <c r="J20" s="6"/>
      <c r="K20" s="6"/>
      <c r="L20" s="6"/>
      <c r="M20" s="6"/>
      <c r="N20" s="6"/>
      <c r="O20" s="6"/>
      <c r="P20" s="6"/>
      <c r="Q20" s="6"/>
      <c r="R20" s="6"/>
      <c r="S20" s="6"/>
      <c r="T20" s="6"/>
      <c r="U20" s="6"/>
      <c r="V20" s="6"/>
      <c r="W20" s="73">
        <f>SUM(W9:W19)</f>
        <v>0</v>
      </c>
      <c r="X20" s="166">
        <f>SUM(X9:X19)</f>
        <v>0</v>
      </c>
    </row>
    <row r="21" spans="1:24" ht="15.75" thickBot="1" x14ac:dyDescent="0.3"/>
    <row r="22" spans="1:24" ht="16.5" thickBot="1" x14ac:dyDescent="0.35">
      <c r="H22" s="291" t="s">
        <v>20</v>
      </c>
      <c r="I22" s="292"/>
      <c r="J22" s="15">
        <f>E20</f>
        <v>0</v>
      </c>
    </row>
    <row r="23" spans="1:24" ht="19.5" thickBot="1" x14ac:dyDescent="0.45">
      <c r="H23" s="279" t="s">
        <v>3</v>
      </c>
      <c r="I23" s="280"/>
      <c r="J23" s="16">
        <f>W20</f>
        <v>0</v>
      </c>
    </row>
    <row r="24" spans="1:24" ht="19.5" thickBot="1" x14ac:dyDescent="0.45">
      <c r="H24" s="279" t="s">
        <v>7</v>
      </c>
      <c r="I24" s="279"/>
      <c r="J24" s="13">
        <f>X20</f>
        <v>0</v>
      </c>
    </row>
    <row r="26" spans="1:24"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c r="U26" s="151"/>
      <c r="V26" s="151"/>
    </row>
    <row r="27" spans="1:24" ht="18.75" x14ac:dyDescent="0.25">
      <c r="D27" s="140" t="s">
        <v>151</v>
      </c>
      <c r="E27" s="141" t="s">
        <v>334</v>
      </c>
      <c r="F27" s="141" t="s">
        <v>335</v>
      </c>
      <c r="G27" s="141" t="s">
        <v>336</v>
      </c>
      <c r="H27" s="141" t="s">
        <v>337</v>
      </c>
      <c r="I27" s="141" t="s">
        <v>338</v>
      </c>
      <c r="J27" s="184" t="s">
        <v>339</v>
      </c>
      <c r="K27" s="184" t="s">
        <v>340</v>
      </c>
      <c r="L27" s="152"/>
      <c r="M27" s="152"/>
      <c r="N27" s="152"/>
      <c r="O27" s="152"/>
      <c r="P27" s="152"/>
      <c r="Q27" s="152"/>
      <c r="R27" s="152"/>
      <c r="S27" s="152"/>
      <c r="T27" s="152"/>
      <c r="U27" s="152"/>
      <c r="V27" s="152"/>
    </row>
    <row r="40" spans="11:11" x14ac:dyDescent="0.25">
      <c r="K40" t="s">
        <v>31</v>
      </c>
    </row>
  </sheetData>
  <sheetProtection algorithmName="SHA-512" hashValue="T44qu03ekCcl2osJvj8hULHgiylnsgtqeLtWwsfJm16wfbv/JUTIpAmHxi1PMkoQCrRAeOlXJJCbHbK50nRxiw==" saltValue="09nIFoZhkdgGzgxb9+nsCw==" spinCount="100000" sheet="1" formatCells="0" formatColumns="0" formatRows="0" insertColumns="0" insertRows="0" insertHyperlinks="0" deleteColumns="0" deleteRows="0" sort="0" autoFilter="0" pivotTables="0"/>
  <autoFilter ref="A8:X8" xr:uid="{9A821104-5CD7-40F1-AC39-A40E6EEBE15A}"/>
  <mergeCells count="9">
    <mergeCell ref="H22:I22"/>
    <mergeCell ref="H23:I23"/>
    <mergeCell ref="H24:I24"/>
    <mergeCell ref="A1:B5"/>
    <mergeCell ref="C1:G2"/>
    <mergeCell ref="H1:I2"/>
    <mergeCell ref="C3:I7"/>
    <mergeCell ref="A6:B6"/>
    <mergeCell ref="A7:B7"/>
  </mergeCells>
  <phoneticPr fontId="18" type="noConversion"/>
  <conditionalFormatting sqref="L27:V27">
    <cfRule type="expression" dxfId="527" priority="25">
      <formula>IFERROR(INDEX(DiasCategorias, L27-FechaInicio+1),0)=1</formula>
    </cfRule>
    <cfRule type="expression" dxfId="526" priority="26">
      <formula>IFERROR(INDEX(DiasCategorias, L27-FechaInicio+1),0)=2</formula>
    </cfRule>
    <cfRule type="expression" dxfId="525" priority="27">
      <formula>IFERROR(INDEX(DiasCategorias, L27-FechaInicio+1),0)=3</formula>
    </cfRule>
    <cfRule type="expression" dxfId="524" priority="28">
      <formula>IFERROR(INDEX(DiasCategorias, L27-FechaInicio+1),0)=4</formula>
    </cfRule>
    <cfRule type="expression" dxfId="523" priority="29">
      <formula>IFERROR(INDEX(DiasCategorias, L27-FechaInicio+1),0)=5</formula>
    </cfRule>
    <cfRule type="expression" dxfId="522" priority="30">
      <formula>IFERROR(INDEX(DiasCategorias, L27-FechaInicio+1),0)=6</formula>
    </cfRule>
    <cfRule type="expression" dxfId="521" priority="31">
      <formula>IFERROR(INDEX(DiasCategorias, L27-FechaInicio+1),0)=7</formula>
    </cfRule>
    <cfRule type="expression" dxfId="520" priority="32">
      <formula>IFERROR(INDEX(DiasCategorias, L27-FechaInicio+1),0)=8</formula>
    </cfRule>
    <cfRule type="expression" dxfId="519" priority="33">
      <formula>IFERROR(INDEX(DiasCategorias, L27-FechaInicio+1),0)=9</formula>
    </cfRule>
    <cfRule type="expression" dxfId="518" priority="34">
      <formula>IFERROR(INDEX(DiasCategorias, L27-FechaInicio+1),0)=10</formula>
    </cfRule>
    <cfRule type="expression" dxfId="517" priority="35">
      <formula>IFERROR(INDEX(DiasCategorias, L27-FechaInicio+1),0)=11</formula>
    </cfRule>
    <cfRule type="expression" dxfId="516" priority="36">
      <formula>IFERROR(INDEX(DiasCategorias, L27-FechaInicio+1),0)=12</formula>
    </cfRule>
  </conditionalFormatting>
  <conditionalFormatting sqref="E27:K27">
    <cfRule type="expression" dxfId="515" priority="1">
      <formula>IFERROR(INDEX(DiasCategorias, E27-FechaInicio+1),0)=1</formula>
    </cfRule>
    <cfRule type="expression" dxfId="514" priority="2">
      <formula>IFERROR(INDEX(DiasCategorias, E27-FechaInicio+1),0)=2</formula>
    </cfRule>
    <cfRule type="expression" dxfId="513" priority="3">
      <formula>IFERROR(INDEX(DiasCategorias, E27-FechaInicio+1),0)=3</formula>
    </cfRule>
    <cfRule type="expression" dxfId="512" priority="4">
      <formula>IFERROR(INDEX(DiasCategorias, E27-FechaInicio+1),0)=4</formula>
    </cfRule>
    <cfRule type="expression" dxfId="511" priority="5">
      <formula>IFERROR(INDEX(DiasCategorias, E27-FechaInicio+1),0)=5</formula>
    </cfRule>
    <cfRule type="expression" dxfId="510" priority="6">
      <formula>IFERROR(INDEX(DiasCategorias, E27-FechaInicio+1),0)=6</formula>
    </cfRule>
    <cfRule type="expression" dxfId="509" priority="7">
      <formula>IFERROR(INDEX(DiasCategorias, E27-FechaInicio+1),0)=7</formula>
    </cfRule>
    <cfRule type="expression" dxfId="508" priority="8">
      <formula>IFERROR(INDEX(DiasCategorias, E27-FechaInicio+1),0)=8</formula>
    </cfRule>
    <cfRule type="expression" dxfId="507" priority="9">
      <formula>IFERROR(INDEX(DiasCategorias, E27-FechaInicio+1),0)=9</formula>
    </cfRule>
    <cfRule type="expression" dxfId="506" priority="10">
      <formula>IFERROR(INDEX(DiasCategorias, E27-FechaInicio+1),0)=10</formula>
    </cfRule>
    <cfRule type="expression" dxfId="505" priority="11">
      <formula>IFERROR(INDEX(DiasCategorias, E27-FechaInicio+1),0)=11</formula>
    </cfRule>
    <cfRule type="expression" dxfId="504" priority="12">
      <formula>IFERROR(INDEX(DiasCategorias, E27-FechaInicio+1),0)=12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5B641-9E54-404F-A31A-E14BE1BB44DA}">
  <sheetPr codeName="Hoja25">
    <tabColor theme="8" tint="0.59999389629810485"/>
  </sheetPr>
  <dimension ref="A1:S40"/>
  <sheetViews>
    <sheetView workbookViewId="0">
      <selection activeCell="E27" sqref="E27:K27"/>
    </sheetView>
  </sheetViews>
  <sheetFormatPr baseColWidth="10" defaultRowHeight="15" x14ac:dyDescent="0.25"/>
  <cols>
    <col min="2" max="2" width="9.140625" customWidth="1"/>
    <col min="3" max="3" width="30.140625" customWidth="1"/>
    <col min="4" max="4" width="16" customWidth="1"/>
    <col min="5" max="5" width="13.140625" bestFit="1" customWidth="1"/>
    <col min="6" max="7" width="14.7109375" customWidth="1"/>
    <col min="8" max="8" width="16.7109375" customWidth="1"/>
    <col min="9" max="9" width="16" customWidth="1"/>
    <col min="10" max="10" width="16.7109375" customWidth="1"/>
    <col min="11" max="16" width="14.710937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28</v>
      </c>
      <c r="B7" s="274"/>
      <c r="C7" s="296"/>
      <c r="D7" s="296"/>
      <c r="E7" s="296"/>
      <c r="F7" s="296"/>
      <c r="G7" s="296"/>
      <c r="H7" s="296"/>
      <c r="I7" s="296"/>
    </row>
    <row r="8" spans="1:19" ht="19.5" thickBot="1" x14ac:dyDescent="0.45">
      <c r="A8" s="29" t="s">
        <v>14</v>
      </c>
      <c r="B8" s="29" t="s">
        <v>15</v>
      </c>
      <c r="C8" s="29" t="s">
        <v>16</v>
      </c>
      <c r="D8" s="29" t="s">
        <v>114</v>
      </c>
      <c r="E8" s="30" t="s">
        <v>17</v>
      </c>
      <c r="F8" s="75" t="s">
        <v>85</v>
      </c>
      <c r="G8" s="75" t="s">
        <v>86</v>
      </c>
      <c r="H8" s="75" t="s">
        <v>87</v>
      </c>
      <c r="I8" s="75" t="s">
        <v>88</v>
      </c>
      <c r="J8" s="75" t="s">
        <v>89</v>
      </c>
      <c r="K8" s="75" t="s">
        <v>90</v>
      </c>
      <c r="L8" s="75" t="s">
        <v>27</v>
      </c>
      <c r="M8" s="75" t="s">
        <v>19</v>
      </c>
      <c r="N8" s="119" t="s">
        <v>21</v>
      </c>
      <c r="O8" s="119" t="s">
        <v>28</v>
      </c>
      <c r="P8" s="119" t="s">
        <v>29</v>
      </c>
      <c r="Q8" s="120" t="s">
        <v>4</v>
      </c>
      <c r="R8" s="164" t="s">
        <v>18</v>
      </c>
    </row>
    <row r="9" spans="1:19" ht="15.75" thickBot="1" x14ac:dyDescent="0.3">
      <c r="A9" s="80"/>
      <c r="B9" s="81"/>
      <c r="C9" s="81"/>
      <c r="D9" s="154"/>
      <c r="E9" s="162"/>
      <c r="F9" s="78"/>
      <c r="G9" s="78"/>
      <c r="H9" s="81"/>
      <c r="I9" s="81"/>
      <c r="J9" s="81"/>
      <c r="K9" s="81"/>
      <c r="L9" s="81"/>
      <c r="M9" s="81"/>
      <c r="N9" s="154"/>
      <c r="O9" s="81"/>
      <c r="P9" s="81"/>
      <c r="Q9" s="73">
        <f>SUM(F9:P9)</f>
        <v>0</v>
      </c>
      <c r="R9" s="165">
        <f t="shared" ref="R9:R19" si="0">E9-Q9</f>
        <v>0</v>
      </c>
      <c r="S9">
        <f>_xlfn.ISOWEEKNUM(A9)</f>
        <v>52</v>
      </c>
    </row>
    <row r="10" spans="1:19" ht="15.75" thickBot="1" x14ac:dyDescent="0.3">
      <c r="A10" s="80"/>
      <c r="B10" s="81"/>
      <c r="C10" s="81"/>
      <c r="D10" s="154"/>
      <c r="E10" s="162"/>
      <c r="F10" s="78"/>
      <c r="G10" s="78"/>
      <c r="H10" s="78"/>
      <c r="I10" s="78"/>
      <c r="J10" s="81"/>
      <c r="K10" s="81"/>
      <c r="L10" s="81"/>
      <c r="M10" s="81"/>
      <c r="N10" s="154"/>
      <c r="O10" s="81"/>
      <c r="P10" s="81"/>
      <c r="Q10" s="73">
        <f t="shared" ref="Q10:Q19" si="1">SUM(F10:P10)</f>
        <v>0</v>
      </c>
      <c r="R10" s="165">
        <f t="shared" si="0"/>
        <v>0</v>
      </c>
    </row>
    <row r="11" spans="1:19" ht="15.75" thickBot="1" x14ac:dyDescent="0.3">
      <c r="A11" s="80"/>
      <c r="B11" s="81"/>
      <c r="C11" s="81"/>
      <c r="D11" s="157"/>
      <c r="E11" s="162"/>
      <c r="F11" s="78"/>
      <c r="G11" s="78"/>
      <c r="H11" s="78"/>
      <c r="I11" s="78"/>
      <c r="J11" s="81"/>
      <c r="K11" s="81"/>
      <c r="L11" s="81"/>
      <c r="M11" s="81"/>
      <c r="N11" s="154"/>
      <c r="O11" s="81"/>
      <c r="P11" s="81"/>
      <c r="Q11" s="73">
        <f t="shared" si="1"/>
        <v>0</v>
      </c>
      <c r="R11" s="165">
        <f t="shared" si="0"/>
        <v>0</v>
      </c>
    </row>
    <row r="12" spans="1:19" ht="15.75" thickBot="1" x14ac:dyDescent="0.3">
      <c r="A12" s="80"/>
      <c r="B12" s="81"/>
      <c r="C12" s="81"/>
      <c r="D12" s="154"/>
      <c r="E12" s="162"/>
      <c r="F12" s="78"/>
      <c r="G12" s="78"/>
      <c r="H12" s="78"/>
      <c r="I12" s="78"/>
      <c r="J12" s="81"/>
      <c r="K12" s="81"/>
      <c r="L12" s="81"/>
      <c r="M12" s="81"/>
      <c r="N12" s="154"/>
      <c r="O12" s="81"/>
      <c r="P12" s="81"/>
      <c r="Q12" s="73">
        <f t="shared" si="1"/>
        <v>0</v>
      </c>
      <c r="R12" s="165">
        <f t="shared" si="0"/>
        <v>0</v>
      </c>
    </row>
    <row r="13" spans="1:19" ht="15.75" thickBot="1" x14ac:dyDescent="0.3">
      <c r="A13" s="80"/>
      <c r="B13" s="81"/>
      <c r="C13" s="81"/>
      <c r="D13" s="154"/>
      <c r="E13" s="162"/>
      <c r="F13" s="78"/>
      <c r="G13" s="78"/>
      <c r="H13" s="78"/>
      <c r="I13" s="78"/>
      <c r="J13" s="81"/>
      <c r="K13" s="81"/>
      <c r="L13" s="81"/>
      <c r="M13" s="81"/>
      <c r="N13" s="154"/>
      <c r="O13" s="81"/>
      <c r="P13" s="81"/>
      <c r="Q13" s="73">
        <f t="shared" si="1"/>
        <v>0</v>
      </c>
      <c r="R13" s="165">
        <f t="shared" si="0"/>
        <v>0</v>
      </c>
    </row>
    <row r="14" spans="1:19" ht="15.75" thickBot="1" x14ac:dyDescent="0.3">
      <c r="A14" s="80"/>
      <c r="B14" s="81"/>
      <c r="C14" s="81"/>
      <c r="D14" s="154"/>
      <c r="E14" s="162"/>
      <c r="F14" s="78"/>
      <c r="G14" s="78"/>
      <c r="H14" s="78"/>
      <c r="I14" s="78"/>
      <c r="J14" s="81"/>
      <c r="K14" s="81"/>
      <c r="L14" s="81"/>
      <c r="M14" s="81"/>
      <c r="N14" s="154"/>
      <c r="O14" s="81"/>
      <c r="P14" s="81"/>
      <c r="Q14" s="73">
        <f t="shared" si="1"/>
        <v>0</v>
      </c>
      <c r="R14" s="165">
        <f t="shared" si="0"/>
        <v>0</v>
      </c>
    </row>
    <row r="15" spans="1:19" ht="15.75" thickBot="1" x14ac:dyDescent="0.3">
      <c r="A15" s="80"/>
      <c r="B15" s="81"/>
      <c r="C15" s="81"/>
      <c r="D15" s="154"/>
      <c r="E15" s="162"/>
      <c r="F15" s="78"/>
      <c r="G15" s="78"/>
      <c r="H15" s="78"/>
      <c r="I15" s="78"/>
      <c r="J15" s="81"/>
      <c r="K15" s="81"/>
      <c r="L15" s="81"/>
      <c r="M15" s="81"/>
      <c r="N15" s="154"/>
      <c r="O15" s="81"/>
      <c r="P15" s="81"/>
      <c r="Q15" s="73">
        <f t="shared" si="1"/>
        <v>0</v>
      </c>
      <c r="R15" s="165">
        <f t="shared" si="0"/>
        <v>0</v>
      </c>
    </row>
    <row r="16" spans="1:19" ht="15.75" thickBot="1" x14ac:dyDescent="0.3">
      <c r="A16" s="80"/>
      <c r="B16" s="81"/>
      <c r="C16" s="81"/>
      <c r="D16" s="154"/>
      <c r="E16" s="162"/>
      <c r="F16" s="78"/>
      <c r="G16" s="78"/>
      <c r="H16" s="78"/>
      <c r="I16" s="78"/>
      <c r="J16" s="81"/>
      <c r="K16" s="81"/>
      <c r="L16" s="81"/>
      <c r="M16" s="81"/>
      <c r="N16" s="154"/>
      <c r="O16" s="81"/>
      <c r="P16" s="81"/>
      <c r="Q16" s="73">
        <f t="shared" si="1"/>
        <v>0</v>
      </c>
      <c r="R16" s="165">
        <f t="shared" si="0"/>
        <v>0</v>
      </c>
    </row>
    <row r="17" spans="1:18" ht="15.75" thickBot="1" x14ac:dyDescent="0.3">
      <c r="A17" s="80"/>
      <c r="B17" s="81"/>
      <c r="C17" s="81"/>
      <c r="D17" s="154"/>
      <c r="E17" s="162"/>
      <c r="F17" s="78"/>
      <c r="G17" s="78"/>
      <c r="H17" s="78"/>
      <c r="I17" s="78"/>
      <c r="J17" s="81"/>
      <c r="K17" s="81"/>
      <c r="L17" s="81"/>
      <c r="M17" s="81"/>
      <c r="N17" s="154"/>
      <c r="O17" s="81"/>
      <c r="P17" s="81"/>
      <c r="Q17" s="73">
        <f t="shared" si="1"/>
        <v>0</v>
      </c>
      <c r="R17" s="165">
        <f t="shared" si="0"/>
        <v>0</v>
      </c>
    </row>
    <row r="18" spans="1:18" ht="15.75" thickBot="1" x14ac:dyDescent="0.3">
      <c r="A18" s="80"/>
      <c r="B18" s="81"/>
      <c r="C18" s="81"/>
      <c r="D18" s="154"/>
      <c r="E18" s="162"/>
      <c r="F18" s="78"/>
      <c r="G18" s="78"/>
      <c r="H18" s="78"/>
      <c r="I18" s="78"/>
      <c r="J18" s="81"/>
      <c r="K18" s="81"/>
      <c r="L18" s="81"/>
      <c r="M18" s="81"/>
      <c r="N18" s="154"/>
      <c r="O18" s="81"/>
      <c r="P18" s="81"/>
      <c r="Q18" s="73">
        <f t="shared" si="1"/>
        <v>0</v>
      </c>
      <c r="R18" s="165">
        <f t="shared" si="0"/>
        <v>0</v>
      </c>
    </row>
    <row r="19" spans="1:18" ht="15" customHeight="1" thickBot="1" x14ac:dyDescent="0.3">
      <c r="A19" s="80"/>
      <c r="B19" s="81"/>
      <c r="C19" s="81"/>
      <c r="D19" s="154"/>
      <c r="E19" s="162"/>
      <c r="F19" s="78"/>
      <c r="G19" s="78"/>
      <c r="H19" s="78"/>
      <c r="I19" s="78"/>
      <c r="J19" s="81"/>
      <c r="K19" s="81"/>
      <c r="L19" s="81"/>
      <c r="M19" s="81"/>
      <c r="N19" s="154"/>
      <c r="O19" s="81"/>
      <c r="P19" s="81"/>
      <c r="Q19" s="73">
        <f t="shared" si="1"/>
        <v>0</v>
      </c>
      <c r="R19" s="165">
        <f t="shared" si="0"/>
        <v>0</v>
      </c>
    </row>
    <row r="20" spans="1:18" ht="15.75" thickBot="1" x14ac:dyDescent="0.3">
      <c r="A20" t="s">
        <v>4</v>
      </c>
      <c r="E20" s="163">
        <f>SUM(E9:E19)</f>
        <v>0</v>
      </c>
      <c r="F20" s="12"/>
      <c r="G20" s="12"/>
      <c r="H20" s="12"/>
      <c r="I20" s="12"/>
      <c r="J20" s="6"/>
      <c r="K20" s="6"/>
      <c r="L20" s="6"/>
      <c r="M20" s="6"/>
      <c r="N20" s="155"/>
      <c r="O20" s="6"/>
      <c r="P20" s="6"/>
      <c r="Q20" s="73">
        <f>SUM(Q9:Q19)</f>
        <v>0</v>
      </c>
      <c r="R20" s="166">
        <f>SUM(R9:R19)</f>
        <v>0</v>
      </c>
    </row>
    <row r="21" spans="1:18" ht="15.75" thickBot="1" x14ac:dyDescent="0.3"/>
    <row r="22" spans="1:18" ht="16.5" thickBot="1" x14ac:dyDescent="0.35">
      <c r="H22" s="291" t="s">
        <v>20</v>
      </c>
      <c r="I22" s="292"/>
      <c r="J22" s="15">
        <f>E20</f>
        <v>0</v>
      </c>
    </row>
    <row r="23" spans="1:18" ht="19.5" thickBot="1" x14ac:dyDescent="0.45">
      <c r="H23" s="279" t="s">
        <v>3</v>
      </c>
      <c r="I23" s="280"/>
      <c r="J23" s="16">
        <f>Q20</f>
        <v>0</v>
      </c>
    </row>
    <row r="24" spans="1:18" ht="19.5" thickBot="1" x14ac:dyDescent="0.45">
      <c r="H24" s="279" t="s">
        <v>7</v>
      </c>
      <c r="I24" s="279"/>
      <c r="J24" s="13">
        <f>R20</f>
        <v>0</v>
      </c>
    </row>
    <row r="26" spans="1:18" ht="18.75" x14ac:dyDescent="0.25">
      <c r="D26" s="137">
        <v>45292</v>
      </c>
      <c r="E26" s="138" t="s">
        <v>47</v>
      </c>
      <c r="F26" s="138" t="s">
        <v>41</v>
      </c>
      <c r="G26" s="138" t="s">
        <v>42</v>
      </c>
      <c r="H26" s="138" t="s">
        <v>43</v>
      </c>
      <c r="I26" s="138" t="s">
        <v>44</v>
      </c>
      <c r="J26" s="139" t="s">
        <v>45</v>
      </c>
      <c r="K26" s="139" t="s">
        <v>46</v>
      </c>
      <c r="L26" s="151"/>
      <c r="M26" s="151"/>
      <c r="N26" s="151"/>
      <c r="O26" s="151"/>
      <c r="P26" s="151"/>
    </row>
    <row r="27" spans="1:18" ht="18.75" x14ac:dyDescent="0.25">
      <c r="D27" s="140" t="s">
        <v>152</v>
      </c>
      <c r="E27" s="141" t="s">
        <v>341</v>
      </c>
      <c r="F27" s="141" t="s">
        <v>342</v>
      </c>
      <c r="G27" s="141" t="s">
        <v>343</v>
      </c>
      <c r="H27" s="141" t="s">
        <v>344</v>
      </c>
      <c r="I27" s="141" t="s">
        <v>345</v>
      </c>
      <c r="J27" s="184" t="s">
        <v>346</v>
      </c>
      <c r="K27" s="184" t="s">
        <v>347</v>
      </c>
      <c r="L27" s="152"/>
      <c r="M27" s="152"/>
      <c r="N27" s="152"/>
      <c r="O27" s="152"/>
      <c r="P27" s="152"/>
    </row>
    <row r="40" spans="11:11" x14ac:dyDescent="0.25">
      <c r="K40" t="s">
        <v>31</v>
      </c>
    </row>
  </sheetData>
  <sheetProtection algorithmName="SHA-512" hashValue="YIUjo5wi4XlPJMXG7QBX9HopvMsMgQqThPIsC4TxhkgrpAs6oCq3Om6XZEd21+GS2m0qHpjW2on7QI8Hb/GVRA==" saltValue="lhGBK+gsYH8thsC6MVECLw==" spinCount="100000" sheet="1" formatCells="0" formatColumns="0" formatRows="0" insertColumns="0" insertRows="0" insertHyperlinks="0" deleteColumns="0" deleteRows="0" sort="0" autoFilter="0" pivotTables="0"/>
  <autoFilter ref="A8:R8" xr:uid="{72F5B641-9E54-404F-A31A-E14BE1BB44DA}"/>
  <mergeCells count="9">
    <mergeCell ref="H22:I22"/>
    <mergeCell ref="H23:I23"/>
    <mergeCell ref="H24:I24"/>
    <mergeCell ref="A1:B5"/>
    <mergeCell ref="C1:G2"/>
    <mergeCell ref="H1:I2"/>
    <mergeCell ref="C3:I7"/>
    <mergeCell ref="A6:B6"/>
    <mergeCell ref="A7:B7"/>
  </mergeCells>
  <phoneticPr fontId="18" type="noConversion"/>
  <conditionalFormatting sqref="L27:P27">
    <cfRule type="expression" dxfId="503" priority="25">
      <formula>IFERROR(INDEX(DiasCategorias, L27-FechaInicio+1),0)=1</formula>
    </cfRule>
    <cfRule type="expression" dxfId="502" priority="26">
      <formula>IFERROR(INDEX(DiasCategorias, L27-FechaInicio+1),0)=2</formula>
    </cfRule>
    <cfRule type="expression" dxfId="501" priority="27">
      <formula>IFERROR(INDEX(DiasCategorias, L27-FechaInicio+1),0)=3</formula>
    </cfRule>
    <cfRule type="expression" dxfId="500" priority="28">
      <formula>IFERROR(INDEX(DiasCategorias, L27-FechaInicio+1),0)=4</formula>
    </cfRule>
    <cfRule type="expression" dxfId="499" priority="29">
      <formula>IFERROR(INDEX(DiasCategorias, L27-FechaInicio+1),0)=5</formula>
    </cfRule>
    <cfRule type="expression" dxfId="498" priority="30">
      <formula>IFERROR(INDEX(DiasCategorias, L27-FechaInicio+1),0)=6</formula>
    </cfRule>
    <cfRule type="expression" dxfId="497" priority="31">
      <formula>IFERROR(INDEX(DiasCategorias, L27-FechaInicio+1),0)=7</formula>
    </cfRule>
    <cfRule type="expression" dxfId="496" priority="32">
      <formula>IFERROR(INDEX(DiasCategorias, L27-FechaInicio+1),0)=8</formula>
    </cfRule>
    <cfRule type="expression" dxfId="495" priority="33">
      <formula>IFERROR(INDEX(DiasCategorias, L27-FechaInicio+1),0)=9</formula>
    </cfRule>
    <cfRule type="expression" dxfId="494" priority="34">
      <formula>IFERROR(INDEX(DiasCategorias, L27-FechaInicio+1),0)=10</formula>
    </cfRule>
    <cfRule type="expression" dxfId="493" priority="35">
      <formula>IFERROR(INDEX(DiasCategorias, L27-FechaInicio+1),0)=11</formula>
    </cfRule>
    <cfRule type="expression" dxfId="492" priority="36">
      <formula>IFERROR(INDEX(DiasCategorias, L27-FechaInicio+1),0)=12</formula>
    </cfRule>
  </conditionalFormatting>
  <conditionalFormatting sqref="E27:K27">
    <cfRule type="expression" dxfId="491" priority="1">
      <formula>IFERROR(INDEX(DiasCategorias, E27-FechaInicio+1),0)=1</formula>
    </cfRule>
    <cfRule type="expression" dxfId="490" priority="2">
      <formula>IFERROR(INDEX(DiasCategorias, E27-FechaInicio+1),0)=2</formula>
    </cfRule>
    <cfRule type="expression" dxfId="489" priority="3">
      <formula>IFERROR(INDEX(DiasCategorias, E27-FechaInicio+1),0)=3</formula>
    </cfRule>
    <cfRule type="expression" dxfId="488" priority="4">
      <formula>IFERROR(INDEX(DiasCategorias, E27-FechaInicio+1),0)=4</formula>
    </cfRule>
    <cfRule type="expression" dxfId="487" priority="5">
      <formula>IFERROR(INDEX(DiasCategorias, E27-FechaInicio+1),0)=5</formula>
    </cfRule>
    <cfRule type="expression" dxfId="486" priority="6">
      <formula>IFERROR(INDEX(DiasCategorias, E27-FechaInicio+1),0)=6</formula>
    </cfRule>
    <cfRule type="expression" dxfId="485" priority="7">
      <formula>IFERROR(INDEX(DiasCategorias, E27-FechaInicio+1),0)=7</formula>
    </cfRule>
    <cfRule type="expression" dxfId="484" priority="8">
      <formula>IFERROR(INDEX(DiasCategorias, E27-FechaInicio+1),0)=8</formula>
    </cfRule>
    <cfRule type="expression" dxfId="483" priority="9">
      <formula>IFERROR(INDEX(DiasCategorias, E27-FechaInicio+1),0)=9</formula>
    </cfRule>
    <cfRule type="expression" dxfId="482" priority="10">
      <formula>IFERROR(INDEX(DiasCategorias, E27-FechaInicio+1),0)=10</formula>
    </cfRule>
    <cfRule type="expression" dxfId="481" priority="11">
      <formula>IFERROR(INDEX(DiasCategorias, E27-FechaInicio+1),0)=11</formula>
    </cfRule>
    <cfRule type="expression" dxfId="480" priority="12">
      <formula>IFERROR(INDEX(DiasCategorias, E27-FechaInicio+1),0)=12</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B04A6-1026-4D40-8088-6F2383311551}">
  <sheetPr codeName="Hoja28">
    <tabColor rgb="FF00B0F0"/>
  </sheetPr>
  <dimension ref="A1:W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6" customWidth="1"/>
    <col min="7" max="7" width="15.42578125" customWidth="1"/>
    <col min="8" max="8" width="14.85546875" customWidth="1"/>
    <col min="9" max="9" width="15.5703125" customWidth="1"/>
    <col min="10" max="10" width="14.7109375" customWidth="1"/>
    <col min="11" max="20" width="14.85546875" customWidth="1"/>
  </cols>
  <sheetData>
    <row r="1" spans="1:23" ht="15" customHeight="1" x14ac:dyDescent="0.25">
      <c r="A1" s="268"/>
      <c r="B1" s="268"/>
      <c r="C1" s="281" t="s">
        <v>8</v>
      </c>
      <c r="D1" s="282"/>
      <c r="E1" s="282"/>
      <c r="F1" s="282"/>
      <c r="G1" s="283"/>
      <c r="H1" s="288"/>
      <c r="I1" s="289"/>
    </row>
    <row r="2" spans="1:23" ht="15.75" customHeight="1" thickBot="1" x14ac:dyDescent="0.3">
      <c r="A2" s="268"/>
      <c r="B2" s="268"/>
      <c r="C2" s="285"/>
      <c r="D2" s="286"/>
      <c r="E2" s="286"/>
      <c r="F2" s="286"/>
      <c r="G2" s="287"/>
      <c r="H2" s="288"/>
      <c r="I2" s="289"/>
    </row>
    <row r="3" spans="1:23" x14ac:dyDescent="0.25">
      <c r="A3" s="268"/>
      <c r="B3" s="268"/>
      <c r="C3" s="268"/>
      <c r="D3" s="268"/>
      <c r="E3" s="268"/>
      <c r="F3" s="268"/>
      <c r="G3" s="268"/>
      <c r="H3" s="268"/>
      <c r="I3" s="268"/>
    </row>
    <row r="4" spans="1:23" x14ac:dyDescent="0.25">
      <c r="A4" s="268"/>
      <c r="B4" s="268"/>
      <c r="C4" s="268"/>
      <c r="D4" s="268"/>
      <c r="E4" s="268"/>
      <c r="F4" s="268"/>
      <c r="G4" s="268"/>
      <c r="H4" s="268"/>
      <c r="I4" s="268"/>
    </row>
    <row r="5" spans="1:23" x14ac:dyDescent="0.25">
      <c r="A5" s="268"/>
      <c r="B5" s="268"/>
      <c r="C5" s="268"/>
      <c r="D5" s="268"/>
      <c r="E5" s="268"/>
      <c r="F5" s="268"/>
      <c r="G5" s="268"/>
      <c r="H5" s="268"/>
      <c r="I5" s="268"/>
    </row>
    <row r="6" spans="1:23" ht="27" x14ac:dyDescent="0.5">
      <c r="A6" s="273" t="s">
        <v>10</v>
      </c>
      <c r="B6" s="273"/>
      <c r="C6" s="268"/>
      <c r="D6" s="268"/>
      <c r="E6" s="268"/>
      <c r="F6" s="268"/>
      <c r="G6" s="268"/>
      <c r="H6" s="268"/>
      <c r="I6" s="268"/>
    </row>
    <row r="7" spans="1:23" ht="27.75" thickBot="1" x14ac:dyDescent="0.55000000000000004">
      <c r="A7" s="274">
        <v>29</v>
      </c>
      <c r="B7" s="274"/>
      <c r="C7" s="296"/>
      <c r="D7" s="296"/>
      <c r="E7" s="296"/>
      <c r="F7" s="296"/>
      <c r="G7" s="296"/>
      <c r="H7" s="296"/>
      <c r="I7" s="296"/>
    </row>
    <row r="8" spans="1:23" ht="19.5" thickBot="1" x14ac:dyDescent="0.45">
      <c r="A8" s="29" t="s">
        <v>14</v>
      </c>
      <c r="B8" s="29" t="s">
        <v>15</v>
      </c>
      <c r="C8" s="29" t="s">
        <v>16</v>
      </c>
      <c r="D8" s="29" t="s">
        <v>114</v>
      </c>
      <c r="E8" s="30" t="s">
        <v>17</v>
      </c>
      <c r="F8" s="75" t="s">
        <v>86</v>
      </c>
      <c r="G8" s="75" t="s">
        <v>87</v>
      </c>
      <c r="H8" s="75" t="s">
        <v>88</v>
      </c>
      <c r="I8" s="75" t="s">
        <v>89</v>
      </c>
      <c r="J8" s="75" t="s">
        <v>90</v>
      </c>
      <c r="K8" s="75" t="s">
        <v>27</v>
      </c>
      <c r="L8" s="75" t="s">
        <v>19</v>
      </c>
      <c r="M8" s="75" t="s">
        <v>21</v>
      </c>
      <c r="N8" s="75" t="s">
        <v>28</v>
      </c>
      <c r="O8" s="119" t="s">
        <v>29</v>
      </c>
      <c r="P8" s="160" t="s">
        <v>30</v>
      </c>
      <c r="Q8" s="160" t="s">
        <v>32</v>
      </c>
      <c r="R8" s="160" t="s">
        <v>33</v>
      </c>
      <c r="S8" s="160" t="s">
        <v>34</v>
      </c>
      <c r="T8" s="160" t="s">
        <v>35</v>
      </c>
      <c r="U8" s="120" t="s">
        <v>4</v>
      </c>
      <c r="V8" s="164" t="s">
        <v>18</v>
      </c>
    </row>
    <row r="9" spans="1:23" ht="15.75" thickBot="1" x14ac:dyDescent="0.3">
      <c r="A9" s="80"/>
      <c r="B9" s="81"/>
      <c r="C9" s="81"/>
      <c r="D9" s="154"/>
      <c r="E9" s="162"/>
      <c r="F9" s="78"/>
      <c r="G9" s="78"/>
      <c r="H9" s="81"/>
      <c r="I9" s="81"/>
      <c r="J9" s="81"/>
      <c r="K9" s="81"/>
      <c r="L9" s="81"/>
      <c r="M9" s="81"/>
      <c r="N9" s="81"/>
      <c r="O9" s="154"/>
      <c r="P9" s="81"/>
      <c r="Q9" s="81"/>
      <c r="R9" s="81"/>
      <c r="S9" s="81"/>
      <c r="T9" s="81"/>
      <c r="U9" s="73">
        <f>SUM(F9:T9)</f>
        <v>0</v>
      </c>
      <c r="V9" s="165">
        <f t="shared" ref="V9:V19" si="0">E9-U9</f>
        <v>0</v>
      </c>
      <c r="W9">
        <f>_xlfn.ISOWEEKNUM(A9)</f>
        <v>52</v>
      </c>
    </row>
    <row r="10" spans="1:23" ht="15.75" thickBot="1" x14ac:dyDescent="0.3">
      <c r="A10" s="80"/>
      <c r="B10" s="81"/>
      <c r="C10" s="81"/>
      <c r="D10" s="154"/>
      <c r="E10" s="162"/>
      <c r="F10" s="78"/>
      <c r="G10" s="78"/>
      <c r="H10" s="78"/>
      <c r="I10" s="78"/>
      <c r="J10" s="81"/>
      <c r="K10" s="81"/>
      <c r="L10" s="81"/>
      <c r="M10" s="81"/>
      <c r="N10" s="81"/>
      <c r="O10" s="154"/>
      <c r="P10" s="81"/>
      <c r="Q10" s="81"/>
      <c r="R10" s="81"/>
      <c r="S10" s="81"/>
      <c r="T10" s="81"/>
      <c r="U10" s="73">
        <f t="shared" ref="U10:U19" si="1">SUM(F10:T10)</f>
        <v>0</v>
      </c>
      <c r="V10" s="165">
        <f t="shared" si="0"/>
        <v>0</v>
      </c>
    </row>
    <row r="11" spans="1:23" ht="15.75" thickBot="1" x14ac:dyDescent="0.3">
      <c r="A11" s="80"/>
      <c r="B11" s="81"/>
      <c r="C11" s="81"/>
      <c r="D11" s="154"/>
      <c r="E11" s="162"/>
      <c r="F11" s="78"/>
      <c r="G11" s="78"/>
      <c r="H11" s="78"/>
      <c r="I11" s="78"/>
      <c r="J11" s="81"/>
      <c r="K11" s="81"/>
      <c r="L11" s="81"/>
      <c r="M11" s="81"/>
      <c r="N11" s="81"/>
      <c r="O11" s="154"/>
      <c r="P11" s="81"/>
      <c r="Q11" s="81"/>
      <c r="R11" s="81"/>
      <c r="S11" s="81"/>
      <c r="T11" s="81"/>
      <c r="U11" s="73">
        <f t="shared" si="1"/>
        <v>0</v>
      </c>
      <c r="V11" s="165">
        <f t="shared" si="0"/>
        <v>0</v>
      </c>
    </row>
    <row r="12" spans="1:23" ht="15.75" thickBot="1" x14ac:dyDescent="0.3">
      <c r="A12" s="80"/>
      <c r="B12" s="81"/>
      <c r="C12" s="81"/>
      <c r="D12" s="154"/>
      <c r="E12" s="162"/>
      <c r="F12" s="78"/>
      <c r="G12" s="78"/>
      <c r="H12" s="78"/>
      <c r="I12" s="78"/>
      <c r="J12" s="81"/>
      <c r="K12" s="81"/>
      <c r="L12" s="81"/>
      <c r="M12" s="81"/>
      <c r="N12" s="81"/>
      <c r="O12" s="154"/>
      <c r="P12" s="81"/>
      <c r="Q12" s="81"/>
      <c r="R12" s="81"/>
      <c r="S12" s="81"/>
      <c r="T12" s="81"/>
      <c r="U12" s="73">
        <f t="shared" si="1"/>
        <v>0</v>
      </c>
      <c r="V12" s="165">
        <f t="shared" si="0"/>
        <v>0</v>
      </c>
    </row>
    <row r="13" spans="1:23" ht="15.75" thickBot="1" x14ac:dyDescent="0.3">
      <c r="A13" s="80"/>
      <c r="B13" s="81"/>
      <c r="C13" s="81"/>
      <c r="D13" s="154"/>
      <c r="E13" s="162"/>
      <c r="F13" s="78"/>
      <c r="G13" s="78"/>
      <c r="H13" s="78"/>
      <c r="I13" s="78"/>
      <c r="J13" s="81"/>
      <c r="K13" s="81"/>
      <c r="L13" s="81"/>
      <c r="M13" s="81"/>
      <c r="N13" s="81"/>
      <c r="O13" s="154"/>
      <c r="P13" s="81"/>
      <c r="Q13" s="81"/>
      <c r="R13" s="81"/>
      <c r="S13" s="81"/>
      <c r="T13" s="81"/>
      <c r="U13" s="73">
        <f t="shared" si="1"/>
        <v>0</v>
      </c>
      <c r="V13" s="165">
        <f t="shared" si="0"/>
        <v>0</v>
      </c>
    </row>
    <row r="14" spans="1:23" ht="15.75" thickBot="1" x14ac:dyDescent="0.3">
      <c r="A14" s="80"/>
      <c r="B14" s="81"/>
      <c r="C14" s="81"/>
      <c r="D14" s="154"/>
      <c r="E14" s="162"/>
      <c r="F14" s="78"/>
      <c r="G14" s="78"/>
      <c r="H14" s="78"/>
      <c r="I14" s="78"/>
      <c r="J14" s="81"/>
      <c r="K14" s="81"/>
      <c r="L14" s="81"/>
      <c r="M14" s="81"/>
      <c r="N14" s="81"/>
      <c r="O14" s="154"/>
      <c r="P14" s="81"/>
      <c r="Q14" s="81"/>
      <c r="R14" s="81"/>
      <c r="S14" s="81"/>
      <c r="T14" s="81"/>
      <c r="U14" s="73">
        <f t="shared" si="1"/>
        <v>0</v>
      </c>
      <c r="V14" s="165">
        <f t="shared" si="0"/>
        <v>0</v>
      </c>
    </row>
    <row r="15" spans="1:23" ht="15.75" thickBot="1" x14ac:dyDescent="0.3">
      <c r="A15" s="80"/>
      <c r="B15" s="81"/>
      <c r="C15" s="81"/>
      <c r="D15" s="154"/>
      <c r="E15" s="162"/>
      <c r="F15" s="78"/>
      <c r="G15" s="78"/>
      <c r="H15" s="78"/>
      <c r="I15" s="78"/>
      <c r="J15" s="81"/>
      <c r="K15" s="81"/>
      <c r="L15" s="81"/>
      <c r="M15" s="81"/>
      <c r="N15" s="81"/>
      <c r="O15" s="154"/>
      <c r="P15" s="81"/>
      <c r="Q15" s="81"/>
      <c r="R15" s="81"/>
      <c r="S15" s="81"/>
      <c r="T15" s="81"/>
      <c r="U15" s="73">
        <f t="shared" si="1"/>
        <v>0</v>
      </c>
      <c r="V15" s="165">
        <f t="shared" si="0"/>
        <v>0</v>
      </c>
    </row>
    <row r="16" spans="1:23" ht="15.75" thickBot="1" x14ac:dyDescent="0.3">
      <c r="A16" s="80"/>
      <c r="B16" s="81"/>
      <c r="C16" s="81"/>
      <c r="D16" s="154"/>
      <c r="E16" s="162"/>
      <c r="F16" s="78"/>
      <c r="G16" s="78"/>
      <c r="H16" s="78"/>
      <c r="I16" s="78"/>
      <c r="J16" s="81"/>
      <c r="K16" s="81"/>
      <c r="L16" s="81"/>
      <c r="M16" s="81"/>
      <c r="N16" s="81"/>
      <c r="O16" s="154"/>
      <c r="P16" s="81"/>
      <c r="Q16" s="81"/>
      <c r="R16" s="81"/>
      <c r="S16" s="81"/>
      <c r="T16" s="81"/>
      <c r="U16" s="73">
        <f t="shared" si="1"/>
        <v>0</v>
      </c>
      <c r="V16" s="165">
        <f t="shared" si="0"/>
        <v>0</v>
      </c>
    </row>
    <row r="17" spans="1:22" ht="15.75" thickBot="1" x14ac:dyDescent="0.3">
      <c r="A17" s="80"/>
      <c r="B17" s="81"/>
      <c r="C17" s="81"/>
      <c r="D17" s="154"/>
      <c r="E17" s="162"/>
      <c r="F17" s="78"/>
      <c r="G17" s="78"/>
      <c r="H17" s="78"/>
      <c r="I17" s="78"/>
      <c r="J17" s="81"/>
      <c r="K17" s="81"/>
      <c r="L17" s="81"/>
      <c r="M17" s="81"/>
      <c r="N17" s="81"/>
      <c r="O17" s="154"/>
      <c r="P17" s="81"/>
      <c r="Q17" s="81"/>
      <c r="R17" s="81"/>
      <c r="S17" s="81"/>
      <c r="T17" s="81"/>
      <c r="U17" s="73">
        <f t="shared" si="1"/>
        <v>0</v>
      </c>
      <c r="V17" s="165">
        <f t="shared" si="0"/>
        <v>0</v>
      </c>
    </row>
    <row r="18" spans="1:22" ht="15.75" thickBot="1" x14ac:dyDescent="0.3">
      <c r="A18" s="80"/>
      <c r="B18" s="81"/>
      <c r="C18" s="81"/>
      <c r="D18" s="154"/>
      <c r="E18" s="162"/>
      <c r="F18" s="78"/>
      <c r="G18" s="78"/>
      <c r="H18" s="78"/>
      <c r="I18" s="78"/>
      <c r="J18" s="81"/>
      <c r="K18" s="81"/>
      <c r="L18" s="81"/>
      <c r="M18" s="81"/>
      <c r="N18" s="81"/>
      <c r="O18" s="154"/>
      <c r="P18" s="81"/>
      <c r="Q18" s="81"/>
      <c r="R18" s="81"/>
      <c r="S18" s="81"/>
      <c r="T18" s="81"/>
      <c r="U18" s="73">
        <f t="shared" si="1"/>
        <v>0</v>
      </c>
      <c r="V18" s="165">
        <f t="shared" si="0"/>
        <v>0</v>
      </c>
    </row>
    <row r="19" spans="1:22" ht="15.75" thickBot="1" x14ac:dyDescent="0.3">
      <c r="A19" s="80"/>
      <c r="B19" s="81"/>
      <c r="C19" s="81"/>
      <c r="D19" s="154"/>
      <c r="E19" s="162"/>
      <c r="F19" s="78"/>
      <c r="G19" s="78"/>
      <c r="H19" s="78"/>
      <c r="I19" s="78"/>
      <c r="J19" s="81"/>
      <c r="K19" s="81"/>
      <c r="L19" s="81"/>
      <c r="M19" s="81"/>
      <c r="N19" s="81"/>
      <c r="O19" s="154"/>
      <c r="P19" s="81"/>
      <c r="Q19" s="81"/>
      <c r="R19" s="81"/>
      <c r="S19" s="81"/>
      <c r="T19" s="81"/>
      <c r="U19" s="73">
        <f t="shared" si="1"/>
        <v>0</v>
      </c>
      <c r="V19" s="165">
        <f t="shared" si="0"/>
        <v>0</v>
      </c>
    </row>
    <row r="20" spans="1:22" ht="15.75" thickBot="1" x14ac:dyDescent="0.3">
      <c r="A20" t="s">
        <v>4</v>
      </c>
      <c r="E20" s="163">
        <f>SUM(E9:E19)</f>
        <v>0</v>
      </c>
      <c r="F20" s="12"/>
      <c r="G20" s="12"/>
      <c r="H20" s="12"/>
      <c r="I20" s="12"/>
      <c r="J20" s="6"/>
      <c r="K20" s="6"/>
      <c r="L20" s="6"/>
      <c r="M20" s="6"/>
      <c r="N20" s="6"/>
      <c r="O20" s="155"/>
      <c r="P20" s="6"/>
      <c r="Q20" s="6"/>
      <c r="R20" s="6"/>
      <c r="S20" s="6"/>
      <c r="T20" s="6"/>
      <c r="U20" s="73">
        <f>SUM(U9:U19)</f>
        <v>0</v>
      </c>
      <c r="V20" s="166">
        <f>SUM(V9:V19)</f>
        <v>0</v>
      </c>
    </row>
    <row r="21" spans="1:22" ht="15.75" thickBot="1" x14ac:dyDescent="0.3"/>
    <row r="22" spans="1:22" ht="16.5" thickBot="1" x14ac:dyDescent="0.35">
      <c r="H22" s="291" t="s">
        <v>20</v>
      </c>
      <c r="I22" s="292"/>
      <c r="J22" s="15">
        <f>E20</f>
        <v>0</v>
      </c>
    </row>
    <row r="23" spans="1:22" ht="19.5" thickBot="1" x14ac:dyDescent="0.45">
      <c r="H23" s="279" t="s">
        <v>3</v>
      </c>
      <c r="I23" s="280"/>
      <c r="J23" s="16">
        <f>U20</f>
        <v>0</v>
      </c>
    </row>
    <row r="24" spans="1:22" ht="19.5" thickBot="1" x14ac:dyDescent="0.45">
      <c r="H24" s="279" t="s">
        <v>7</v>
      </c>
      <c r="I24" s="279"/>
      <c r="J24" s="13">
        <f>V20</f>
        <v>0</v>
      </c>
    </row>
    <row r="26" spans="1:22"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row>
    <row r="27" spans="1:22" ht="18.75" x14ac:dyDescent="0.25">
      <c r="D27" s="140" t="s">
        <v>153</v>
      </c>
      <c r="E27" s="141" t="s">
        <v>348</v>
      </c>
      <c r="F27" s="141" t="s">
        <v>349</v>
      </c>
      <c r="G27" s="141" t="s">
        <v>350</v>
      </c>
      <c r="H27" s="141" t="s">
        <v>351</v>
      </c>
      <c r="I27" s="141" t="s">
        <v>352</v>
      </c>
      <c r="J27" s="184" t="s">
        <v>353</v>
      </c>
      <c r="K27" s="184" t="s">
        <v>354</v>
      </c>
      <c r="L27" s="152"/>
      <c r="M27" s="152"/>
      <c r="N27" s="152"/>
      <c r="O27" s="152"/>
      <c r="P27" s="152"/>
      <c r="Q27" s="152"/>
      <c r="R27" s="152"/>
      <c r="S27" s="152"/>
      <c r="T27" s="152"/>
    </row>
    <row r="40" spans="11:11" x14ac:dyDescent="0.25">
      <c r="K40" t="s">
        <v>31</v>
      </c>
    </row>
  </sheetData>
  <sheetProtection algorithmName="SHA-512" hashValue="iaeKAcjDXptYb0kOwHVAwMzqXT0V7Ue3yJC4x8t0I93PSchg61zJ9QpWc3ic5bUA6dVuGzsvXbtqn0tTZwquCQ==" saltValue="0RkwLM1n/BQ9zX9ZO1vjxQ==" spinCount="100000" sheet="1" formatCells="0" formatColumns="0" formatRows="0" insertColumns="0" insertRows="0" insertHyperlinks="0" deleteColumns="0" deleteRows="0" sort="0" autoFilter="0" pivotTables="0"/>
  <autoFilter ref="A8:V8" xr:uid="{DEFB04A6-1026-4D40-8088-6F2383311551}"/>
  <mergeCells count="9">
    <mergeCell ref="H22:I22"/>
    <mergeCell ref="H23:I23"/>
    <mergeCell ref="H24:I24"/>
    <mergeCell ref="A1:B5"/>
    <mergeCell ref="C1:G2"/>
    <mergeCell ref="H1:I2"/>
    <mergeCell ref="C3:I7"/>
    <mergeCell ref="A6:B6"/>
    <mergeCell ref="A7:B7"/>
  </mergeCells>
  <phoneticPr fontId="18" type="noConversion"/>
  <conditionalFormatting sqref="L27:T27">
    <cfRule type="expression" dxfId="479" priority="25">
      <formula>IFERROR(INDEX(DiasCategorias, L27-FechaInicio+1),0)=1</formula>
    </cfRule>
    <cfRule type="expression" dxfId="478" priority="26">
      <formula>IFERROR(INDEX(DiasCategorias, L27-FechaInicio+1),0)=2</formula>
    </cfRule>
    <cfRule type="expression" dxfId="477" priority="27">
      <formula>IFERROR(INDEX(DiasCategorias, L27-FechaInicio+1),0)=3</formula>
    </cfRule>
    <cfRule type="expression" dxfId="476" priority="28">
      <formula>IFERROR(INDEX(DiasCategorias, L27-FechaInicio+1),0)=4</formula>
    </cfRule>
    <cfRule type="expression" dxfId="475" priority="29">
      <formula>IFERROR(INDEX(DiasCategorias, L27-FechaInicio+1),0)=5</formula>
    </cfRule>
    <cfRule type="expression" dxfId="474" priority="30">
      <formula>IFERROR(INDEX(DiasCategorias, L27-FechaInicio+1),0)=6</formula>
    </cfRule>
    <cfRule type="expression" dxfId="473" priority="31">
      <formula>IFERROR(INDEX(DiasCategorias, L27-FechaInicio+1),0)=7</formula>
    </cfRule>
    <cfRule type="expression" dxfId="472" priority="32">
      <formula>IFERROR(INDEX(DiasCategorias, L27-FechaInicio+1),0)=8</formula>
    </cfRule>
    <cfRule type="expression" dxfId="471" priority="33">
      <formula>IFERROR(INDEX(DiasCategorias, L27-FechaInicio+1),0)=9</formula>
    </cfRule>
    <cfRule type="expression" dxfId="470" priority="34">
      <formula>IFERROR(INDEX(DiasCategorias, L27-FechaInicio+1),0)=10</formula>
    </cfRule>
    <cfRule type="expression" dxfId="469" priority="35">
      <formula>IFERROR(INDEX(DiasCategorias, L27-FechaInicio+1),0)=11</formula>
    </cfRule>
    <cfRule type="expression" dxfId="468" priority="36">
      <formula>IFERROR(INDEX(DiasCategorias, L27-FechaInicio+1),0)=12</formula>
    </cfRule>
  </conditionalFormatting>
  <conditionalFormatting sqref="E27:K27">
    <cfRule type="expression" dxfId="467" priority="1">
      <formula>IFERROR(INDEX(DiasCategorias, E27-FechaInicio+1),0)=1</formula>
    </cfRule>
    <cfRule type="expression" dxfId="466" priority="2">
      <formula>IFERROR(INDEX(DiasCategorias, E27-FechaInicio+1),0)=2</formula>
    </cfRule>
    <cfRule type="expression" dxfId="465" priority="3">
      <formula>IFERROR(INDEX(DiasCategorias, E27-FechaInicio+1),0)=3</formula>
    </cfRule>
    <cfRule type="expression" dxfId="464" priority="4">
      <formula>IFERROR(INDEX(DiasCategorias, E27-FechaInicio+1),0)=4</formula>
    </cfRule>
    <cfRule type="expression" dxfId="463" priority="5">
      <formula>IFERROR(INDEX(DiasCategorias, E27-FechaInicio+1),0)=5</formula>
    </cfRule>
    <cfRule type="expression" dxfId="462" priority="6">
      <formula>IFERROR(INDEX(DiasCategorias, E27-FechaInicio+1),0)=6</formula>
    </cfRule>
    <cfRule type="expression" dxfId="461" priority="7">
      <formula>IFERROR(INDEX(DiasCategorias, E27-FechaInicio+1),0)=7</formula>
    </cfRule>
    <cfRule type="expression" dxfId="460" priority="8">
      <formula>IFERROR(INDEX(DiasCategorias, E27-FechaInicio+1),0)=8</formula>
    </cfRule>
    <cfRule type="expression" dxfId="459" priority="9">
      <formula>IFERROR(INDEX(DiasCategorias, E27-FechaInicio+1),0)=9</formula>
    </cfRule>
    <cfRule type="expression" dxfId="458" priority="10">
      <formula>IFERROR(INDEX(DiasCategorias, E27-FechaInicio+1),0)=10</formula>
    </cfRule>
    <cfRule type="expression" dxfId="457" priority="11">
      <formula>IFERROR(INDEX(DiasCategorias, E27-FechaInicio+1),0)=11</formula>
    </cfRule>
    <cfRule type="expression" dxfId="456" priority="12">
      <formula>IFERROR(INDEX(DiasCategorias, E27-FechaInicio+1),0)=12</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8D222-E614-43C3-8396-426AF524C509}">
  <sheetPr codeName="Hoja27">
    <tabColor rgb="FF92D050"/>
  </sheetPr>
  <dimension ref="A1:T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6" width="15.28515625" customWidth="1"/>
    <col min="7" max="7" width="14.28515625" customWidth="1"/>
    <col min="8" max="8" width="15.140625" customWidth="1"/>
    <col min="9" max="9" width="15.28515625" customWidth="1"/>
    <col min="10" max="10" width="15.7109375" customWidth="1"/>
    <col min="11" max="17" width="16" customWidth="1"/>
  </cols>
  <sheetData>
    <row r="1" spans="1:20" ht="15" customHeight="1" x14ac:dyDescent="0.25">
      <c r="A1" s="268"/>
      <c r="B1" s="268"/>
      <c r="C1" s="281" t="s">
        <v>8</v>
      </c>
      <c r="D1" s="282"/>
      <c r="E1" s="282"/>
      <c r="F1" s="282"/>
      <c r="G1" s="283"/>
      <c r="H1" s="288"/>
      <c r="I1" s="289"/>
    </row>
    <row r="2" spans="1:20" ht="15.75" customHeight="1" thickBot="1" x14ac:dyDescent="0.3">
      <c r="A2" s="268"/>
      <c r="B2" s="268"/>
      <c r="C2" s="285"/>
      <c r="D2" s="286"/>
      <c r="E2" s="286"/>
      <c r="F2" s="286"/>
      <c r="G2" s="287"/>
      <c r="H2" s="288"/>
      <c r="I2" s="289"/>
    </row>
    <row r="3" spans="1:20" x14ac:dyDescent="0.25">
      <c r="A3" s="268"/>
      <c r="B3" s="268"/>
      <c r="C3" s="268"/>
      <c r="D3" s="268"/>
      <c r="E3" s="268"/>
      <c r="F3" s="268"/>
      <c r="G3" s="268"/>
      <c r="H3" s="268"/>
      <c r="I3" s="268"/>
    </row>
    <row r="4" spans="1:20" x14ac:dyDescent="0.25">
      <c r="A4" s="268"/>
      <c r="B4" s="268"/>
      <c r="C4" s="268"/>
      <c r="D4" s="268"/>
      <c r="E4" s="268"/>
      <c r="F4" s="268"/>
      <c r="G4" s="268"/>
      <c r="H4" s="268"/>
      <c r="I4" s="268"/>
    </row>
    <row r="5" spans="1:20" x14ac:dyDescent="0.25">
      <c r="A5" s="268"/>
      <c r="B5" s="268"/>
      <c r="C5" s="268"/>
      <c r="D5" s="268"/>
      <c r="E5" s="268"/>
      <c r="F5" s="268"/>
      <c r="G5" s="268"/>
      <c r="H5" s="268"/>
      <c r="I5" s="268"/>
    </row>
    <row r="6" spans="1:20" ht="27" x14ac:dyDescent="0.5">
      <c r="A6" s="273" t="s">
        <v>10</v>
      </c>
      <c r="B6" s="273"/>
      <c r="C6" s="268"/>
      <c r="D6" s="268"/>
      <c r="E6" s="268"/>
      <c r="F6" s="268"/>
      <c r="G6" s="268"/>
      <c r="H6" s="268"/>
      <c r="I6" s="268"/>
    </row>
    <row r="7" spans="1:20" ht="27.75" thickBot="1" x14ac:dyDescent="0.55000000000000004">
      <c r="A7" s="274">
        <v>30</v>
      </c>
      <c r="B7" s="274"/>
      <c r="C7" s="296"/>
      <c r="D7" s="296"/>
      <c r="E7" s="296"/>
      <c r="F7" s="296"/>
      <c r="G7" s="296"/>
      <c r="H7" s="296"/>
      <c r="I7" s="296"/>
    </row>
    <row r="8" spans="1:20" ht="19.5" thickBot="1" x14ac:dyDescent="0.45">
      <c r="A8" s="29" t="s">
        <v>14</v>
      </c>
      <c r="B8" s="29" t="s">
        <v>15</v>
      </c>
      <c r="C8" s="29" t="s">
        <v>16</v>
      </c>
      <c r="D8" s="29" t="s">
        <v>114</v>
      </c>
      <c r="E8" s="30" t="s">
        <v>17</v>
      </c>
      <c r="F8" s="75" t="s">
        <v>87</v>
      </c>
      <c r="G8" s="75" t="s">
        <v>88</v>
      </c>
      <c r="H8" s="75" t="s">
        <v>89</v>
      </c>
      <c r="I8" s="75" t="s">
        <v>90</v>
      </c>
      <c r="J8" s="75" t="s">
        <v>27</v>
      </c>
      <c r="K8" s="75" t="s">
        <v>19</v>
      </c>
      <c r="L8" s="75" t="s">
        <v>21</v>
      </c>
      <c r="M8" s="75" t="s">
        <v>28</v>
      </c>
      <c r="N8" s="75" t="s">
        <v>29</v>
      </c>
      <c r="O8" s="75" t="s">
        <v>30</v>
      </c>
      <c r="P8" s="75" t="s">
        <v>32</v>
      </c>
      <c r="Q8" s="75" t="s">
        <v>33</v>
      </c>
      <c r="R8" s="30" t="s">
        <v>4</v>
      </c>
      <c r="S8" s="164" t="s">
        <v>18</v>
      </c>
    </row>
    <row r="9" spans="1:20" ht="15.75" thickBot="1" x14ac:dyDescent="0.3">
      <c r="A9" s="80"/>
      <c r="B9" s="81"/>
      <c r="C9" s="81"/>
      <c r="D9" s="154"/>
      <c r="E9" s="162"/>
      <c r="F9" s="78"/>
      <c r="G9" s="78"/>
      <c r="H9" s="81"/>
      <c r="I9" s="81"/>
      <c r="J9" s="81"/>
      <c r="K9" s="81"/>
      <c r="L9" s="81"/>
      <c r="M9" s="81"/>
      <c r="N9" s="81"/>
      <c r="O9" s="81"/>
      <c r="P9" s="81"/>
      <c r="Q9" s="81"/>
      <c r="R9" s="73">
        <f>SUM(F9:Q9)</f>
        <v>0</v>
      </c>
      <c r="S9" s="165">
        <f t="shared" ref="S9:S19" si="0">E9-R9</f>
        <v>0</v>
      </c>
      <c r="T9">
        <f>_xlfn.ISOWEEKNUM(A9)</f>
        <v>52</v>
      </c>
    </row>
    <row r="10" spans="1:20" ht="15.75" thickBot="1" x14ac:dyDescent="0.3">
      <c r="A10" s="80"/>
      <c r="B10" s="81"/>
      <c r="C10" s="81"/>
      <c r="D10" s="154"/>
      <c r="E10" s="162"/>
      <c r="F10" s="78"/>
      <c r="G10" s="78"/>
      <c r="H10" s="78"/>
      <c r="I10" s="78"/>
      <c r="J10" s="81"/>
      <c r="K10" s="81"/>
      <c r="L10" s="81"/>
      <c r="M10" s="81"/>
      <c r="N10" s="81"/>
      <c r="O10" s="81"/>
      <c r="P10" s="81"/>
      <c r="Q10" s="81"/>
      <c r="R10" s="73">
        <f t="shared" ref="R10:R19" si="1">SUM(F10:Q10)</f>
        <v>0</v>
      </c>
      <c r="S10" s="165">
        <f t="shared" si="0"/>
        <v>0</v>
      </c>
    </row>
    <row r="11" spans="1:20" ht="15.75" thickBot="1" x14ac:dyDescent="0.3">
      <c r="A11" s="80"/>
      <c r="B11" s="81"/>
      <c r="C11" s="81"/>
      <c r="D11" s="154"/>
      <c r="E11" s="162"/>
      <c r="F11" s="78"/>
      <c r="G11" s="78"/>
      <c r="H11" s="78"/>
      <c r="I11" s="78"/>
      <c r="J11" s="81"/>
      <c r="K11" s="81"/>
      <c r="L11" s="81"/>
      <c r="M11" s="81"/>
      <c r="N11" s="81"/>
      <c r="O11" s="81"/>
      <c r="P11" s="81"/>
      <c r="Q11" s="81"/>
      <c r="R11" s="73">
        <f t="shared" si="1"/>
        <v>0</v>
      </c>
      <c r="S11" s="165">
        <f t="shared" si="0"/>
        <v>0</v>
      </c>
    </row>
    <row r="12" spans="1:20" ht="15.75" thickBot="1" x14ac:dyDescent="0.3">
      <c r="A12" s="80"/>
      <c r="B12" s="81"/>
      <c r="C12" s="81"/>
      <c r="D12" s="154"/>
      <c r="E12" s="162"/>
      <c r="F12" s="78"/>
      <c r="G12" s="78"/>
      <c r="H12" s="78"/>
      <c r="I12" s="78"/>
      <c r="J12" s="81"/>
      <c r="K12" s="81"/>
      <c r="L12" s="81"/>
      <c r="M12" s="81"/>
      <c r="N12" s="81"/>
      <c r="O12" s="81"/>
      <c r="P12" s="81"/>
      <c r="Q12" s="81"/>
      <c r="R12" s="73">
        <f t="shared" si="1"/>
        <v>0</v>
      </c>
      <c r="S12" s="165">
        <f t="shared" si="0"/>
        <v>0</v>
      </c>
    </row>
    <row r="13" spans="1:20" ht="15.75" thickBot="1" x14ac:dyDescent="0.3">
      <c r="A13" s="80"/>
      <c r="B13" s="81"/>
      <c r="C13" s="81"/>
      <c r="D13" s="154"/>
      <c r="E13" s="162"/>
      <c r="F13" s="78"/>
      <c r="G13" s="78"/>
      <c r="H13" s="78"/>
      <c r="I13" s="78"/>
      <c r="J13" s="81"/>
      <c r="K13" s="81"/>
      <c r="L13" s="81"/>
      <c r="M13" s="81"/>
      <c r="N13" s="81"/>
      <c r="O13" s="81"/>
      <c r="P13" s="81"/>
      <c r="Q13" s="81"/>
      <c r="R13" s="73">
        <f t="shared" si="1"/>
        <v>0</v>
      </c>
      <c r="S13" s="165">
        <f t="shared" si="0"/>
        <v>0</v>
      </c>
    </row>
    <row r="14" spans="1:20" ht="15.75" thickBot="1" x14ac:dyDescent="0.3">
      <c r="A14" s="80"/>
      <c r="B14" s="81"/>
      <c r="C14" s="81"/>
      <c r="D14" s="154"/>
      <c r="E14" s="162"/>
      <c r="F14" s="78"/>
      <c r="G14" s="78"/>
      <c r="H14" s="78"/>
      <c r="I14" s="78"/>
      <c r="J14" s="81"/>
      <c r="K14" s="81"/>
      <c r="L14" s="81"/>
      <c r="M14" s="81"/>
      <c r="N14" s="81"/>
      <c r="O14" s="81"/>
      <c r="P14" s="81"/>
      <c r="Q14" s="81"/>
      <c r="R14" s="73">
        <f t="shared" si="1"/>
        <v>0</v>
      </c>
      <c r="S14" s="165">
        <f t="shared" si="0"/>
        <v>0</v>
      </c>
    </row>
    <row r="15" spans="1:20" ht="15.75" thickBot="1" x14ac:dyDescent="0.3">
      <c r="A15" s="80"/>
      <c r="B15" s="81"/>
      <c r="C15" s="81"/>
      <c r="D15" s="154"/>
      <c r="E15" s="162"/>
      <c r="F15" s="78"/>
      <c r="G15" s="78"/>
      <c r="H15" s="78"/>
      <c r="I15" s="78"/>
      <c r="J15" s="81"/>
      <c r="K15" s="81"/>
      <c r="L15" s="81"/>
      <c r="M15" s="81"/>
      <c r="N15" s="81"/>
      <c r="O15" s="81"/>
      <c r="P15" s="81"/>
      <c r="Q15" s="81"/>
      <c r="R15" s="73">
        <f t="shared" si="1"/>
        <v>0</v>
      </c>
      <c r="S15" s="165">
        <f t="shared" si="0"/>
        <v>0</v>
      </c>
    </row>
    <row r="16" spans="1:20" ht="15.75" thickBot="1" x14ac:dyDescent="0.3">
      <c r="A16" s="80"/>
      <c r="B16" s="81"/>
      <c r="C16" s="81"/>
      <c r="D16" s="154"/>
      <c r="E16" s="162"/>
      <c r="F16" s="78"/>
      <c r="G16" s="78"/>
      <c r="H16" s="78"/>
      <c r="I16" s="78"/>
      <c r="J16" s="81"/>
      <c r="K16" s="81"/>
      <c r="L16" s="81"/>
      <c r="M16" s="81"/>
      <c r="N16" s="81"/>
      <c r="O16" s="81"/>
      <c r="P16" s="81"/>
      <c r="Q16" s="81"/>
      <c r="R16" s="73">
        <f t="shared" si="1"/>
        <v>0</v>
      </c>
      <c r="S16" s="165">
        <f t="shared" si="0"/>
        <v>0</v>
      </c>
    </row>
    <row r="17" spans="1:19" ht="15.75" thickBot="1" x14ac:dyDescent="0.3">
      <c r="A17" s="80"/>
      <c r="B17" s="81"/>
      <c r="C17" s="81"/>
      <c r="D17" s="154"/>
      <c r="E17" s="162"/>
      <c r="F17" s="78"/>
      <c r="G17" s="78"/>
      <c r="H17" s="78"/>
      <c r="I17" s="78"/>
      <c r="J17" s="81"/>
      <c r="K17" s="81"/>
      <c r="L17" s="81"/>
      <c r="M17" s="81"/>
      <c r="N17" s="81"/>
      <c r="O17" s="81"/>
      <c r="P17" s="81"/>
      <c r="Q17" s="81"/>
      <c r="R17" s="73">
        <f t="shared" si="1"/>
        <v>0</v>
      </c>
      <c r="S17" s="165">
        <f t="shared" si="0"/>
        <v>0</v>
      </c>
    </row>
    <row r="18" spans="1:19" ht="15.75" thickBot="1" x14ac:dyDescent="0.3">
      <c r="A18" s="80"/>
      <c r="B18" s="81"/>
      <c r="C18" s="81"/>
      <c r="D18" s="154"/>
      <c r="E18" s="162"/>
      <c r="F18" s="78"/>
      <c r="G18" s="78"/>
      <c r="H18" s="78"/>
      <c r="I18" s="78"/>
      <c r="J18" s="81"/>
      <c r="K18" s="81"/>
      <c r="L18" s="81"/>
      <c r="M18" s="81"/>
      <c r="N18" s="81"/>
      <c r="O18" s="81"/>
      <c r="P18" s="81"/>
      <c r="Q18" s="81"/>
      <c r="R18" s="73">
        <f t="shared" si="1"/>
        <v>0</v>
      </c>
      <c r="S18" s="165">
        <f t="shared" si="0"/>
        <v>0</v>
      </c>
    </row>
    <row r="19" spans="1:19" ht="15.75" thickBot="1" x14ac:dyDescent="0.3">
      <c r="A19" s="80"/>
      <c r="B19" s="81"/>
      <c r="C19" s="81"/>
      <c r="D19" s="154"/>
      <c r="E19" s="162"/>
      <c r="F19" s="78"/>
      <c r="G19" s="78"/>
      <c r="H19" s="78"/>
      <c r="I19" s="78"/>
      <c r="J19" s="81"/>
      <c r="K19" s="81"/>
      <c r="L19" s="81"/>
      <c r="M19" s="81"/>
      <c r="N19" s="81"/>
      <c r="O19" s="81"/>
      <c r="P19" s="81"/>
      <c r="Q19" s="81"/>
      <c r="R19" s="73">
        <f t="shared" si="1"/>
        <v>0</v>
      </c>
      <c r="S19" s="165">
        <f t="shared" si="0"/>
        <v>0</v>
      </c>
    </row>
    <row r="20" spans="1:19" ht="15.75" thickBot="1" x14ac:dyDescent="0.3">
      <c r="A20" t="s">
        <v>4</v>
      </c>
      <c r="E20" s="163">
        <f>SUM(E9:E19)</f>
        <v>0</v>
      </c>
      <c r="F20" s="12"/>
      <c r="G20" s="12"/>
      <c r="H20" s="12"/>
      <c r="I20" s="12"/>
      <c r="J20" s="6"/>
      <c r="K20" s="6"/>
      <c r="L20" s="6"/>
      <c r="M20" s="6"/>
      <c r="N20" s="158"/>
      <c r="O20" s="158"/>
      <c r="P20" s="158"/>
      <c r="Q20" s="158"/>
      <c r="R20" s="74">
        <f>SUM(R9:R19)</f>
        <v>0</v>
      </c>
      <c r="S20" s="166">
        <f>SUM(S9:S19)</f>
        <v>0</v>
      </c>
    </row>
    <row r="21" spans="1:19" ht="15.75" thickBot="1" x14ac:dyDescent="0.3"/>
    <row r="22" spans="1:19" ht="16.5" thickBot="1" x14ac:dyDescent="0.35">
      <c r="H22" s="291" t="s">
        <v>20</v>
      </c>
      <c r="I22" s="292"/>
      <c r="J22" s="15">
        <f>E20</f>
        <v>0</v>
      </c>
    </row>
    <row r="23" spans="1:19" ht="19.5" thickBot="1" x14ac:dyDescent="0.45">
      <c r="H23" s="279" t="s">
        <v>3</v>
      </c>
      <c r="I23" s="280"/>
      <c r="J23" s="16">
        <f>R20</f>
        <v>0</v>
      </c>
    </row>
    <row r="24" spans="1:19" ht="19.5" thickBot="1" x14ac:dyDescent="0.45">
      <c r="H24" s="279" t="s">
        <v>7</v>
      </c>
      <c r="I24" s="279"/>
      <c r="J24" s="13">
        <f>S20</f>
        <v>0</v>
      </c>
    </row>
    <row r="26" spans="1:19" ht="18.75" x14ac:dyDescent="0.25">
      <c r="D26" s="137">
        <v>45292</v>
      </c>
      <c r="E26" s="138" t="s">
        <v>47</v>
      </c>
      <c r="F26" s="138" t="s">
        <v>41</v>
      </c>
      <c r="G26" s="138" t="s">
        <v>42</v>
      </c>
      <c r="H26" s="138" t="s">
        <v>43</v>
      </c>
      <c r="I26" s="138" t="s">
        <v>44</v>
      </c>
      <c r="J26" s="139" t="s">
        <v>45</v>
      </c>
      <c r="K26" s="139" t="s">
        <v>46</v>
      </c>
      <c r="L26" s="151"/>
      <c r="M26" s="151"/>
      <c r="N26" s="151"/>
      <c r="O26" s="151"/>
      <c r="P26" s="151"/>
      <c r="Q26" s="151"/>
    </row>
    <row r="27" spans="1:19" ht="18.75" x14ac:dyDescent="0.25">
      <c r="D27" s="140" t="s">
        <v>154</v>
      </c>
      <c r="E27" s="141" t="s">
        <v>355</v>
      </c>
      <c r="F27" s="141" t="s">
        <v>356</v>
      </c>
      <c r="G27" s="141" t="s">
        <v>357</v>
      </c>
      <c r="H27" s="141" t="s">
        <v>358</v>
      </c>
      <c r="I27" s="141" t="s">
        <v>359</v>
      </c>
      <c r="J27" s="184" t="s">
        <v>360</v>
      </c>
      <c r="K27" s="184" t="s">
        <v>361</v>
      </c>
      <c r="L27" s="152"/>
      <c r="M27" s="152"/>
      <c r="N27" s="152"/>
      <c r="O27" s="152"/>
      <c r="P27" s="152"/>
      <c r="Q27" s="152"/>
    </row>
    <row r="40" spans="11:11" x14ac:dyDescent="0.25">
      <c r="K40" t="s">
        <v>31</v>
      </c>
    </row>
  </sheetData>
  <sheetProtection algorithmName="SHA-512" hashValue="9reC2OZd1d6ChtFgMzEHNBU9HptfHKImtyS29c6noUDEWBVSwnY52yO3e29DGw00sG3LpDCmKKS9Izgv0ACybQ==" saltValue="q8UiYJbM4Y4tsl4OwDWWcA==" spinCount="100000" sheet="1" formatCells="0" formatColumns="0" formatRows="0" insertColumns="0" insertRows="0" insertHyperlinks="0" deleteColumns="0" deleteRows="0" sort="0" autoFilter="0" pivotTables="0"/>
  <autoFilter ref="A8:S8" xr:uid="{0E78D222-E614-43C3-8396-426AF524C509}"/>
  <mergeCells count="9">
    <mergeCell ref="H22:I22"/>
    <mergeCell ref="H23:I23"/>
    <mergeCell ref="H24:I24"/>
    <mergeCell ref="A1:B5"/>
    <mergeCell ref="C1:G2"/>
    <mergeCell ref="H1:I2"/>
    <mergeCell ref="C3:I7"/>
    <mergeCell ref="A6:B6"/>
    <mergeCell ref="A7:B7"/>
  </mergeCells>
  <phoneticPr fontId="18" type="noConversion"/>
  <conditionalFormatting sqref="L27:Q27">
    <cfRule type="expression" dxfId="455" priority="25">
      <formula>IFERROR(INDEX(DiasCategorias, L27-FechaInicio+1),0)=1</formula>
    </cfRule>
    <cfRule type="expression" dxfId="454" priority="26">
      <formula>IFERROR(INDEX(DiasCategorias, L27-FechaInicio+1),0)=2</formula>
    </cfRule>
    <cfRule type="expression" dxfId="453" priority="27">
      <formula>IFERROR(INDEX(DiasCategorias, L27-FechaInicio+1),0)=3</formula>
    </cfRule>
    <cfRule type="expression" dxfId="452" priority="28">
      <formula>IFERROR(INDEX(DiasCategorias, L27-FechaInicio+1),0)=4</formula>
    </cfRule>
    <cfRule type="expression" dxfId="451" priority="29">
      <formula>IFERROR(INDEX(DiasCategorias, L27-FechaInicio+1),0)=5</formula>
    </cfRule>
    <cfRule type="expression" dxfId="450" priority="30">
      <formula>IFERROR(INDEX(DiasCategorias, L27-FechaInicio+1),0)=6</formula>
    </cfRule>
    <cfRule type="expression" dxfId="449" priority="31">
      <formula>IFERROR(INDEX(DiasCategorias, L27-FechaInicio+1),0)=7</formula>
    </cfRule>
    <cfRule type="expression" dxfId="448" priority="32">
      <formula>IFERROR(INDEX(DiasCategorias, L27-FechaInicio+1),0)=8</formula>
    </cfRule>
    <cfRule type="expression" dxfId="447" priority="33">
      <formula>IFERROR(INDEX(DiasCategorias, L27-FechaInicio+1),0)=9</formula>
    </cfRule>
    <cfRule type="expression" dxfId="446" priority="34">
      <formula>IFERROR(INDEX(DiasCategorias, L27-FechaInicio+1),0)=10</formula>
    </cfRule>
    <cfRule type="expression" dxfId="445" priority="35">
      <formula>IFERROR(INDEX(DiasCategorias, L27-FechaInicio+1),0)=11</formula>
    </cfRule>
    <cfRule type="expression" dxfId="444" priority="36">
      <formula>IFERROR(INDEX(DiasCategorias, L27-FechaInicio+1),0)=12</formula>
    </cfRule>
  </conditionalFormatting>
  <conditionalFormatting sqref="E27:K27">
    <cfRule type="expression" dxfId="443" priority="1">
      <formula>IFERROR(INDEX(DiasCategorias, E27-FechaInicio+1),0)=1</formula>
    </cfRule>
    <cfRule type="expression" dxfId="442" priority="2">
      <formula>IFERROR(INDEX(DiasCategorias, E27-FechaInicio+1),0)=2</formula>
    </cfRule>
    <cfRule type="expression" dxfId="441" priority="3">
      <formula>IFERROR(INDEX(DiasCategorias, E27-FechaInicio+1),0)=3</formula>
    </cfRule>
    <cfRule type="expression" dxfId="440" priority="4">
      <formula>IFERROR(INDEX(DiasCategorias, E27-FechaInicio+1),0)=4</formula>
    </cfRule>
    <cfRule type="expression" dxfId="439" priority="5">
      <formula>IFERROR(INDEX(DiasCategorias, E27-FechaInicio+1),0)=5</formula>
    </cfRule>
    <cfRule type="expression" dxfId="438" priority="6">
      <formula>IFERROR(INDEX(DiasCategorias, E27-FechaInicio+1),0)=6</formula>
    </cfRule>
    <cfRule type="expression" dxfId="437" priority="7">
      <formula>IFERROR(INDEX(DiasCategorias, E27-FechaInicio+1),0)=7</formula>
    </cfRule>
    <cfRule type="expression" dxfId="436" priority="8">
      <formula>IFERROR(INDEX(DiasCategorias, E27-FechaInicio+1),0)=8</formula>
    </cfRule>
    <cfRule type="expression" dxfId="435" priority="9">
      <formula>IFERROR(INDEX(DiasCategorias, E27-FechaInicio+1),0)=9</formula>
    </cfRule>
    <cfRule type="expression" dxfId="434" priority="10">
      <formula>IFERROR(INDEX(DiasCategorias, E27-FechaInicio+1),0)=10</formula>
    </cfRule>
    <cfRule type="expression" dxfId="433" priority="11">
      <formula>IFERROR(INDEX(DiasCategorias, E27-FechaInicio+1),0)=11</formula>
    </cfRule>
    <cfRule type="expression" dxfId="432" priority="12">
      <formula>IFERROR(INDEX(DiasCategorias, E27-FechaInicio+1),0)=12</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CFF5D-9D78-4CDC-9D2C-4FD510361872}">
  <sheetPr codeName="Hoja24">
    <tabColor theme="8" tint="-0.249977111117893"/>
  </sheetPr>
  <dimension ref="A1:S40"/>
  <sheetViews>
    <sheetView topLeftCell="A2" workbookViewId="0">
      <selection activeCell="E27" sqref="E27:K27"/>
    </sheetView>
  </sheetViews>
  <sheetFormatPr baseColWidth="10" defaultRowHeight="15" x14ac:dyDescent="0.25"/>
  <cols>
    <col min="2" max="2" width="9.140625" customWidth="1"/>
    <col min="3" max="3" width="27.5703125" bestFit="1" customWidth="1"/>
    <col min="5" max="5" width="13.140625" bestFit="1" customWidth="1"/>
    <col min="6" max="6" width="17.28515625" customWidth="1"/>
    <col min="7" max="7" width="14.28515625" customWidth="1"/>
    <col min="8" max="8" width="15.28515625" customWidth="1"/>
    <col min="9" max="9" width="16" customWidth="1"/>
    <col min="10" max="10" width="18.140625" customWidth="1"/>
    <col min="11" max="16" width="16.710937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31</v>
      </c>
      <c r="B7" s="274"/>
      <c r="C7" s="296"/>
      <c r="D7" s="296"/>
      <c r="E7" s="296"/>
      <c r="F7" s="296"/>
      <c r="G7" s="296"/>
      <c r="H7" s="296"/>
      <c r="I7" s="296"/>
    </row>
    <row r="8" spans="1:19" ht="19.5" thickBot="1" x14ac:dyDescent="0.45">
      <c r="A8" s="29" t="s">
        <v>14</v>
      </c>
      <c r="B8" s="29" t="s">
        <v>15</v>
      </c>
      <c r="C8" s="29" t="s">
        <v>16</v>
      </c>
      <c r="D8" s="29" t="s">
        <v>114</v>
      </c>
      <c r="E8" s="30" t="s">
        <v>17</v>
      </c>
      <c r="F8" s="75" t="s">
        <v>88</v>
      </c>
      <c r="G8" s="75" t="s">
        <v>89</v>
      </c>
      <c r="H8" s="75" t="s">
        <v>90</v>
      </c>
      <c r="I8" s="75" t="s">
        <v>27</v>
      </c>
      <c r="J8" s="75" t="s">
        <v>19</v>
      </c>
      <c r="K8" s="75" t="s">
        <v>21</v>
      </c>
      <c r="L8" s="75" t="s">
        <v>28</v>
      </c>
      <c r="M8" s="75" t="s">
        <v>29</v>
      </c>
      <c r="N8" s="75" t="s">
        <v>30</v>
      </c>
      <c r="O8" s="75" t="s">
        <v>32</v>
      </c>
      <c r="P8" s="75" t="s">
        <v>33</v>
      </c>
      <c r="Q8" s="30" t="s">
        <v>4</v>
      </c>
      <c r="R8" s="164" t="s">
        <v>18</v>
      </c>
    </row>
    <row r="9" spans="1:19" ht="15.75" thickBot="1" x14ac:dyDescent="0.3">
      <c r="A9" s="80"/>
      <c r="B9" s="81"/>
      <c r="C9" s="81"/>
      <c r="D9" s="154"/>
      <c r="E9" s="162"/>
      <c r="F9" s="78"/>
      <c r="G9" s="78"/>
      <c r="H9" s="81"/>
      <c r="I9" s="81"/>
      <c r="J9" s="81"/>
      <c r="K9" s="81"/>
      <c r="L9" s="81"/>
      <c r="M9" s="81"/>
      <c r="N9" s="81"/>
      <c r="O9" s="81"/>
      <c r="P9" s="81"/>
      <c r="Q9" s="73">
        <f>SUM(F9:P9)</f>
        <v>0</v>
      </c>
      <c r="R9" s="165">
        <f t="shared" ref="R9:R19" si="0">E9-Q9</f>
        <v>0</v>
      </c>
      <c r="S9">
        <f>_xlfn.ISOWEEKNUM(A9)</f>
        <v>52</v>
      </c>
    </row>
    <row r="10" spans="1:19" ht="15.75" thickBot="1" x14ac:dyDescent="0.3">
      <c r="A10" s="80"/>
      <c r="B10" s="81"/>
      <c r="C10" s="81"/>
      <c r="D10" s="154"/>
      <c r="E10" s="162"/>
      <c r="F10" s="78"/>
      <c r="G10" s="78"/>
      <c r="H10" s="78"/>
      <c r="I10" s="78"/>
      <c r="J10" s="81"/>
      <c r="K10" s="81"/>
      <c r="L10" s="81"/>
      <c r="M10" s="81"/>
      <c r="N10" s="81"/>
      <c r="O10" s="81"/>
      <c r="P10" s="81"/>
      <c r="Q10" s="73">
        <f t="shared" ref="Q10:Q19" si="1">SUM(F10:P10)</f>
        <v>0</v>
      </c>
      <c r="R10" s="165">
        <f t="shared" si="0"/>
        <v>0</v>
      </c>
    </row>
    <row r="11" spans="1:19" ht="15.75" thickBot="1" x14ac:dyDescent="0.3">
      <c r="A11" s="80"/>
      <c r="B11" s="81"/>
      <c r="C11" s="81"/>
      <c r="D11" s="154"/>
      <c r="E11" s="162"/>
      <c r="F11" s="78"/>
      <c r="G11" s="78"/>
      <c r="H11" s="78"/>
      <c r="I11" s="78"/>
      <c r="J11" s="81"/>
      <c r="K11" s="81"/>
      <c r="L11" s="81"/>
      <c r="M11" s="81"/>
      <c r="N11" s="81"/>
      <c r="O11" s="81"/>
      <c r="P11" s="81"/>
      <c r="Q11" s="73">
        <f t="shared" si="1"/>
        <v>0</v>
      </c>
      <c r="R11" s="165">
        <f t="shared" si="0"/>
        <v>0</v>
      </c>
    </row>
    <row r="12" spans="1:19" ht="15.75" thickBot="1" x14ac:dyDescent="0.3">
      <c r="A12" s="80"/>
      <c r="B12" s="81"/>
      <c r="C12" s="81"/>
      <c r="D12" s="154"/>
      <c r="E12" s="162"/>
      <c r="F12" s="78"/>
      <c r="G12" s="78"/>
      <c r="H12" s="78"/>
      <c r="I12" s="78"/>
      <c r="J12" s="81"/>
      <c r="K12" s="81"/>
      <c r="L12" s="81"/>
      <c r="M12" s="81"/>
      <c r="N12" s="81"/>
      <c r="O12" s="81"/>
      <c r="P12" s="81"/>
      <c r="Q12" s="73">
        <f t="shared" si="1"/>
        <v>0</v>
      </c>
      <c r="R12" s="165">
        <f t="shared" si="0"/>
        <v>0</v>
      </c>
    </row>
    <row r="13" spans="1:19" ht="15.75" thickBot="1" x14ac:dyDescent="0.3">
      <c r="A13" s="80"/>
      <c r="B13" s="81"/>
      <c r="C13" s="81"/>
      <c r="D13" s="154"/>
      <c r="E13" s="162"/>
      <c r="F13" s="78"/>
      <c r="G13" s="78"/>
      <c r="H13" s="78"/>
      <c r="I13" s="78"/>
      <c r="J13" s="81"/>
      <c r="K13" s="81"/>
      <c r="L13" s="81"/>
      <c r="M13" s="81"/>
      <c r="N13" s="81"/>
      <c r="O13" s="81"/>
      <c r="P13" s="81"/>
      <c r="Q13" s="73">
        <f t="shared" si="1"/>
        <v>0</v>
      </c>
      <c r="R13" s="165">
        <f t="shared" si="0"/>
        <v>0</v>
      </c>
    </row>
    <row r="14" spans="1:19" ht="15.75" thickBot="1" x14ac:dyDescent="0.3">
      <c r="A14" s="80"/>
      <c r="B14" s="81"/>
      <c r="C14" s="81"/>
      <c r="D14" s="154"/>
      <c r="E14" s="162"/>
      <c r="F14" s="78"/>
      <c r="G14" s="78"/>
      <c r="H14" s="78"/>
      <c r="I14" s="78"/>
      <c r="J14" s="81"/>
      <c r="K14" s="81"/>
      <c r="L14" s="81"/>
      <c r="M14" s="81"/>
      <c r="N14" s="81"/>
      <c r="O14" s="81"/>
      <c r="P14" s="81"/>
      <c r="Q14" s="73">
        <f t="shared" si="1"/>
        <v>0</v>
      </c>
      <c r="R14" s="165">
        <f t="shared" si="0"/>
        <v>0</v>
      </c>
    </row>
    <row r="15" spans="1:19" ht="15.75" thickBot="1" x14ac:dyDescent="0.3">
      <c r="A15" s="80"/>
      <c r="B15" s="81"/>
      <c r="C15" s="81"/>
      <c r="D15" s="154"/>
      <c r="E15" s="162"/>
      <c r="F15" s="78"/>
      <c r="G15" s="78"/>
      <c r="H15" s="78"/>
      <c r="I15" s="78"/>
      <c r="J15" s="81"/>
      <c r="K15" s="81"/>
      <c r="L15" s="81"/>
      <c r="M15" s="81"/>
      <c r="N15" s="81"/>
      <c r="O15" s="81"/>
      <c r="P15" s="81"/>
      <c r="Q15" s="73">
        <f t="shared" si="1"/>
        <v>0</v>
      </c>
      <c r="R15" s="165">
        <f t="shared" si="0"/>
        <v>0</v>
      </c>
    </row>
    <row r="16" spans="1:19" ht="15.75" thickBot="1" x14ac:dyDescent="0.3">
      <c r="A16" s="80"/>
      <c r="B16" s="81"/>
      <c r="C16" s="81"/>
      <c r="D16" s="154"/>
      <c r="E16" s="162"/>
      <c r="F16" s="78"/>
      <c r="G16" s="78"/>
      <c r="H16" s="78"/>
      <c r="I16" s="78"/>
      <c r="J16" s="81"/>
      <c r="K16" s="81"/>
      <c r="L16" s="81"/>
      <c r="M16" s="81"/>
      <c r="N16" s="81"/>
      <c r="O16" s="81"/>
      <c r="P16" s="81"/>
      <c r="Q16" s="73">
        <f t="shared" si="1"/>
        <v>0</v>
      </c>
      <c r="R16" s="165">
        <f t="shared" si="0"/>
        <v>0</v>
      </c>
    </row>
    <row r="17" spans="1:18" ht="15.75" thickBot="1" x14ac:dyDescent="0.3">
      <c r="A17" s="80"/>
      <c r="B17" s="81"/>
      <c r="C17" s="81"/>
      <c r="D17" s="154"/>
      <c r="E17" s="162"/>
      <c r="F17" s="78"/>
      <c r="G17" s="78"/>
      <c r="H17" s="78"/>
      <c r="I17" s="78"/>
      <c r="J17" s="81"/>
      <c r="K17" s="81"/>
      <c r="L17" s="81"/>
      <c r="M17" s="81"/>
      <c r="N17" s="81"/>
      <c r="O17" s="81"/>
      <c r="P17" s="81"/>
      <c r="Q17" s="73">
        <f t="shared" si="1"/>
        <v>0</v>
      </c>
      <c r="R17" s="165">
        <f t="shared" si="0"/>
        <v>0</v>
      </c>
    </row>
    <row r="18" spans="1:18" ht="15.75" thickBot="1" x14ac:dyDescent="0.3">
      <c r="A18" s="80"/>
      <c r="B18" s="81"/>
      <c r="C18" s="81"/>
      <c r="D18" s="154"/>
      <c r="E18" s="162"/>
      <c r="F18" s="78"/>
      <c r="G18" s="78"/>
      <c r="H18" s="78"/>
      <c r="I18" s="78"/>
      <c r="J18" s="81"/>
      <c r="K18" s="81"/>
      <c r="L18" s="81"/>
      <c r="M18" s="81"/>
      <c r="N18" s="81"/>
      <c r="O18" s="81"/>
      <c r="P18" s="81"/>
      <c r="Q18" s="73">
        <f t="shared" si="1"/>
        <v>0</v>
      </c>
      <c r="R18" s="165">
        <f t="shared" si="0"/>
        <v>0</v>
      </c>
    </row>
    <row r="19" spans="1:18" ht="15.75" thickBot="1" x14ac:dyDescent="0.3">
      <c r="A19" s="80"/>
      <c r="B19" s="81"/>
      <c r="C19" s="81"/>
      <c r="D19" s="154"/>
      <c r="E19" s="162"/>
      <c r="F19" s="78"/>
      <c r="G19" s="78"/>
      <c r="H19" s="78"/>
      <c r="I19" s="78"/>
      <c r="J19" s="81"/>
      <c r="K19" s="81"/>
      <c r="L19" s="81"/>
      <c r="M19" s="81"/>
      <c r="N19" s="81"/>
      <c r="O19" s="81"/>
      <c r="P19" s="81"/>
      <c r="Q19" s="73">
        <f t="shared" si="1"/>
        <v>0</v>
      </c>
      <c r="R19" s="165">
        <f t="shared" si="0"/>
        <v>0</v>
      </c>
    </row>
    <row r="20" spans="1:18" ht="15.75" thickBot="1" x14ac:dyDescent="0.3">
      <c r="A20" t="s">
        <v>4</v>
      </c>
      <c r="E20" s="163">
        <f>SUM(E9:E19)</f>
        <v>0</v>
      </c>
      <c r="F20" s="12"/>
      <c r="G20" s="12"/>
      <c r="H20" s="12"/>
      <c r="I20" s="12"/>
      <c r="J20" s="6"/>
      <c r="K20" s="6"/>
      <c r="L20" s="158"/>
      <c r="M20" s="158"/>
      <c r="N20" s="158"/>
      <c r="O20" s="158"/>
      <c r="P20" s="158"/>
      <c r="Q20" s="74">
        <f>SUM(Q9:Q19)</f>
        <v>0</v>
      </c>
      <c r="R20" s="166">
        <f>SUM(R9:R19)</f>
        <v>0</v>
      </c>
    </row>
    <row r="21" spans="1:18" ht="15.75" thickBot="1" x14ac:dyDescent="0.3"/>
    <row r="22" spans="1:18" ht="16.5" thickBot="1" x14ac:dyDescent="0.35">
      <c r="H22" s="291" t="s">
        <v>20</v>
      </c>
      <c r="I22" s="292"/>
      <c r="J22" s="15">
        <f>E20</f>
        <v>0</v>
      </c>
    </row>
    <row r="23" spans="1:18" ht="19.5" thickBot="1" x14ac:dyDescent="0.45">
      <c r="H23" s="279" t="s">
        <v>3</v>
      </c>
      <c r="I23" s="280"/>
      <c r="J23" s="16">
        <f>Q20</f>
        <v>0</v>
      </c>
    </row>
    <row r="24" spans="1:18" ht="19.5" thickBot="1" x14ac:dyDescent="0.45">
      <c r="H24" s="279" t="s">
        <v>7</v>
      </c>
      <c r="I24" s="279"/>
      <c r="J24" s="13">
        <f>R20</f>
        <v>0</v>
      </c>
    </row>
    <row r="26" spans="1:18" ht="18.75" x14ac:dyDescent="0.25">
      <c r="D26" s="137">
        <v>45292</v>
      </c>
      <c r="E26" s="138" t="s">
        <v>47</v>
      </c>
      <c r="F26" s="138" t="s">
        <v>41</v>
      </c>
      <c r="G26" s="138" t="s">
        <v>42</v>
      </c>
      <c r="H26" s="138" t="s">
        <v>43</v>
      </c>
      <c r="I26" s="138" t="s">
        <v>44</v>
      </c>
      <c r="J26" s="139" t="s">
        <v>45</v>
      </c>
      <c r="K26" s="139" t="s">
        <v>46</v>
      </c>
      <c r="L26" s="151"/>
      <c r="M26" s="151"/>
      <c r="N26" s="151"/>
      <c r="O26" s="151"/>
      <c r="P26" s="151"/>
    </row>
    <row r="27" spans="1:18" ht="18.75" x14ac:dyDescent="0.25">
      <c r="D27" s="140" t="s">
        <v>155</v>
      </c>
      <c r="E27" s="141" t="s">
        <v>362</v>
      </c>
      <c r="F27" s="141" t="s">
        <v>363</v>
      </c>
      <c r="G27" s="141" t="s">
        <v>364</v>
      </c>
      <c r="H27" s="141" t="s">
        <v>365</v>
      </c>
      <c r="I27" s="141" t="s">
        <v>366</v>
      </c>
      <c r="J27" s="184" t="s">
        <v>367</v>
      </c>
      <c r="K27" s="184" t="s">
        <v>368</v>
      </c>
      <c r="L27" s="152"/>
      <c r="M27" s="152"/>
      <c r="N27" s="152"/>
      <c r="O27" s="152"/>
      <c r="P27" s="152"/>
    </row>
    <row r="40" spans="11:11" x14ac:dyDescent="0.25">
      <c r="K40" t="s">
        <v>31</v>
      </c>
    </row>
  </sheetData>
  <sheetProtection algorithmName="SHA-512" hashValue="EmnmOEPiSjgRnVDuHbZJl5K4bjvqxUr/nmjLwXoZYrRBTYWhpOZ4E3fr04DL3kh+UVa+uO//j1b+fG+eFrSu+Q==" saltValue="WHfvUSlpGF3DjMqn896jsQ==" spinCount="100000" sheet="1" formatCells="0" formatColumns="0" formatRows="0" insertColumns="0" insertRows="0" insertHyperlinks="0" deleteColumns="0" deleteRows="0" sort="0" autoFilter="0" pivotTables="0"/>
  <autoFilter ref="A8:R8" xr:uid="{1E2CFF5D-9D78-4CDC-9D2C-4FD510361872}"/>
  <mergeCells count="9">
    <mergeCell ref="H22:I22"/>
    <mergeCell ref="H23:I23"/>
    <mergeCell ref="H24:I24"/>
    <mergeCell ref="A1:B5"/>
    <mergeCell ref="C1:G2"/>
    <mergeCell ref="H1:I2"/>
    <mergeCell ref="C3:I7"/>
    <mergeCell ref="A6:B6"/>
    <mergeCell ref="A7:B7"/>
  </mergeCells>
  <phoneticPr fontId="18" type="noConversion"/>
  <conditionalFormatting sqref="L27:P27">
    <cfRule type="expression" dxfId="431" priority="25">
      <formula>IFERROR(INDEX(DiasCategorias, L27-FechaInicio+1),0)=1</formula>
    </cfRule>
    <cfRule type="expression" dxfId="430" priority="26">
      <formula>IFERROR(INDEX(DiasCategorias, L27-FechaInicio+1),0)=2</formula>
    </cfRule>
    <cfRule type="expression" dxfId="429" priority="27">
      <formula>IFERROR(INDEX(DiasCategorias, L27-FechaInicio+1),0)=3</formula>
    </cfRule>
    <cfRule type="expression" dxfId="428" priority="28">
      <formula>IFERROR(INDEX(DiasCategorias, L27-FechaInicio+1),0)=4</formula>
    </cfRule>
    <cfRule type="expression" dxfId="427" priority="29">
      <formula>IFERROR(INDEX(DiasCategorias, L27-FechaInicio+1),0)=5</formula>
    </cfRule>
    <cfRule type="expression" dxfId="426" priority="30">
      <formula>IFERROR(INDEX(DiasCategorias, L27-FechaInicio+1),0)=6</formula>
    </cfRule>
    <cfRule type="expression" dxfId="425" priority="31">
      <formula>IFERROR(INDEX(DiasCategorias, L27-FechaInicio+1),0)=7</formula>
    </cfRule>
    <cfRule type="expression" dxfId="424" priority="32">
      <formula>IFERROR(INDEX(DiasCategorias, L27-FechaInicio+1),0)=8</formula>
    </cfRule>
    <cfRule type="expression" dxfId="423" priority="33">
      <formula>IFERROR(INDEX(DiasCategorias, L27-FechaInicio+1),0)=9</formula>
    </cfRule>
    <cfRule type="expression" dxfId="422" priority="34">
      <formula>IFERROR(INDEX(DiasCategorias, L27-FechaInicio+1),0)=10</formula>
    </cfRule>
    <cfRule type="expression" dxfId="421" priority="35">
      <formula>IFERROR(INDEX(DiasCategorias, L27-FechaInicio+1),0)=11</formula>
    </cfRule>
    <cfRule type="expression" dxfId="420" priority="36">
      <formula>IFERROR(INDEX(DiasCategorias, L27-FechaInicio+1),0)=12</formula>
    </cfRule>
  </conditionalFormatting>
  <conditionalFormatting sqref="E27:K27">
    <cfRule type="expression" dxfId="419" priority="1">
      <formula>IFERROR(INDEX(DiasCategorias, E27-FechaInicio+1),0)=1</formula>
    </cfRule>
    <cfRule type="expression" dxfId="418" priority="2">
      <formula>IFERROR(INDEX(DiasCategorias, E27-FechaInicio+1),0)=2</formula>
    </cfRule>
    <cfRule type="expression" dxfId="417" priority="3">
      <formula>IFERROR(INDEX(DiasCategorias, E27-FechaInicio+1),0)=3</formula>
    </cfRule>
    <cfRule type="expression" dxfId="416" priority="4">
      <formula>IFERROR(INDEX(DiasCategorias, E27-FechaInicio+1),0)=4</formula>
    </cfRule>
    <cfRule type="expression" dxfId="415" priority="5">
      <formula>IFERROR(INDEX(DiasCategorias, E27-FechaInicio+1),0)=5</formula>
    </cfRule>
    <cfRule type="expression" dxfId="414" priority="6">
      <formula>IFERROR(INDEX(DiasCategorias, E27-FechaInicio+1),0)=6</formula>
    </cfRule>
    <cfRule type="expression" dxfId="413" priority="7">
      <formula>IFERROR(INDEX(DiasCategorias, E27-FechaInicio+1),0)=7</formula>
    </cfRule>
    <cfRule type="expression" dxfId="412" priority="8">
      <formula>IFERROR(INDEX(DiasCategorias, E27-FechaInicio+1),0)=8</formula>
    </cfRule>
    <cfRule type="expression" dxfId="411" priority="9">
      <formula>IFERROR(INDEX(DiasCategorias, E27-FechaInicio+1),0)=9</formula>
    </cfRule>
    <cfRule type="expression" dxfId="410" priority="10">
      <formula>IFERROR(INDEX(DiasCategorias, E27-FechaInicio+1),0)=10</formula>
    </cfRule>
    <cfRule type="expression" dxfId="409" priority="11">
      <formula>IFERROR(INDEX(DiasCategorias, E27-FechaInicio+1),0)=11</formula>
    </cfRule>
    <cfRule type="expression" dxfId="408" priority="12">
      <formula>IFERROR(INDEX(DiasCategorias, E27-FechaInicio+1),0)=12</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CB80C-7923-411C-9ED7-C4B023F88056}">
  <sheetPr codeName="Hoja23">
    <tabColor theme="7" tint="0.59999389629810485"/>
  </sheetPr>
  <dimension ref="A1:W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5" max="5" width="13.140625" bestFit="1" customWidth="1"/>
    <col min="6" max="7" width="15.42578125" customWidth="1"/>
    <col min="8" max="8" width="16.140625" customWidth="1"/>
    <col min="9" max="9" width="14.5703125" customWidth="1"/>
    <col min="10" max="10" width="16.5703125" customWidth="1"/>
    <col min="11" max="11" width="14.85546875" customWidth="1"/>
    <col min="12" max="20" width="17.28515625" customWidth="1"/>
  </cols>
  <sheetData>
    <row r="1" spans="1:23" ht="15" customHeight="1" x14ac:dyDescent="0.25">
      <c r="A1" s="268"/>
      <c r="B1" s="268"/>
      <c r="C1" s="281" t="s">
        <v>8</v>
      </c>
      <c r="D1" s="282"/>
      <c r="E1" s="282"/>
      <c r="F1" s="282"/>
      <c r="G1" s="283"/>
      <c r="H1" s="288"/>
      <c r="I1" s="289"/>
    </row>
    <row r="2" spans="1:23" ht="15.75" customHeight="1" thickBot="1" x14ac:dyDescent="0.3">
      <c r="A2" s="268"/>
      <c r="B2" s="268"/>
      <c r="C2" s="285"/>
      <c r="D2" s="286"/>
      <c r="E2" s="286"/>
      <c r="F2" s="286"/>
      <c r="G2" s="287"/>
      <c r="H2" s="288"/>
      <c r="I2" s="289"/>
    </row>
    <row r="3" spans="1:23" x14ac:dyDescent="0.25">
      <c r="A3" s="268"/>
      <c r="B3" s="268"/>
      <c r="C3" s="268"/>
      <c r="D3" s="268"/>
      <c r="E3" s="268"/>
      <c r="F3" s="268"/>
      <c r="G3" s="268"/>
      <c r="H3" s="268"/>
      <c r="I3" s="268"/>
    </row>
    <row r="4" spans="1:23" x14ac:dyDescent="0.25">
      <c r="A4" s="268"/>
      <c r="B4" s="268"/>
      <c r="C4" s="268"/>
      <c r="D4" s="268"/>
      <c r="E4" s="268"/>
      <c r="F4" s="268"/>
      <c r="G4" s="268"/>
      <c r="H4" s="268"/>
      <c r="I4" s="268"/>
    </row>
    <row r="5" spans="1:23" x14ac:dyDescent="0.25">
      <c r="A5" s="268"/>
      <c r="B5" s="268"/>
      <c r="C5" s="268"/>
      <c r="D5" s="268"/>
      <c r="E5" s="268"/>
      <c r="F5" s="268"/>
      <c r="G5" s="268"/>
      <c r="H5" s="268"/>
      <c r="I5" s="268"/>
    </row>
    <row r="6" spans="1:23" ht="27" x14ac:dyDescent="0.5">
      <c r="A6" s="273" t="s">
        <v>10</v>
      </c>
      <c r="B6" s="273"/>
      <c r="C6" s="268"/>
      <c r="D6" s="268"/>
      <c r="E6" s="268"/>
      <c r="F6" s="268"/>
      <c r="G6" s="268"/>
      <c r="H6" s="268"/>
      <c r="I6" s="268"/>
    </row>
    <row r="7" spans="1:23" ht="27.75" thickBot="1" x14ac:dyDescent="0.55000000000000004">
      <c r="A7" s="274">
        <v>32</v>
      </c>
      <c r="B7" s="274"/>
      <c r="C7" s="296"/>
      <c r="D7" s="296"/>
      <c r="E7" s="296"/>
      <c r="F7" s="296"/>
      <c r="G7" s="296"/>
      <c r="H7" s="296"/>
      <c r="I7" s="296"/>
    </row>
    <row r="8" spans="1:23" ht="19.5" thickBot="1" x14ac:dyDescent="0.45">
      <c r="A8" s="29" t="s">
        <v>14</v>
      </c>
      <c r="B8" s="29" t="s">
        <v>15</v>
      </c>
      <c r="C8" s="29" t="s">
        <v>16</v>
      </c>
      <c r="D8" s="29" t="s">
        <v>114</v>
      </c>
      <c r="E8" s="30" t="s">
        <v>17</v>
      </c>
      <c r="F8" s="75" t="s">
        <v>89</v>
      </c>
      <c r="G8" s="75" t="s">
        <v>90</v>
      </c>
      <c r="H8" s="75" t="s">
        <v>27</v>
      </c>
      <c r="I8" s="75" t="s">
        <v>19</v>
      </c>
      <c r="J8" s="75" t="s">
        <v>21</v>
      </c>
      <c r="K8" s="75" t="s">
        <v>28</v>
      </c>
      <c r="L8" s="75" t="s">
        <v>29</v>
      </c>
      <c r="M8" s="75" t="s">
        <v>30</v>
      </c>
      <c r="N8" s="75" t="s">
        <v>32</v>
      </c>
      <c r="O8" s="75" t="s">
        <v>33</v>
      </c>
      <c r="P8" s="75" t="s">
        <v>34</v>
      </c>
      <c r="Q8" s="75" t="s">
        <v>35</v>
      </c>
      <c r="R8" s="75" t="s">
        <v>36</v>
      </c>
      <c r="S8" s="75" t="s">
        <v>37</v>
      </c>
      <c r="T8" s="75" t="s">
        <v>38</v>
      </c>
      <c r="U8" s="30" t="s">
        <v>4</v>
      </c>
      <c r="V8" s="164" t="s">
        <v>18</v>
      </c>
    </row>
    <row r="9" spans="1:23" ht="15.75" thickBot="1" x14ac:dyDescent="0.3">
      <c r="A9" s="80"/>
      <c r="B9" s="81"/>
      <c r="C9" s="81"/>
      <c r="D9" s="154"/>
      <c r="E9" s="162"/>
      <c r="F9" s="78"/>
      <c r="G9" s="78"/>
      <c r="H9" s="81"/>
      <c r="I9" s="81"/>
      <c r="J9" s="81"/>
      <c r="K9" s="81"/>
      <c r="L9" s="81"/>
      <c r="M9" s="81"/>
      <c r="N9" s="81"/>
      <c r="O9" s="81"/>
      <c r="P9" s="81"/>
      <c r="Q9" s="81"/>
      <c r="R9" s="81"/>
      <c r="S9" s="81"/>
      <c r="T9" s="81"/>
      <c r="U9" s="73">
        <f>SUM(F9:T9)</f>
        <v>0</v>
      </c>
      <c r="V9" s="165">
        <f t="shared" ref="V9:V19" si="0">E9-U9</f>
        <v>0</v>
      </c>
      <c r="W9">
        <f>_xlfn.ISOWEEKNUM(A9)</f>
        <v>52</v>
      </c>
    </row>
    <row r="10" spans="1:23" ht="15.75" thickBot="1" x14ac:dyDescent="0.3">
      <c r="A10" s="80"/>
      <c r="B10" s="81"/>
      <c r="C10" s="81"/>
      <c r="D10" s="154"/>
      <c r="E10" s="162"/>
      <c r="F10" s="78"/>
      <c r="G10" s="78"/>
      <c r="H10" s="78"/>
      <c r="I10" s="78"/>
      <c r="J10" s="81"/>
      <c r="K10" s="81"/>
      <c r="L10" s="81"/>
      <c r="M10" s="81"/>
      <c r="N10" s="81"/>
      <c r="O10" s="81"/>
      <c r="P10" s="81"/>
      <c r="Q10" s="81"/>
      <c r="R10" s="81"/>
      <c r="S10" s="81"/>
      <c r="T10" s="81"/>
      <c r="U10" s="73">
        <f t="shared" ref="U10:U19" si="1">SUM(F10:T10)</f>
        <v>0</v>
      </c>
      <c r="V10" s="165">
        <f t="shared" si="0"/>
        <v>0</v>
      </c>
    </row>
    <row r="11" spans="1:23" ht="15.75" thickBot="1" x14ac:dyDescent="0.3">
      <c r="A11" s="80"/>
      <c r="B11" s="81"/>
      <c r="C11" s="81"/>
      <c r="D11" s="154"/>
      <c r="E11" s="162"/>
      <c r="F11" s="78"/>
      <c r="G11" s="78"/>
      <c r="H11" s="78"/>
      <c r="I11" s="78"/>
      <c r="J11" s="81"/>
      <c r="K11" s="81"/>
      <c r="L11" s="53"/>
      <c r="M11" s="81"/>
      <c r="N11" s="81"/>
      <c r="O11" s="81"/>
      <c r="P11" s="81"/>
      <c r="Q11" s="81"/>
      <c r="R11" s="81"/>
      <c r="S11" s="81"/>
      <c r="T11" s="81"/>
      <c r="U11" s="73">
        <f t="shared" si="1"/>
        <v>0</v>
      </c>
      <c r="V11" s="165">
        <f t="shared" si="0"/>
        <v>0</v>
      </c>
    </row>
    <row r="12" spans="1:23" ht="15.75" thickBot="1" x14ac:dyDescent="0.3">
      <c r="A12" s="80"/>
      <c r="B12" s="81"/>
      <c r="C12" s="81"/>
      <c r="D12" s="154"/>
      <c r="E12" s="162"/>
      <c r="F12" s="78"/>
      <c r="G12" s="78"/>
      <c r="H12" s="78"/>
      <c r="I12" s="78"/>
      <c r="J12" s="81"/>
      <c r="K12" s="81"/>
      <c r="L12" s="81"/>
      <c r="M12" s="81"/>
      <c r="N12" s="81"/>
      <c r="O12" s="81"/>
      <c r="P12" s="81"/>
      <c r="Q12" s="81"/>
      <c r="R12" s="81"/>
      <c r="S12" s="81"/>
      <c r="T12" s="81"/>
      <c r="U12" s="73">
        <f t="shared" si="1"/>
        <v>0</v>
      </c>
      <c r="V12" s="165">
        <f t="shared" si="0"/>
        <v>0</v>
      </c>
    </row>
    <row r="13" spans="1:23" ht="15.75" thickBot="1" x14ac:dyDescent="0.3">
      <c r="A13" s="80"/>
      <c r="B13" s="81"/>
      <c r="C13" s="81"/>
      <c r="D13" s="154"/>
      <c r="E13" s="162"/>
      <c r="F13" s="78"/>
      <c r="G13" s="78"/>
      <c r="H13" s="78"/>
      <c r="I13" s="78"/>
      <c r="J13" s="81"/>
      <c r="K13" s="81"/>
      <c r="L13" s="81"/>
      <c r="M13" s="81"/>
      <c r="N13" s="81"/>
      <c r="O13" s="81"/>
      <c r="P13" s="81"/>
      <c r="Q13" s="81"/>
      <c r="R13" s="81"/>
      <c r="S13" s="81"/>
      <c r="T13" s="81"/>
      <c r="U13" s="73">
        <f t="shared" si="1"/>
        <v>0</v>
      </c>
      <c r="V13" s="165">
        <f t="shared" si="0"/>
        <v>0</v>
      </c>
    </row>
    <row r="14" spans="1:23" ht="15.75" thickBot="1" x14ac:dyDescent="0.3">
      <c r="A14" s="80"/>
      <c r="B14" s="81"/>
      <c r="C14" s="81"/>
      <c r="D14" s="154"/>
      <c r="E14" s="162"/>
      <c r="F14" s="78"/>
      <c r="G14" s="78"/>
      <c r="H14" s="78"/>
      <c r="I14" s="78"/>
      <c r="J14" s="81"/>
      <c r="K14" s="81"/>
      <c r="L14" s="81"/>
      <c r="M14" s="81"/>
      <c r="N14" s="81"/>
      <c r="O14" s="81"/>
      <c r="P14" s="81"/>
      <c r="Q14" s="81"/>
      <c r="R14" s="81"/>
      <c r="S14" s="81"/>
      <c r="T14" s="81"/>
      <c r="U14" s="73">
        <f t="shared" si="1"/>
        <v>0</v>
      </c>
      <c r="V14" s="165">
        <f t="shared" si="0"/>
        <v>0</v>
      </c>
    </row>
    <row r="15" spans="1:23" ht="15.75" thickBot="1" x14ac:dyDescent="0.3">
      <c r="A15" s="80"/>
      <c r="B15" s="81"/>
      <c r="C15" s="81"/>
      <c r="D15" s="154"/>
      <c r="E15" s="162"/>
      <c r="F15" s="78"/>
      <c r="G15" s="78"/>
      <c r="H15" s="78"/>
      <c r="I15" s="78"/>
      <c r="J15" s="81"/>
      <c r="K15" s="81"/>
      <c r="L15" s="81"/>
      <c r="M15" s="81"/>
      <c r="N15" s="81"/>
      <c r="O15" s="81"/>
      <c r="P15" s="81"/>
      <c r="Q15" s="81"/>
      <c r="R15" s="81"/>
      <c r="S15" s="81"/>
      <c r="T15" s="81"/>
      <c r="U15" s="73">
        <f t="shared" si="1"/>
        <v>0</v>
      </c>
      <c r="V15" s="165">
        <f t="shared" si="0"/>
        <v>0</v>
      </c>
    </row>
    <row r="16" spans="1:23" ht="15.75" thickBot="1" x14ac:dyDescent="0.3">
      <c r="A16" s="80"/>
      <c r="B16" s="81"/>
      <c r="C16" s="81"/>
      <c r="D16" s="154"/>
      <c r="E16" s="162"/>
      <c r="F16" s="78"/>
      <c r="G16" s="78"/>
      <c r="H16" s="78"/>
      <c r="I16" s="78"/>
      <c r="J16" s="81"/>
      <c r="K16" s="81"/>
      <c r="L16" s="81"/>
      <c r="M16" s="81"/>
      <c r="N16" s="81"/>
      <c r="O16" s="81"/>
      <c r="P16" s="81"/>
      <c r="Q16" s="81"/>
      <c r="R16" s="81"/>
      <c r="S16" s="81"/>
      <c r="T16" s="81"/>
      <c r="U16" s="73">
        <f t="shared" si="1"/>
        <v>0</v>
      </c>
      <c r="V16" s="165">
        <f t="shared" si="0"/>
        <v>0</v>
      </c>
    </row>
    <row r="17" spans="1:22" ht="15.75" thickBot="1" x14ac:dyDescent="0.3">
      <c r="A17" s="80"/>
      <c r="B17" s="81"/>
      <c r="C17" s="81"/>
      <c r="D17" s="154"/>
      <c r="E17" s="162"/>
      <c r="F17" s="78"/>
      <c r="G17" s="78"/>
      <c r="H17" s="78"/>
      <c r="I17" s="78"/>
      <c r="J17" s="81"/>
      <c r="K17" s="81"/>
      <c r="L17" s="81"/>
      <c r="M17" s="81"/>
      <c r="N17" s="81"/>
      <c r="O17" s="81"/>
      <c r="P17" s="81"/>
      <c r="Q17" s="81"/>
      <c r="R17" s="81"/>
      <c r="S17" s="81"/>
      <c r="T17" s="81"/>
      <c r="U17" s="73">
        <f t="shared" si="1"/>
        <v>0</v>
      </c>
      <c r="V17" s="165">
        <f t="shared" si="0"/>
        <v>0</v>
      </c>
    </row>
    <row r="18" spans="1:22" ht="15.75" thickBot="1" x14ac:dyDescent="0.3">
      <c r="A18" s="80"/>
      <c r="B18" s="81"/>
      <c r="C18" s="81"/>
      <c r="D18" s="154"/>
      <c r="E18" s="162"/>
      <c r="F18" s="78"/>
      <c r="G18" s="78"/>
      <c r="H18" s="78"/>
      <c r="I18" s="78"/>
      <c r="J18" s="81"/>
      <c r="K18" s="81"/>
      <c r="L18" s="81"/>
      <c r="M18" s="81"/>
      <c r="N18" s="81"/>
      <c r="O18" s="81"/>
      <c r="P18" s="81"/>
      <c r="Q18" s="81"/>
      <c r="R18" s="81"/>
      <c r="S18" s="81"/>
      <c r="T18" s="81"/>
      <c r="U18" s="73">
        <f t="shared" si="1"/>
        <v>0</v>
      </c>
      <c r="V18" s="165">
        <f t="shared" si="0"/>
        <v>0</v>
      </c>
    </row>
    <row r="19" spans="1:22" ht="15.75" thickBot="1" x14ac:dyDescent="0.3">
      <c r="A19" s="80"/>
      <c r="B19" s="81"/>
      <c r="C19" s="81"/>
      <c r="D19" s="154"/>
      <c r="E19" s="162"/>
      <c r="F19" s="78"/>
      <c r="G19" s="78"/>
      <c r="H19" s="78"/>
      <c r="I19" s="78"/>
      <c r="J19" s="81"/>
      <c r="K19" s="81"/>
      <c r="L19" s="81"/>
      <c r="M19" s="81"/>
      <c r="N19" s="81"/>
      <c r="O19" s="81"/>
      <c r="P19" s="81"/>
      <c r="Q19" s="81"/>
      <c r="R19" s="81"/>
      <c r="S19" s="81"/>
      <c r="T19" s="81"/>
      <c r="U19" s="73">
        <f t="shared" si="1"/>
        <v>0</v>
      </c>
      <c r="V19" s="165">
        <f t="shared" si="0"/>
        <v>0</v>
      </c>
    </row>
    <row r="20" spans="1:22" ht="15.75" thickBot="1" x14ac:dyDescent="0.3">
      <c r="A20" t="s">
        <v>4</v>
      </c>
      <c r="E20" s="163">
        <f>SUM(E9:E19)</f>
        <v>0</v>
      </c>
      <c r="F20" s="12"/>
      <c r="G20" s="12"/>
      <c r="H20" s="12"/>
      <c r="I20" s="12"/>
      <c r="J20" s="6"/>
      <c r="K20" s="6"/>
      <c r="L20" s="158"/>
      <c r="M20" s="158"/>
      <c r="N20" s="158"/>
      <c r="O20" s="158"/>
      <c r="P20" s="158"/>
      <c r="Q20" s="158"/>
      <c r="R20" s="158"/>
      <c r="S20" s="158"/>
      <c r="T20" s="158"/>
      <c r="U20" s="74">
        <f>SUM(U9:U19)</f>
        <v>0</v>
      </c>
      <c r="V20" s="166">
        <f>SUM(V9:V19)</f>
        <v>0</v>
      </c>
    </row>
    <row r="21" spans="1:22" ht="15.75" thickBot="1" x14ac:dyDescent="0.3"/>
    <row r="22" spans="1:22" ht="16.5" thickBot="1" x14ac:dyDescent="0.35">
      <c r="H22" s="291" t="s">
        <v>20</v>
      </c>
      <c r="I22" s="292"/>
      <c r="J22" s="15">
        <f>E20</f>
        <v>0</v>
      </c>
    </row>
    <row r="23" spans="1:22" ht="19.5" thickBot="1" x14ac:dyDescent="0.45">
      <c r="H23" s="279" t="s">
        <v>3</v>
      </c>
      <c r="I23" s="280"/>
      <c r="J23" s="16">
        <f>U20</f>
        <v>0</v>
      </c>
    </row>
    <row r="24" spans="1:22" ht="19.5" thickBot="1" x14ac:dyDescent="0.45">
      <c r="H24" s="279" t="s">
        <v>7</v>
      </c>
      <c r="I24" s="279"/>
      <c r="J24" s="13">
        <f>V20</f>
        <v>0</v>
      </c>
    </row>
    <row r="26" spans="1:22"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row>
    <row r="27" spans="1:22" ht="18.75" x14ac:dyDescent="0.25">
      <c r="D27" s="140" t="s">
        <v>156</v>
      </c>
      <c r="E27" s="141" t="s">
        <v>369</v>
      </c>
      <c r="F27" s="141" t="s">
        <v>370</v>
      </c>
      <c r="G27" s="141" t="s">
        <v>371</v>
      </c>
      <c r="H27" s="141" t="s">
        <v>372</v>
      </c>
      <c r="I27" s="141" t="s">
        <v>373</v>
      </c>
      <c r="J27" s="184" t="s">
        <v>374</v>
      </c>
      <c r="K27" s="184" t="s">
        <v>375</v>
      </c>
      <c r="L27" s="152"/>
      <c r="M27" s="152"/>
      <c r="N27" s="152"/>
      <c r="O27" s="152"/>
      <c r="P27" s="152"/>
      <c r="Q27" s="152"/>
      <c r="R27" s="152"/>
      <c r="S27" s="152"/>
      <c r="T27" s="152"/>
    </row>
    <row r="40" spans="11:11" x14ac:dyDescent="0.25">
      <c r="K40" t="s">
        <v>31</v>
      </c>
    </row>
  </sheetData>
  <sheetProtection algorithmName="SHA-512" hashValue="+i/W9L6avuN+RPbGZtu7RB8vwSrx+WRqgQQ0LF0o61qI5E2d113zgw71SUDfvVw9PRD0F6p9oHdRBRVEFPWAxw==" saltValue="n5gr+PEnzwEjlkbLy0nQKQ==" spinCount="100000" sheet="1" formatCells="0" formatColumns="0" formatRows="0" insertColumns="0" insertRows="0" insertHyperlinks="0" deleteColumns="0" deleteRows="0" sort="0" autoFilter="0" pivotTables="0"/>
  <autoFilter ref="A8:V8" xr:uid="{B91CB80C-7923-411C-9ED7-C4B023F88056}"/>
  <mergeCells count="9">
    <mergeCell ref="H22:I22"/>
    <mergeCell ref="H23:I23"/>
    <mergeCell ref="H24:I24"/>
    <mergeCell ref="A1:B5"/>
    <mergeCell ref="C1:G2"/>
    <mergeCell ref="H1:I2"/>
    <mergeCell ref="C3:I7"/>
    <mergeCell ref="A6:B6"/>
    <mergeCell ref="A7:B7"/>
  </mergeCells>
  <phoneticPr fontId="18" type="noConversion"/>
  <conditionalFormatting sqref="L27:T27">
    <cfRule type="expression" dxfId="407" priority="25">
      <formula>IFERROR(INDEX(DiasCategorias, L27-FechaInicio+1),0)=1</formula>
    </cfRule>
    <cfRule type="expression" dxfId="406" priority="26">
      <formula>IFERROR(INDEX(DiasCategorias, L27-FechaInicio+1),0)=2</formula>
    </cfRule>
    <cfRule type="expression" dxfId="405" priority="27">
      <formula>IFERROR(INDEX(DiasCategorias, L27-FechaInicio+1),0)=3</formula>
    </cfRule>
    <cfRule type="expression" dxfId="404" priority="28">
      <formula>IFERROR(INDEX(DiasCategorias, L27-FechaInicio+1),0)=4</formula>
    </cfRule>
    <cfRule type="expression" dxfId="403" priority="29">
      <formula>IFERROR(INDEX(DiasCategorias, L27-FechaInicio+1),0)=5</formula>
    </cfRule>
    <cfRule type="expression" dxfId="402" priority="30">
      <formula>IFERROR(INDEX(DiasCategorias, L27-FechaInicio+1),0)=6</formula>
    </cfRule>
    <cfRule type="expression" dxfId="401" priority="31">
      <formula>IFERROR(INDEX(DiasCategorias, L27-FechaInicio+1),0)=7</formula>
    </cfRule>
    <cfRule type="expression" dxfId="400" priority="32">
      <formula>IFERROR(INDEX(DiasCategorias, L27-FechaInicio+1),0)=8</formula>
    </cfRule>
    <cfRule type="expression" dxfId="399" priority="33">
      <formula>IFERROR(INDEX(DiasCategorias, L27-FechaInicio+1),0)=9</formula>
    </cfRule>
    <cfRule type="expression" dxfId="398" priority="34">
      <formula>IFERROR(INDEX(DiasCategorias, L27-FechaInicio+1),0)=10</formula>
    </cfRule>
    <cfRule type="expression" dxfId="397" priority="35">
      <formula>IFERROR(INDEX(DiasCategorias, L27-FechaInicio+1),0)=11</formula>
    </cfRule>
    <cfRule type="expression" dxfId="396" priority="36">
      <formula>IFERROR(INDEX(DiasCategorias, L27-FechaInicio+1),0)=12</formula>
    </cfRule>
  </conditionalFormatting>
  <conditionalFormatting sqref="E27:K27">
    <cfRule type="expression" dxfId="395" priority="1">
      <formula>IFERROR(INDEX(DiasCategorias, E27-FechaInicio+1),0)=1</formula>
    </cfRule>
    <cfRule type="expression" dxfId="394" priority="2">
      <formula>IFERROR(INDEX(DiasCategorias, E27-FechaInicio+1),0)=2</formula>
    </cfRule>
    <cfRule type="expression" dxfId="393" priority="3">
      <formula>IFERROR(INDEX(DiasCategorias, E27-FechaInicio+1),0)=3</formula>
    </cfRule>
    <cfRule type="expression" dxfId="392" priority="4">
      <formula>IFERROR(INDEX(DiasCategorias, E27-FechaInicio+1),0)=4</formula>
    </cfRule>
    <cfRule type="expression" dxfId="391" priority="5">
      <formula>IFERROR(INDEX(DiasCategorias, E27-FechaInicio+1),0)=5</formula>
    </cfRule>
    <cfRule type="expression" dxfId="390" priority="6">
      <formula>IFERROR(INDEX(DiasCategorias, E27-FechaInicio+1),0)=6</formula>
    </cfRule>
    <cfRule type="expression" dxfId="389" priority="7">
      <formula>IFERROR(INDEX(DiasCategorias, E27-FechaInicio+1),0)=7</formula>
    </cfRule>
    <cfRule type="expression" dxfId="388" priority="8">
      <formula>IFERROR(INDEX(DiasCategorias, E27-FechaInicio+1),0)=8</formula>
    </cfRule>
    <cfRule type="expression" dxfId="387" priority="9">
      <formula>IFERROR(INDEX(DiasCategorias, E27-FechaInicio+1),0)=9</formula>
    </cfRule>
    <cfRule type="expression" dxfId="386" priority="10">
      <formula>IFERROR(INDEX(DiasCategorias, E27-FechaInicio+1),0)=10</formula>
    </cfRule>
    <cfRule type="expression" dxfId="385" priority="11">
      <formula>IFERROR(INDEX(DiasCategorias, E27-FechaInicio+1),0)=11</formula>
    </cfRule>
    <cfRule type="expression" dxfId="384" priority="12">
      <formula>IFERROR(INDEX(DiasCategorias, E27-FechaInicio+1),0)=12</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AFA16-A677-4734-998C-4DEB4FD1F199}">
  <sheetPr codeName="Hoja4">
    <tabColor theme="4" tint="-0.249977111117893"/>
  </sheetPr>
  <dimension ref="A1:Z40"/>
  <sheetViews>
    <sheetView workbookViewId="0">
      <selection activeCell="E27" sqref="E27:K27"/>
    </sheetView>
  </sheetViews>
  <sheetFormatPr baseColWidth="10" defaultRowHeight="15" x14ac:dyDescent="0.25"/>
  <cols>
    <col min="2" max="2" width="9.140625" customWidth="1"/>
    <col min="3" max="3" width="27.5703125" bestFit="1" customWidth="1"/>
    <col min="4" max="4" width="17.140625" customWidth="1"/>
    <col min="5" max="5" width="13.140625" bestFit="1" customWidth="1"/>
    <col min="6" max="6" width="14.85546875" customWidth="1"/>
    <col min="7" max="7" width="15.7109375" customWidth="1"/>
    <col min="8" max="8" width="17.7109375" customWidth="1"/>
    <col min="9" max="9" width="14.7109375" customWidth="1"/>
    <col min="10" max="10" width="16.140625" customWidth="1"/>
    <col min="11" max="23" width="15.85546875" customWidth="1"/>
  </cols>
  <sheetData>
    <row r="1" spans="1:26" ht="15" customHeight="1" x14ac:dyDescent="0.25">
      <c r="A1" s="268"/>
      <c r="B1" s="268"/>
      <c r="C1" s="281" t="s">
        <v>8</v>
      </c>
      <c r="D1" s="282"/>
      <c r="E1" s="282"/>
      <c r="F1" s="282"/>
      <c r="G1" s="283"/>
      <c r="H1" s="288"/>
      <c r="I1" s="289"/>
    </row>
    <row r="2" spans="1:26" ht="15.75" customHeight="1" thickBot="1" x14ac:dyDescent="0.3">
      <c r="A2" s="268"/>
      <c r="B2" s="268"/>
      <c r="C2" s="285"/>
      <c r="D2" s="286"/>
      <c r="E2" s="286"/>
      <c r="F2" s="286"/>
      <c r="G2" s="287"/>
      <c r="H2" s="288"/>
      <c r="I2" s="289"/>
    </row>
    <row r="3" spans="1:26" x14ac:dyDescent="0.25">
      <c r="A3" s="268"/>
      <c r="B3" s="268"/>
      <c r="C3" s="268"/>
      <c r="D3" s="268"/>
      <c r="E3" s="268"/>
      <c r="F3" s="268"/>
      <c r="G3" s="268"/>
      <c r="H3" s="268"/>
      <c r="I3" s="268"/>
    </row>
    <row r="4" spans="1:26" x14ac:dyDescent="0.25">
      <c r="A4" s="268"/>
      <c r="B4" s="268"/>
      <c r="C4" s="268"/>
      <c r="D4" s="268"/>
      <c r="E4" s="268"/>
      <c r="F4" s="268"/>
      <c r="G4" s="268"/>
      <c r="H4" s="268"/>
      <c r="I4" s="268"/>
    </row>
    <row r="5" spans="1:26" x14ac:dyDescent="0.25">
      <c r="A5" s="268"/>
      <c r="B5" s="268"/>
      <c r="C5" s="268"/>
      <c r="D5" s="268"/>
      <c r="E5" s="268"/>
      <c r="F5" s="268"/>
      <c r="G5" s="268"/>
      <c r="H5" s="268"/>
      <c r="I5" s="268"/>
    </row>
    <row r="6" spans="1:26" ht="27" x14ac:dyDescent="0.5">
      <c r="A6" s="273" t="s">
        <v>10</v>
      </c>
      <c r="B6" s="273"/>
      <c r="C6" s="268"/>
      <c r="D6" s="268"/>
      <c r="E6" s="268"/>
      <c r="F6" s="268"/>
      <c r="G6" s="268"/>
      <c r="H6" s="268"/>
      <c r="I6" s="268"/>
    </row>
    <row r="7" spans="1:26" ht="27.75" thickBot="1" x14ac:dyDescent="0.55000000000000004">
      <c r="A7" s="274">
        <v>33</v>
      </c>
      <c r="B7" s="274"/>
      <c r="C7" s="296"/>
      <c r="D7" s="296"/>
      <c r="E7" s="296"/>
      <c r="F7" s="296"/>
      <c r="G7" s="296"/>
      <c r="H7" s="296"/>
      <c r="I7" s="296"/>
    </row>
    <row r="8" spans="1:26" ht="19.5" thickBot="1" x14ac:dyDescent="0.45">
      <c r="A8" s="29" t="s">
        <v>14</v>
      </c>
      <c r="B8" s="29" t="s">
        <v>15</v>
      </c>
      <c r="C8" s="29" t="s">
        <v>16</v>
      </c>
      <c r="D8" s="29" t="s">
        <v>114</v>
      </c>
      <c r="E8" s="30" t="s">
        <v>17</v>
      </c>
      <c r="F8" s="75" t="s">
        <v>90</v>
      </c>
      <c r="G8" s="75" t="s">
        <v>27</v>
      </c>
      <c r="H8" s="75" t="s">
        <v>19</v>
      </c>
      <c r="I8" s="75" t="s">
        <v>21</v>
      </c>
      <c r="J8" s="75" t="s">
        <v>28</v>
      </c>
      <c r="K8" s="75" t="s">
        <v>29</v>
      </c>
      <c r="L8" s="75" t="s">
        <v>30</v>
      </c>
      <c r="M8" s="75" t="s">
        <v>32</v>
      </c>
      <c r="N8" s="75" t="s">
        <v>33</v>
      </c>
      <c r="O8" s="75" t="s">
        <v>34</v>
      </c>
      <c r="P8" s="119" t="s">
        <v>35</v>
      </c>
      <c r="Q8" s="119" t="s">
        <v>36</v>
      </c>
      <c r="R8" s="119" t="s">
        <v>37</v>
      </c>
      <c r="S8" s="119" t="s">
        <v>38</v>
      </c>
      <c r="T8" s="119" t="s">
        <v>39</v>
      </c>
      <c r="U8" s="119" t="s">
        <v>91</v>
      </c>
      <c r="V8" s="119" t="s">
        <v>92</v>
      </c>
      <c r="W8" s="119" t="s">
        <v>93</v>
      </c>
      <c r="X8" s="120" t="s">
        <v>4</v>
      </c>
      <c r="Y8" s="164" t="s">
        <v>18</v>
      </c>
    </row>
    <row r="9" spans="1:26" ht="15.75" thickBot="1" x14ac:dyDescent="0.3">
      <c r="A9" s="80"/>
      <c r="B9" s="81"/>
      <c r="C9" s="81"/>
      <c r="D9" s="154"/>
      <c r="E9" s="162"/>
      <c r="F9" s="78"/>
      <c r="G9" s="78"/>
      <c r="H9" s="81"/>
      <c r="I9" s="81"/>
      <c r="J9" s="81"/>
      <c r="K9" s="81"/>
      <c r="L9" s="81"/>
      <c r="M9" s="81"/>
      <c r="N9" s="81"/>
      <c r="O9" s="81"/>
      <c r="P9" s="154"/>
      <c r="Q9" s="81"/>
      <c r="R9" s="81"/>
      <c r="S9" s="81"/>
      <c r="T9" s="81"/>
      <c r="U9" s="81"/>
      <c r="V9" s="81"/>
      <c r="W9" s="81"/>
      <c r="X9" s="73">
        <f>SUM(F9:W9)</f>
        <v>0</v>
      </c>
      <c r="Y9" s="166">
        <f>E9-X9</f>
        <v>0</v>
      </c>
      <c r="Z9">
        <f>_xlfn.ISOWEEKNUM(A9)</f>
        <v>52</v>
      </c>
    </row>
    <row r="10" spans="1:26" ht="15.75" thickBot="1" x14ac:dyDescent="0.3">
      <c r="A10" s="80"/>
      <c r="B10" s="81"/>
      <c r="C10" s="81"/>
      <c r="D10" s="154"/>
      <c r="E10" s="162"/>
      <c r="F10" s="78"/>
      <c r="G10" s="78"/>
      <c r="H10" s="78"/>
      <c r="I10" s="78"/>
      <c r="J10" s="81"/>
      <c r="K10" s="81"/>
      <c r="L10" s="81"/>
      <c r="M10" s="81"/>
      <c r="N10" s="81"/>
      <c r="O10" s="81"/>
      <c r="P10" s="154"/>
      <c r="Q10" s="81"/>
      <c r="R10" s="81"/>
      <c r="S10" s="81"/>
      <c r="T10" s="81"/>
      <c r="U10" s="81"/>
      <c r="V10" s="81"/>
      <c r="W10" s="81"/>
      <c r="X10" s="73">
        <f t="shared" ref="X10:X19" si="0">SUM(F10:W10)</f>
        <v>0</v>
      </c>
      <c r="Y10" s="166">
        <f t="shared" ref="Y10:Y19" si="1">E10-X10</f>
        <v>0</v>
      </c>
    </row>
    <row r="11" spans="1:26" ht="15.75" thickBot="1" x14ac:dyDescent="0.3">
      <c r="A11" s="80"/>
      <c r="B11" s="81"/>
      <c r="C11" s="81"/>
      <c r="D11" s="156"/>
      <c r="E11" s="162"/>
      <c r="F11" s="78"/>
      <c r="G11" s="78"/>
      <c r="H11" s="78"/>
      <c r="I11" s="78"/>
      <c r="J11" s="81"/>
      <c r="K11" s="81"/>
      <c r="L11" s="81"/>
      <c r="M11" s="81"/>
      <c r="N11" s="81"/>
      <c r="O11" s="81"/>
      <c r="P11" s="154"/>
      <c r="Q11" s="81"/>
      <c r="R11" s="81"/>
      <c r="S11" s="81"/>
      <c r="T11" s="81"/>
      <c r="U11" s="81"/>
      <c r="V11" s="81"/>
      <c r="W11" s="81"/>
      <c r="X11" s="73">
        <f t="shared" si="0"/>
        <v>0</v>
      </c>
      <c r="Y11" s="166">
        <f t="shared" si="1"/>
        <v>0</v>
      </c>
    </row>
    <row r="12" spans="1:26" ht="15.75" thickBot="1" x14ac:dyDescent="0.3">
      <c r="A12" s="80"/>
      <c r="B12" s="81"/>
      <c r="C12" s="81"/>
      <c r="D12" s="154"/>
      <c r="E12" s="162"/>
      <c r="F12" s="78"/>
      <c r="G12" s="78"/>
      <c r="H12" s="78"/>
      <c r="I12" s="78"/>
      <c r="J12" s="81"/>
      <c r="K12" s="81"/>
      <c r="L12" s="81"/>
      <c r="M12" s="81"/>
      <c r="N12" s="81"/>
      <c r="O12" s="81"/>
      <c r="P12" s="154"/>
      <c r="Q12" s="81"/>
      <c r="R12" s="81"/>
      <c r="S12" s="81"/>
      <c r="T12" s="81"/>
      <c r="U12" s="81"/>
      <c r="V12" s="81"/>
      <c r="W12" s="81"/>
      <c r="X12" s="73">
        <f t="shared" si="0"/>
        <v>0</v>
      </c>
      <c r="Y12" s="166">
        <f t="shared" si="1"/>
        <v>0</v>
      </c>
    </row>
    <row r="13" spans="1:26" ht="15.75" thickBot="1" x14ac:dyDescent="0.3">
      <c r="A13" s="80"/>
      <c r="B13" s="81"/>
      <c r="C13" s="81"/>
      <c r="D13" s="154"/>
      <c r="E13" s="162"/>
      <c r="F13" s="78"/>
      <c r="G13" s="78"/>
      <c r="H13" s="78"/>
      <c r="I13" s="78"/>
      <c r="J13" s="81"/>
      <c r="K13" s="81"/>
      <c r="L13" s="81"/>
      <c r="M13" s="81"/>
      <c r="N13" s="81"/>
      <c r="O13" s="81"/>
      <c r="P13" s="154"/>
      <c r="Q13" s="81"/>
      <c r="R13" s="81"/>
      <c r="S13" s="81"/>
      <c r="T13" s="81"/>
      <c r="U13" s="81"/>
      <c r="V13" s="81"/>
      <c r="W13" s="81"/>
      <c r="X13" s="73">
        <f t="shared" si="0"/>
        <v>0</v>
      </c>
      <c r="Y13" s="166">
        <f t="shared" si="1"/>
        <v>0</v>
      </c>
    </row>
    <row r="14" spans="1:26" ht="15.75" thickBot="1" x14ac:dyDescent="0.3">
      <c r="A14" s="80"/>
      <c r="B14" s="81"/>
      <c r="C14" s="81"/>
      <c r="D14" s="154"/>
      <c r="E14" s="162"/>
      <c r="F14" s="78"/>
      <c r="G14" s="78"/>
      <c r="H14" s="78"/>
      <c r="I14" s="78"/>
      <c r="J14" s="81"/>
      <c r="K14" s="81"/>
      <c r="L14" s="81"/>
      <c r="M14" s="81"/>
      <c r="N14" s="81"/>
      <c r="O14" s="81"/>
      <c r="P14" s="154"/>
      <c r="Q14" s="81"/>
      <c r="R14" s="81"/>
      <c r="S14" s="81"/>
      <c r="T14" s="81"/>
      <c r="U14" s="81"/>
      <c r="V14" s="81"/>
      <c r="W14" s="81"/>
      <c r="X14" s="73">
        <f t="shared" si="0"/>
        <v>0</v>
      </c>
      <c r="Y14" s="166">
        <f t="shared" si="1"/>
        <v>0</v>
      </c>
    </row>
    <row r="15" spans="1:26" ht="15.75" thickBot="1" x14ac:dyDescent="0.3">
      <c r="A15" s="80"/>
      <c r="B15" s="81"/>
      <c r="C15" s="81"/>
      <c r="D15" s="154"/>
      <c r="E15" s="162"/>
      <c r="F15" s="78"/>
      <c r="G15" s="78"/>
      <c r="H15" s="78"/>
      <c r="I15" s="78"/>
      <c r="J15" s="81"/>
      <c r="K15" s="81"/>
      <c r="L15" s="81"/>
      <c r="M15" s="81"/>
      <c r="N15" s="81"/>
      <c r="O15" s="81"/>
      <c r="P15" s="154"/>
      <c r="Q15" s="81"/>
      <c r="R15" s="81"/>
      <c r="S15" s="81"/>
      <c r="T15" s="81"/>
      <c r="U15" s="81"/>
      <c r="V15" s="81"/>
      <c r="W15" s="81"/>
      <c r="X15" s="73">
        <f t="shared" si="0"/>
        <v>0</v>
      </c>
      <c r="Y15" s="166">
        <f t="shared" si="1"/>
        <v>0</v>
      </c>
    </row>
    <row r="16" spans="1:26" ht="15.75" thickBot="1" x14ac:dyDescent="0.3">
      <c r="A16" s="80"/>
      <c r="B16" s="81"/>
      <c r="C16" s="81"/>
      <c r="D16" s="154"/>
      <c r="E16" s="162"/>
      <c r="F16" s="78"/>
      <c r="G16" s="78"/>
      <c r="H16" s="78"/>
      <c r="I16" s="78"/>
      <c r="J16" s="81"/>
      <c r="K16" s="81"/>
      <c r="L16" s="81"/>
      <c r="M16" s="81"/>
      <c r="N16" s="81"/>
      <c r="O16" s="81"/>
      <c r="P16" s="154"/>
      <c r="Q16" s="81"/>
      <c r="R16" s="81"/>
      <c r="S16" s="81"/>
      <c r="T16" s="81"/>
      <c r="U16" s="81"/>
      <c r="V16" s="81"/>
      <c r="W16" s="81"/>
      <c r="X16" s="73">
        <f t="shared" si="0"/>
        <v>0</v>
      </c>
      <c r="Y16" s="166">
        <f t="shared" si="1"/>
        <v>0</v>
      </c>
    </row>
    <row r="17" spans="1:25" ht="15.75" thickBot="1" x14ac:dyDescent="0.3">
      <c r="A17" s="80"/>
      <c r="B17" s="81"/>
      <c r="C17" s="81"/>
      <c r="D17" s="154"/>
      <c r="E17" s="162"/>
      <c r="F17" s="78"/>
      <c r="G17" s="78"/>
      <c r="H17" s="78"/>
      <c r="I17" s="78"/>
      <c r="J17" s="81"/>
      <c r="K17" s="81"/>
      <c r="L17" s="81"/>
      <c r="M17" s="81"/>
      <c r="N17" s="81"/>
      <c r="O17" s="81"/>
      <c r="P17" s="154"/>
      <c r="Q17" s="81"/>
      <c r="R17" s="81"/>
      <c r="S17" s="81"/>
      <c r="T17" s="81"/>
      <c r="U17" s="81"/>
      <c r="V17" s="81"/>
      <c r="W17" s="81"/>
      <c r="X17" s="73">
        <f t="shared" si="0"/>
        <v>0</v>
      </c>
      <c r="Y17" s="166">
        <f t="shared" si="1"/>
        <v>0</v>
      </c>
    </row>
    <row r="18" spans="1:25" ht="15.75" thickBot="1" x14ac:dyDescent="0.3">
      <c r="A18" s="80"/>
      <c r="B18" s="81"/>
      <c r="C18" s="81"/>
      <c r="D18" s="154"/>
      <c r="E18" s="162"/>
      <c r="F18" s="78"/>
      <c r="G18" s="78"/>
      <c r="H18" s="78"/>
      <c r="I18" s="78"/>
      <c r="J18" s="81"/>
      <c r="K18" s="81"/>
      <c r="L18" s="81"/>
      <c r="M18" s="81"/>
      <c r="N18" s="81"/>
      <c r="O18" s="81"/>
      <c r="P18" s="154"/>
      <c r="Q18" s="81"/>
      <c r="R18" s="81"/>
      <c r="S18" s="81"/>
      <c r="T18" s="81"/>
      <c r="U18" s="81"/>
      <c r="V18" s="81"/>
      <c r="W18" s="81"/>
      <c r="X18" s="73">
        <f t="shared" si="0"/>
        <v>0</v>
      </c>
      <c r="Y18" s="166">
        <f t="shared" si="1"/>
        <v>0</v>
      </c>
    </row>
    <row r="19" spans="1:25" ht="15.75" thickBot="1" x14ac:dyDescent="0.3">
      <c r="A19" s="80"/>
      <c r="B19" s="81"/>
      <c r="C19" s="81"/>
      <c r="D19" s="154"/>
      <c r="E19" s="162"/>
      <c r="F19" s="78"/>
      <c r="G19" s="78"/>
      <c r="H19" s="78"/>
      <c r="I19" s="78"/>
      <c r="J19" s="81"/>
      <c r="K19" s="81"/>
      <c r="L19" s="81"/>
      <c r="M19" s="81"/>
      <c r="N19" s="81"/>
      <c r="O19" s="81"/>
      <c r="P19" s="154"/>
      <c r="Q19" s="81"/>
      <c r="R19" s="81"/>
      <c r="S19" s="81"/>
      <c r="T19" s="81"/>
      <c r="U19" s="81"/>
      <c r="V19" s="81"/>
      <c r="W19" s="81"/>
      <c r="X19" s="73">
        <f t="shared" si="0"/>
        <v>0</v>
      </c>
      <c r="Y19" s="166">
        <f t="shared" si="1"/>
        <v>0</v>
      </c>
    </row>
    <row r="20" spans="1:25" ht="15.75" thickBot="1" x14ac:dyDescent="0.3">
      <c r="A20" t="s">
        <v>4</v>
      </c>
      <c r="E20" s="163">
        <f>SUM(E9:E19)</f>
        <v>0</v>
      </c>
      <c r="F20" s="12"/>
      <c r="G20" s="12"/>
      <c r="H20" s="12"/>
      <c r="I20" s="12"/>
      <c r="J20" s="6"/>
      <c r="K20" s="6"/>
      <c r="L20" s="6"/>
      <c r="M20" s="6"/>
      <c r="N20" s="6"/>
      <c r="O20" s="6"/>
      <c r="P20" s="155"/>
      <c r="Q20" s="6"/>
      <c r="R20" s="6"/>
      <c r="S20" s="6"/>
      <c r="T20" s="6"/>
      <c r="U20" s="6"/>
      <c r="V20" s="6"/>
      <c r="W20" s="6"/>
      <c r="X20" s="73">
        <f>SUM(X9:X19)</f>
        <v>0</v>
      </c>
      <c r="Y20" s="166">
        <f>SUM(Y9:Y19)</f>
        <v>0</v>
      </c>
    </row>
    <row r="21" spans="1:25" ht="15.75" thickBot="1" x14ac:dyDescent="0.3"/>
    <row r="22" spans="1:25" ht="16.5" thickBot="1" x14ac:dyDescent="0.35">
      <c r="H22" s="291" t="s">
        <v>20</v>
      </c>
      <c r="I22" s="292"/>
      <c r="J22" s="15">
        <f>E20</f>
        <v>0</v>
      </c>
    </row>
    <row r="23" spans="1:25" ht="19.5" thickBot="1" x14ac:dyDescent="0.45">
      <c r="H23" s="279" t="s">
        <v>3</v>
      </c>
      <c r="I23" s="280"/>
      <c r="J23" s="16">
        <f>X20</f>
        <v>0</v>
      </c>
    </row>
    <row r="24" spans="1:25" ht="19.5" thickBot="1" x14ac:dyDescent="0.45">
      <c r="H24" s="279" t="s">
        <v>7</v>
      </c>
      <c r="I24" s="279"/>
      <c r="J24" s="13">
        <f>Y20</f>
        <v>0</v>
      </c>
    </row>
    <row r="26" spans="1:25"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c r="U26" s="151"/>
      <c r="V26" s="151"/>
      <c r="W26" s="151"/>
    </row>
    <row r="27" spans="1:25" ht="18.75" x14ac:dyDescent="0.25">
      <c r="D27" s="140" t="s">
        <v>157</v>
      </c>
      <c r="E27" s="141" t="s">
        <v>376</v>
      </c>
      <c r="F27" s="141" t="s">
        <v>377</v>
      </c>
      <c r="G27" s="141" t="s">
        <v>378</v>
      </c>
      <c r="H27" s="141" t="s">
        <v>379</v>
      </c>
      <c r="I27" s="141" t="s">
        <v>380</v>
      </c>
      <c r="J27" s="184" t="s">
        <v>381</v>
      </c>
      <c r="K27" s="184" t="s">
        <v>382</v>
      </c>
      <c r="L27" s="152"/>
      <c r="M27" s="152"/>
      <c r="N27" s="152"/>
      <c r="O27" s="152"/>
      <c r="P27" s="152"/>
      <c r="Q27" s="152"/>
      <c r="R27" s="152"/>
      <c r="S27" s="152"/>
      <c r="T27" s="152"/>
      <c r="U27" s="152"/>
      <c r="V27" s="152"/>
      <c r="W27" s="152"/>
    </row>
    <row r="40" spans="11:11" x14ac:dyDescent="0.25">
      <c r="K40" t="s">
        <v>31</v>
      </c>
    </row>
  </sheetData>
  <sheetProtection algorithmName="SHA-512" hashValue="Gey98d566Gx1SMZfY3eCSpMq1X3hRh0JXDF2x6Zz5/WCC1aT1IUDUivp0VAQVf+/SmDTrfBOrkqwF7bV646ugw==" saltValue="0dC4rmxuw+Dctm5fuql6QA==" spinCount="100000" sheet="1" formatCells="0" formatColumns="0" formatRows="0" insertColumns="0" insertRows="0" insertHyperlinks="0" deleteColumns="0" deleteRows="0" sort="0" autoFilter="0" pivotTables="0"/>
  <autoFilter ref="A8:Y8" xr:uid="{A5CAFA16-A677-4734-998C-4DEB4FD1F199}"/>
  <mergeCells count="9">
    <mergeCell ref="H22:I22"/>
    <mergeCell ref="H23:I23"/>
    <mergeCell ref="H24:I24"/>
    <mergeCell ref="A1:B5"/>
    <mergeCell ref="C1:G2"/>
    <mergeCell ref="H1:I2"/>
    <mergeCell ref="C3:I7"/>
    <mergeCell ref="A6:B6"/>
    <mergeCell ref="A7:B7"/>
  </mergeCells>
  <phoneticPr fontId="18" type="noConversion"/>
  <conditionalFormatting sqref="L27:W27">
    <cfRule type="expression" dxfId="383" priority="25">
      <formula>IFERROR(INDEX(DiasCategorias, L27-FechaInicio+1),0)=1</formula>
    </cfRule>
    <cfRule type="expression" dxfId="382" priority="26">
      <formula>IFERROR(INDEX(DiasCategorias, L27-FechaInicio+1),0)=2</formula>
    </cfRule>
    <cfRule type="expression" dxfId="381" priority="27">
      <formula>IFERROR(INDEX(DiasCategorias, L27-FechaInicio+1),0)=3</formula>
    </cfRule>
    <cfRule type="expression" dxfId="380" priority="28">
      <formula>IFERROR(INDEX(DiasCategorias, L27-FechaInicio+1),0)=4</formula>
    </cfRule>
    <cfRule type="expression" dxfId="379" priority="29">
      <formula>IFERROR(INDEX(DiasCategorias, L27-FechaInicio+1),0)=5</formula>
    </cfRule>
    <cfRule type="expression" dxfId="378" priority="30">
      <formula>IFERROR(INDEX(DiasCategorias, L27-FechaInicio+1),0)=6</formula>
    </cfRule>
    <cfRule type="expression" dxfId="377" priority="31">
      <formula>IFERROR(INDEX(DiasCategorias, L27-FechaInicio+1),0)=7</formula>
    </cfRule>
    <cfRule type="expression" dxfId="376" priority="32">
      <formula>IFERROR(INDEX(DiasCategorias, L27-FechaInicio+1),0)=8</formula>
    </cfRule>
    <cfRule type="expression" dxfId="375" priority="33">
      <formula>IFERROR(INDEX(DiasCategorias, L27-FechaInicio+1),0)=9</formula>
    </cfRule>
    <cfRule type="expression" dxfId="374" priority="34">
      <formula>IFERROR(INDEX(DiasCategorias, L27-FechaInicio+1),0)=10</formula>
    </cfRule>
    <cfRule type="expression" dxfId="373" priority="35">
      <formula>IFERROR(INDEX(DiasCategorias, L27-FechaInicio+1),0)=11</formula>
    </cfRule>
    <cfRule type="expression" dxfId="372" priority="36">
      <formula>IFERROR(INDEX(DiasCategorias, L27-FechaInicio+1),0)=12</formula>
    </cfRule>
  </conditionalFormatting>
  <conditionalFormatting sqref="E27:K27">
    <cfRule type="expression" dxfId="371" priority="1">
      <formula>IFERROR(INDEX(DiasCategorias, E27-FechaInicio+1),0)=1</formula>
    </cfRule>
    <cfRule type="expression" dxfId="370" priority="2">
      <formula>IFERROR(INDEX(DiasCategorias, E27-FechaInicio+1),0)=2</formula>
    </cfRule>
    <cfRule type="expression" dxfId="369" priority="3">
      <formula>IFERROR(INDEX(DiasCategorias, E27-FechaInicio+1),0)=3</formula>
    </cfRule>
    <cfRule type="expression" dxfId="368" priority="4">
      <formula>IFERROR(INDEX(DiasCategorias, E27-FechaInicio+1),0)=4</formula>
    </cfRule>
    <cfRule type="expression" dxfId="367" priority="5">
      <formula>IFERROR(INDEX(DiasCategorias, E27-FechaInicio+1),0)=5</formula>
    </cfRule>
    <cfRule type="expression" dxfId="366" priority="6">
      <formula>IFERROR(INDEX(DiasCategorias, E27-FechaInicio+1),0)=6</formula>
    </cfRule>
    <cfRule type="expression" dxfId="365" priority="7">
      <formula>IFERROR(INDEX(DiasCategorias, E27-FechaInicio+1),0)=7</formula>
    </cfRule>
    <cfRule type="expression" dxfId="364" priority="8">
      <formula>IFERROR(INDEX(DiasCategorias, E27-FechaInicio+1),0)=8</formula>
    </cfRule>
    <cfRule type="expression" dxfId="363" priority="9">
      <formula>IFERROR(INDEX(DiasCategorias, E27-FechaInicio+1),0)=9</formula>
    </cfRule>
    <cfRule type="expression" dxfId="362" priority="10">
      <formula>IFERROR(INDEX(DiasCategorias, E27-FechaInicio+1),0)=10</formula>
    </cfRule>
    <cfRule type="expression" dxfId="361" priority="11">
      <formula>IFERROR(INDEX(DiasCategorias, E27-FechaInicio+1),0)=11</formula>
    </cfRule>
    <cfRule type="expression" dxfId="360" priority="12">
      <formula>IFERROR(INDEX(DiasCategorias, E27-FechaInicio+1),0)=12</formula>
    </cfRule>
  </conditionalFormatting>
  <pageMargins left="0.7" right="0.7" top="0.75" bottom="0.75" header="0.3" footer="0.3"/>
  <pageSetup orientation="portrait" r:id="rId1"/>
  <ignoredErrors>
    <ignoredError sqref="X9:X11" formulaRange="1"/>
  </ignoredError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tabColor rgb="FFFF0000"/>
  </sheetPr>
  <dimension ref="A1:V40"/>
  <sheetViews>
    <sheetView workbookViewId="0">
      <selection activeCell="E27" sqref="E27:K27"/>
    </sheetView>
  </sheetViews>
  <sheetFormatPr baseColWidth="10" defaultRowHeight="15" x14ac:dyDescent="0.25"/>
  <cols>
    <col min="2" max="2" width="9.140625" customWidth="1"/>
    <col min="3" max="3" width="27.5703125" bestFit="1" customWidth="1"/>
    <col min="5" max="5" width="13.140625" bestFit="1" customWidth="1"/>
    <col min="6" max="6" width="16.85546875" customWidth="1"/>
    <col min="7" max="7" width="15" customWidth="1"/>
    <col min="8" max="8" width="14.5703125" customWidth="1"/>
    <col min="9" max="9" width="15.140625" customWidth="1"/>
    <col min="10" max="10" width="15.5703125" customWidth="1"/>
    <col min="11" max="20" width="16.140625" customWidth="1"/>
  </cols>
  <sheetData>
    <row r="1" spans="1:22" ht="15" customHeight="1" x14ac:dyDescent="0.25">
      <c r="A1" s="268"/>
      <c r="B1" s="268"/>
      <c r="C1" s="281" t="s">
        <v>8</v>
      </c>
      <c r="D1" s="282"/>
      <c r="E1" s="282"/>
      <c r="F1" s="282"/>
      <c r="G1" s="283"/>
      <c r="H1" s="288"/>
      <c r="I1" s="289"/>
    </row>
    <row r="2" spans="1:22" ht="15.75" customHeight="1" thickBot="1" x14ac:dyDescent="0.3">
      <c r="A2" s="268"/>
      <c r="B2" s="268"/>
      <c r="C2" s="285"/>
      <c r="D2" s="286"/>
      <c r="E2" s="286"/>
      <c r="F2" s="286"/>
      <c r="G2" s="287"/>
      <c r="H2" s="288"/>
      <c r="I2" s="289"/>
    </row>
    <row r="3" spans="1:22" x14ac:dyDescent="0.25">
      <c r="A3" s="268"/>
      <c r="B3" s="268"/>
      <c r="C3" s="268"/>
      <c r="D3" s="268"/>
      <c r="E3" s="268"/>
      <c r="F3" s="268"/>
      <c r="G3" s="268"/>
      <c r="H3" s="268"/>
      <c r="I3" s="268"/>
    </row>
    <row r="4" spans="1:22" x14ac:dyDescent="0.25">
      <c r="A4" s="268"/>
      <c r="B4" s="268"/>
      <c r="C4" s="268"/>
      <c r="D4" s="268"/>
      <c r="E4" s="268"/>
      <c r="F4" s="268"/>
      <c r="G4" s="268"/>
      <c r="H4" s="268"/>
      <c r="I4" s="268"/>
    </row>
    <row r="5" spans="1:22" x14ac:dyDescent="0.25">
      <c r="A5" s="268"/>
      <c r="B5" s="268"/>
      <c r="C5" s="268"/>
      <c r="D5" s="268"/>
      <c r="E5" s="268"/>
      <c r="F5" s="268"/>
      <c r="G5" s="268"/>
      <c r="H5" s="268"/>
      <c r="I5" s="268"/>
    </row>
    <row r="6" spans="1:22" ht="27" x14ac:dyDescent="0.5">
      <c r="A6" s="273" t="s">
        <v>10</v>
      </c>
      <c r="B6" s="273"/>
      <c r="C6" s="268"/>
      <c r="D6" s="268"/>
      <c r="E6" s="268"/>
      <c r="F6" s="268"/>
      <c r="G6" s="268"/>
      <c r="H6" s="268"/>
      <c r="I6" s="268"/>
    </row>
    <row r="7" spans="1:22" ht="27" x14ac:dyDescent="0.5">
      <c r="A7" s="273">
        <v>34</v>
      </c>
      <c r="B7" s="273"/>
      <c r="C7" s="268"/>
      <c r="D7" s="268"/>
      <c r="E7" s="268"/>
      <c r="F7" s="268"/>
      <c r="G7" s="268"/>
      <c r="H7" s="268"/>
      <c r="I7" s="268"/>
    </row>
    <row r="8" spans="1:22" ht="18.75" x14ac:dyDescent="0.4">
      <c r="A8" s="159" t="s">
        <v>14</v>
      </c>
      <c r="B8" s="159" t="s">
        <v>15</v>
      </c>
      <c r="C8" s="159" t="s">
        <v>16</v>
      </c>
      <c r="D8" s="159" t="s">
        <v>114</v>
      </c>
      <c r="E8" s="171" t="s">
        <v>17</v>
      </c>
      <c r="F8" s="160" t="s">
        <v>27</v>
      </c>
      <c r="G8" s="160" t="s">
        <v>19</v>
      </c>
      <c r="H8" s="160" t="s">
        <v>21</v>
      </c>
      <c r="I8" s="160" t="s">
        <v>28</v>
      </c>
      <c r="J8" s="160" t="s">
        <v>29</v>
      </c>
      <c r="K8" s="160" t="s">
        <v>30</v>
      </c>
      <c r="L8" s="160" t="s">
        <v>32</v>
      </c>
      <c r="M8" s="160" t="s">
        <v>33</v>
      </c>
      <c r="N8" s="160" t="s">
        <v>34</v>
      </c>
      <c r="O8" s="160" t="s">
        <v>35</v>
      </c>
      <c r="P8" s="160" t="s">
        <v>36</v>
      </c>
      <c r="Q8" s="160" t="s">
        <v>37</v>
      </c>
      <c r="R8" s="160" t="s">
        <v>38</v>
      </c>
      <c r="S8" s="160" t="s">
        <v>39</v>
      </c>
      <c r="T8" s="160" t="s">
        <v>91</v>
      </c>
      <c r="U8" s="171" t="s">
        <v>4</v>
      </c>
      <c r="V8" s="172" t="s">
        <v>18</v>
      </c>
    </row>
    <row r="9" spans="1:22" x14ac:dyDescent="0.25">
      <c r="A9" s="80"/>
      <c r="B9" s="81"/>
      <c r="C9" s="81"/>
      <c r="D9" s="81"/>
      <c r="E9" s="167"/>
      <c r="F9" s="78"/>
      <c r="G9" s="78"/>
      <c r="H9" s="81"/>
      <c r="I9" s="81"/>
      <c r="J9" s="81"/>
      <c r="K9" s="81"/>
      <c r="L9" s="81"/>
      <c r="M9" s="81"/>
      <c r="N9" s="81"/>
      <c r="O9" s="81"/>
      <c r="P9" s="81"/>
      <c r="Q9" s="81"/>
      <c r="R9" s="81"/>
      <c r="S9" s="81"/>
      <c r="T9" s="81"/>
      <c r="U9" s="17">
        <f>SUM(F9:T9)</f>
        <v>0</v>
      </c>
      <c r="V9" s="166">
        <f>E9-U9</f>
        <v>0</v>
      </c>
    </row>
    <row r="10" spans="1:22" x14ac:dyDescent="0.25">
      <c r="A10" s="80"/>
      <c r="B10" s="81"/>
      <c r="C10" s="81"/>
      <c r="D10" s="81"/>
      <c r="E10" s="167"/>
      <c r="F10" s="78"/>
      <c r="G10" s="78"/>
      <c r="H10" s="78"/>
      <c r="I10" s="78"/>
      <c r="J10" s="78"/>
      <c r="K10" s="81"/>
      <c r="L10" s="81"/>
      <c r="M10" s="81"/>
      <c r="N10" s="81"/>
      <c r="O10" s="81"/>
      <c r="P10" s="81"/>
      <c r="Q10" s="81"/>
      <c r="R10" s="81"/>
      <c r="S10" s="81"/>
      <c r="T10" s="81"/>
      <c r="U10" s="17">
        <f>SUM(F10:T10)</f>
        <v>0</v>
      </c>
      <c r="V10" s="166">
        <f t="shared" ref="V10:V19" si="0">E10-U10</f>
        <v>0</v>
      </c>
    </row>
    <row r="11" spans="1:22" x14ac:dyDescent="0.25">
      <c r="A11" s="80"/>
      <c r="B11" s="81"/>
      <c r="C11" s="81"/>
      <c r="D11" s="81"/>
      <c r="E11" s="167"/>
      <c r="F11" s="78"/>
      <c r="G11" s="78"/>
      <c r="H11" s="78"/>
      <c r="I11" s="78"/>
      <c r="J11" s="78"/>
      <c r="K11" s="81"/>
      <c r="L11" s="81"/>
      <c r="M11" s="81"/>
      <c r="N11" s="81"/>
      <c r="O11" s="81"/>
      <c r="P11" s="81"/>
      <c r="Q11" s="81"/>
      <c r="R11" s="81"/>
      <c r="S11" s="81"/>
      <c r="T11" s="81"/>
      <c r="U11" s="17">
        <f>SUM(F11:T11)</f>
        <v>0</v>
      </c>
      <c r="V11" s="166">
        <f t="shared" si="0"/>
        <v>0</v>
      </c>
    </row>
    <row r="12" spans="1:22" x14ac:dyDescent="0.25">
      <c r="A12" s="80"/>
      <c r="B12" s="81"/>
      <c r="C12" s="81"/>
      <c r="D12" s="81"/>
      <c r="E12" s="167"/>
      <c r="F12" s="78"/>
      <c r="G12" s="78"/>
      <c r="H12" s="78"/>
      <c r="I12" s="78"/>
      <c r="J12" s="78"/>
      <c r="K12" s="81"/>
      <c r="L12" s="81"/>
      <c r="M12" s="81"/>
      <c r="N12" s="81"/>
      <c r="O12" s="81"/>
      <c r="P12" s="81"/>
      <c r="Q12" s="81"/>
      <c r="R12" s="81"/>
      <c r="S12" s="81"/>
      <c r="T12" s="81"/>
      <c r="U12" s="17">
        <f t="shared" ref="U12:U19" si="1">SUM(F12:T12)</f>
        <v>0</v>
      </c>
      <c r="V12" s="166">
        <f t="shared" si="0"/>
        <v>0</v>
      </c>
    </row>
    <row r="13" spans="1:22" x14ac:dyDescent="0.25">
      <c r="A13" s="80"/>
      <c r="B13" s="81"/>
      <c r="C13" s="81"/>
      <c r="D13" s="81"/>
      <c r="E13" s="167"/>
      <c r="F13" s="78"/>
      <c r="G13" s="78"/>
      <c r="H13" s="78"/>
      <c r="I13" s="78"/>
      <c r="J13" s="78"/>
      <c r="K13" s="81"/>
      <c r="L13" s="81"/>
      <c r="M13" s="81"/>
      <c r="N13" s="81"/>
      <c r="O13" s="81"/>
      <c r="P13" s="81"/>
      <c r="Q13" s="81"/>
      <c r="R13" s="81"/>
      <c r="S13" s="81"/>
      <c r="T13" s="81"/>
      <c r="U13" s="17">
        <f t="shared" si="1"/>
        <v>0</v>
      </c>
      <c r="V13" s="166">
        <f t="shared" si="0"/>
        <v>0</v>
      </c>
    </row>
    <row r="14" spans="1:22" x14ac:dyDescent="0.25">
      <c r="A14" s="80"/>
      <c r="B14" s="81"/>
      <c r="C14" s="81"/>
      <c r="D14" s="81"/>
      <c r="E14" s="167"/>
      <c r="F14" s="78"/>
      <c r="G14" s="78"/>
      <c r="H14" s="78"/>
      <c r="I14" s="78"/>
      <c r="J14" s="78"/>
      <c r="K14" s="81"/>
      <c r="L14" s="81"/>
      <c r="M14" s="81"/>
      <c r="N14" s="81"/>
      <c r="O14" s="81"/>
      <c r="P14" s="81"/>
      <c r="Q14" s="81"/>
      <c r="R14" s="81"/>
      <c r="S14" s="81"/>
      <c r="T14" s="81"/>
      <c r="U14" s="17">
        <f t="shared" si="1"/>
        <v>0</v>
      </c>
      <c r="V14" s="166">
        <f t="shared" si="0"/>
        <v>0</v>
      </c>
    </row>
    <row r="15" spans="1:22" x14ac:dyDescent="0.25">
      <c r="A15" s="80"/>
      <c r="B15" s="81"/>
      <c r="C15" s="81"/>
      <c r="D15" s="81"/>
      <c r="E15" s="167"/>
      <c r="F15" s="78"/>
      <c r="G15" s="78"/>
      <c r="H15" s="78"/>
      <c r="I15" s="78"/>
      <c r="J15" s="78"/>
      <c r="K15" s="81"/>
      <c r="L15" s="81"/>
      <c r="M15" s="81"/>
      <c r="N15" s="81"/>
      <c r="O15" s="81"/>
      <c r="P15" s="81"/>
      <c r="Q15" s="81"/>
      <c r="R15" s="81"/>
      <c r="S15" s="81"/>
      <c r="T15" s="81"/>
      <c r="U15" s="17">
        <f t="shared" si="1"/>
        <v>0</v>
      </c>
      <c r="V15" s="166">
        <f t="shared" si="0"/>
        <v>0</v>
      </c>
    </row>
    <row r="16" spans="1:22" x14ac:dyDescent="0.25">
      <c r="A16" s="80"/>
      <c r="B16" s="81"/>
      <c r="C16" s="81"/>
      <c r="D16" s="81"/>
      <c r="E16" s="167"/>
      <c r="F16" s="78"/>
      <c r="G16" s="78"/>
      <c r="H16" s="78"/>
      <c r="I16" s="78"/>
      <c r="J16" s="78"/>
      <c r="K16" s="81"/>
      <c r="L16" s="81"/>
      <c r="M16" s="81"/>
      <c r="N16" s="81"/>
      <c r="O16" s="81"/>
      <c r="P16" s="81"/>
      <c r="Q16" s="81"/>
      <c r="R16" s="81"/>
      <c r="S16" s="81"/>
      <c r="T16" s="81"/>
      <c r="U16" s="17">
        <f t="shared" si="1"/>
        <v>0</v>
      </c>
      <c r="V16" s="166">
        <f t="shared" si="0"/>
        <v>0</v>
      </c>
    </row>
    <row r="17" spans="1:22" x14ac:dyDescent="0.25">
      <c r="A17" s="80"/>
      <c r="B17" s="81"/>
      <c r="C17" s="81"/>
      <c r="D17" s="81"/>
      <c r="E17" s="167"/>
      <c r="F17" s="78"/>
      <c r="G17" s="78"/>
      <c r="H17" s="78"/>
      <c r="I17" s="78"/>
      <c r="J17" s="78"/>
      <c r="K17" s="81"/>
      <c r="L17" s="81"/>
      <c r="M17" s="81"/>
      <c r="N17" s="81"/>
      <c r="O17" s="81"/>
      <c r="P17" s="81"/>
      <c r="Q17" s="81"/>
      <c r="R17" s="81"/>
      <c r="S17" s="81"/>
      <c r="T17" s="81"/>
      <c r="U17" s="17">
        <f t="shared" si="1"/>
        <v>0</v>
      </c>
      <c r="V17" s="166">
        <f t="shared" si="0"/>
        <v>0</v>
      </c>
    </row>
    <row r="18" spans="1:22" x14ac:dyDescent="0.25">
      <c r="A18" s="80"/>
      <c r="B18" s="81"/>
      <c r="C18" s="81"/>
      <c r="D18" s="81"/>
      <c r="E18" s="167"/>
      <c r="F18" s="78"/>
      <c r="G18" s="78"/>
      <c r="H18" s="78"/>
      <c r="I18" s="78"/>
      <c r="J18" s="78"/>
      <c r="K18" s="81"/>
      <c r="L18" s="81"/>
      <c r="M18" s="81"/>
      <c r="N18" s="81"/>
      <c r="O18" s="81"/>
      <c r="P18" s="81"/>
      <c r="Q18" s="81"/>
      <c r="R18" s="81"/>
      <c r="S18" s="81"/>
      <c r="T18" s="81"/>
      <c r="U18" s="17">
        <f t="shared" si="1"/>
        <v>0</v>
      </c>
      <c r="V18" s="166">
        <f t="shared" si="0"/>
        <v>0</v>
      </c>
    </row>
    <row r="19" spans="1:22" x14ac:dyDescent="0.25">
      <c r="A19" s="80"/>
      <c r="B19" s="81"/>
      <c r="C19" s="81"/>
      <c r="D19" s="81"/>
      <c r="E19" s="167"/>
      <c r="F19" s="78"/>
      <c r="G19" s="78"/>
      <c r="H19" s="78"/>
      <c r="I19" s="78"/>
      <c r="J19" s="78"/>
      <c r="K19" s="81"/>
      <c r="L19" s="81"/>
      <c r="M19" s="81"/>
      <c r="N19" s="81"/>
      <c r="O19" s="81"/>
      <c r="P19" s="81"/>
      <c r="Q19" s="81"/>
      <c r="R19" s="81"/>
      <c r="S19" s="81"/>
      <c r="T19" s="81"/>
      <c r="U19" s="17">
        <f t="shared" si="1"/>
        <v>0</v>
      </c>
      <c r="V19" s="166">
        <f t="shared" si="0"/>
        <v>0</v>
      </c>
    </row>
    <row r="20" spans="1:22" x14ac:dyDescent="0.25">
      <c r="A20" s="6" t="s">
        <v>4</v>
      </c>
      <c r="E20" s="17">
        <f>SUM(E9:E19)</f>
        <v>0</v>
      </c>
      <c r="F20" s="12"/>
      <c r="G20" s="12"/>
      <c r="H20" s="12"/>
      <c r="I20" s="12"/>
      <c r="J20" s="12"/>
      <c r="K20" s="6"/>
      <c r="L20" s="6"/>
      <c r="M20" s="6"/>
      <c r="N20" s="6"/>
      <c r="O20" s="6"/>
      <c r="P20" s="6"/>
      <c r="Q20" s="6"/>
      <c r="R20" s="6"/>
      <c r="S20" s="6"/>
      <c r="T20" s="6"/>
      <c r="U20" s="17">
        <f>SUM(U9:U19)</f>
        <v>0</v>
      </c>
      <c r="V20" s="166">
        <f>SUM(V9:V19)</f>
        <v>0</v>
      </c>
    </row>
    <row r="21" spans="1:22" ht="15.75" thickBot="1" x14ac:dyDescent="0.3"/>
    <row r="22" spans="1:22" ht="16.5" thickBot="1" x14ac:dyDescent="0.35">
      <c r="H22" s="291" t="s">
        <v>20</v>
      </c>
      <c r="I22" s="292"/>
      <c r="J22" s="15">
        <f>E20</f>
        <v>0</v>
      </c>
    </row>
    <row r="23" spans="1:22" ht="19.5" thickBot="1" x14ac:dyDescent="0.45">
      <c r="H23" s="279" t="s">
        <v>3</v>
      </c>
      <c r="I23" s="280"/>
      <c r="J23" s="16">
        <f>U20</f>
        <v>0</v>
      </c>
    </row>
    <row r="24" spans="1:22" ht="19.5" thickBot="1" x14ac:dyDescent="0.45">
      <c r="H24" s="279" t="s">
        <v>7</v>
      </c>
      <c r="I24" s="279"/>
      <c r="J24" s="13">
        <f>V20</f>
        <v>0</v>
      </c>
    </row>
    <row r="26" spans="1:22"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c r="S26" s="151"/>
      <c r="T26" s="151"/>
    </row>
    <row r="27" spans="1:22" ht="18.75" x14ac:dyDescent="0.25">
      <c r="D27" s="140" t="s">
        <v>158</v>
      </c>
      <c r="E27" s="141" t="s">
        <v>383</v>
      </c>
      <c r="F27" s="141" t="s">
        <v>384</v>
      </c>
      <c r="G27" s="141" t="s">
        <v>385</v>
      </c>
      <c r="H27" s="141" t="s">
        <v>386</v>
      </c>
      <c r="I27" s="141" t="s">
        <v>387</v>
      </c>
      <c r="J27" s="184" t="s">
        <v>388</v>
      </c>
      <c r="K27" s="184" t="s">
        <v>389</v>
      </c>
      <c r="L27" s="152"/>
      <c r="M27" s="152"/>
      <c r="N27" s="152"/>
      <c r="O27" s="152"/>
      <c r="P27" s="152"/>
      <c r="Q27" s="152"/>
      <c r="R27" s="152"/>
      <c r="S27" s="152"/>
      <c r="T27" s="152"/>
    </row>
    <row r="40" spans="11:11" x14ac:dyDescent="0.25">
      <c r="K40" t="s">
        <v>31</v>
      </c>
    </row>
  </sheetData>
  <sheetProtection algorithmName="SHA-512" hashValue="mY5qC+ZxpDpbSRjjt3lNHJ5yYmciJGA+j9YdKUgHM+h06H/wExAGEnnQsC8cQZDNSYE9GOarQ69WzHA9Mwv+gA==" saltValue="Gv4CBBOBwHnofMIwo6QoLw==" spinCount="100000" sheet="1" formatCells="0" formatColumns="0" formatRows="0" insertColumns="0" insertRows="0" insertHyperlinks="0" deleteColumns="0" deleteRows="0" sort="0" autoFilter="0" pivotTables="0"/>
  <autoFilter ref="A8:V8" xr:uid="{00000000-0001-0000-0200-000000000000}"/>
  <mergeCells count="9">
    <mergeCell ref="H22:I22"/>
    <mergeCell ref="H23:I23"/>
    <mergeCell ref="H24:I24"/>
    <mergeCell ref="A1:B5"/>
    <mergeCell ref="C1:G2"/>
    <mergeCell ref="H1:I2"/>
    <mergeCell ref="C3:I7"/>
    <mergeCell ref="A6:B6"/>
    <mergeCell ref="A7:B7"/>
  </mergeCells>
  <phoneticPr fontId="18" type="noConversion"/>
  <conditionalFormatting sqref="L27:T27">
    <cfRule type="expression" dxfId="359" priority="25">
      <formula>IFERROR(INDEX(DiasCategorias, L27-FechaInicio+1),0)=1</formula>
    </cfRule>
    <cfRule type="expression" dxfId="358" priority="26">
      <formula>IFERROR(INDEX(DiasCategorias, L27-FechaInicio+1),0)=2</formula>
    </cfRule>
    <cfRule type="expression" dxfId="357" priority="27">
      <formula>IFERROR(INDEX(DiasCategorias, L27-FechaInicio+1),0)=3</formula>
    </cfRule>
    <cfRule type="expression" dxfId="356" priority="28">
      <formula>IFERROR(INDEX(DiasCategorias, L27-FechaInicio+1),0)=4</formula>
    </cfRule>
    <cfRule type="expression" dxfId="355" priority="29">
      <formula>IFERROR(INDEX(DiasCategorias, L27-FechaInicio+1),0)=5</formula>
    </cfRule>
    <cfRule type="expression" dxfId="354" priority="30">
      <formula>IFERROR(INDEX(DiasCategorias, L27-FechaInicio+1),0)=6</formula>
    </cfRule>
    <cfRule type="expression" dxfId="353" priority="31">
      <formula>IFERROR(INDEX(DiasCategorias, L27-FechaInicio+1),0)=7</formula>
    </cfRule>
    <cfRule type="expression" dxfId="352" priority="32">
      <formula>IFERROR(INDEX(DiasCategorias, L27-FechaInicio+1),0)=8</formula>
    </cfRule>
    <cfRule type="expression" dxfId="351" priority="33">
      <formula>IFERROR(INDEX(DiasCategorias, L27-FechaInicio+1),0)=9</formula>
    </cfRule>
    <cfRule type="expression" dxfId="350" priority="34">
      <formula>IFERROR(INDEX(DiasCategorias, L27-FechaInicio+1),0)=10</formula>
    </cfRule>
    <cfRule type="expression" dxfId="349" priority="35">
      <formula>IFERROR(INDEX(DiasCategorias, L27-FechaInicio+1),0)=11</formula>
    </cfRule>
    <cfRule type="expression" dxfId="348" priority="36">
      <formula>IFERROR(INDEX(DiasCategorias, L27-FechaInicio+1),0)=12</formula>
    </cfRule>
  </conditionalFormatting>
  <conditionalFormatting sqref="E27:K27">
    <cfRule type="expression" dxfId="347" priority="1">
      <formula>IFERROR(INDEX(DiasCategorias, E27-FechaInicio+1),0)=1</formula>
    </cfRule>
    <cfRule type="expression" dxfId="346" priority="2">
      <formula>IFERROR(INDEX(DiasCategorias, E27-FechaInicio+1),0)=2</formula>
    </cfRule>
    <cfRule type="expression" dxfId="345" priority="3">
      <formula>IFERROR(INDEX(DiasCategorias, E27-FechaInicio+1),0)=3</formula>
    </cfRule>
    <cfRule type="expression" dxfId="344" priority="4">
      <formula>IFERROR(INDEX(DiasCategorias, E27-FechaInicio+1),0)=4</formula>
    </cfRule>
    <cfRule type="expression" dxfId="343" priority="5">
      <formula>IFERROR(INDEX(DiasCategorias, E27-FechaInicio+1),0)=5</formula>
    </cfRule>
    <cfRule type="expression" dxfId="342" priority="6">
      <formula>IFERROR(INDEX(DiasCategorias, E27-FechaInicio+1),0)=6</formula>
    </cfRule>
    <cfRule type="expression" dxfId="341" priority="7">
      <formula>IFERROR(INDEX(DiasCategorias, E27-FechaInicio+1),0)=7</formula>
    </cfRule>
    <cfRule type="expression" dxfId="340" priority="8">
      <formula>IFERROR(INDEX(DiasCategorias, E27-FechaInicio+1),0)=8</formula>
    </cfRule>
    <cfRule type="expression" dxfId="339" priority="9">
      <formula>IFERROR(INDEX(DiasCategorias, E27-FechaInicio+1),0)=9</formula>
    </cfRule>
    <cfRule type="expression" dxfId="338" priority="10">
      <formula>IFERROR(INDEX(DiasCategorias, E27-FechaInicio+1),0)=10</formula>
    </cfRule>
    <cfRule type="expression" dxfId="337" priority="11">
      <formula>IFERROR(INDEX(DiasCategorias, E27-FechaInicio+1),0)=11</formula>
    </cfRule>
    <cfRule type="expression" dxfId="336" priority="12">
      <formula>IFERROR(INDEX(DiasCategorias, E27-FechaInicio+1),0)=12</formula>
    </cfRule>
  </conditionalFormatting>
  <pageMargins left="0.7" right="0.7" top="0.75" bottom="0.75" header="0.3" footer="0.3"/>
  <pageSetup orientation="portrait" r:id="rId1"/>
  <ignoredErrors>
    <ignoredError sqref="U9:U11" formulaRange="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rgb="FFFFC000"/>
  </sheetPr>
  <dimension ref="A1:U40"/>
  <sheetViews>
    <sheetView workbookViewId="0">
      <selection activeCell="E27" sqref="E27:K27"/>
    </sheetView>
  </sheetViews>
  <sheetFormatPr baseColWidth="10" defaultRowHeight="15" x14ac:dyDescent="0.25"/>
  <cols>
    <col min="2" max="2" width="9.140625" customWidth="1"/>
    <col min="3" max="3" width="37.7109375" bestFit="1" customWidth="1"/>
    <col min="4" max="4" width="14.7109375" bestFit="1" customWidth="1"/>
    <col min="5" max="5" width="13.140625" bestFit="1" customWidth="1"/>
    <col min="6" max="6" width="15.42578125" customWidth="1"/>
    <col min="7" max="18" width="15.42578125" bestFit="1" customWidth="1"/>
  </cols>
  <sheetData>
    <row r="1" spans="1:21" ht="15" customHeight="1" x14ac:dyDescent="0.25">
      <c r="A1" s="268"/>
      <c r="B1" s="268"/>
      <c r="C1" s="281" t="s">
        <v>8</v>
      </c>
      <c r="D1" s="282"/>
      <c r="E1" s="282"/>
      <c r="F1" s="282"/>
      <c r="G1" s="283"/>
      <c r="H1" s="288"/>
      <c r="I1" s="289"/>
    </row>
    <row r="2" spans="1:21" ht="15.75" customHeight="1" thickBot="1" x14ac:dyDescent="0.3">
      <c r="A2" s="268"/>
      <c r="B2" s="268"/>
      <c r="C2" s="285"/>
      <c r="D2" s="286"/>
      <c r="E2" s="286"/>
      <c r="F2" s="286"/>
      <c r="G2" s="287"/>
      <c r="H2" s="288"/>
      <c r="I2" s="289"/>
    </row>
    <row r="3" spans="1:21" x14ac:dyDescent="0.25">
      <c r="A3" s="268"/>
      <c r="B3" s="268"/>
      <c r="C3" s="268"/>
      <c r="D3" s="268"/>
      <c r="E3" s="268"/>
      <c r="F3" s="268"/>
      <c r="G3" s="268"/>
      <c r="H3" s="268"/>
      <c r="I3" s="268"/>
    </row>
    <row r="4" spans="1:21" x14ac:dyDescent="0.25">
      <c r="A4" s="268"/>
      <c r="B4" s="268"/>
      <c r="C4" s="268"/>
      <c r="D4" s="268"/>
      <c r="E4" s="268"/>
      <c r="F4" s="268"/>
      <c r="G4" s="268"/>
      <c r="H4" s="268"/>
      <c r="I4" s="268"/>
    </row>
    <row r="5" spans="1:21" x14ac:dyDescent="0.25">
      <c r="A5" s="268"/>
      <c r="B5" s="268"/>
      <c r="C5" s="268"/>
      <c r="D5" s="268"/>
      <c r="E5" s="268"/>
      <c r="F5" s="268"/>
      <c r="G5" s="268"/>
      <c r="H5" s="268"/>
      <c r="I5" s="268"/>
    </row>
    <row r="6" spans="1:21" ht="27" x14ac:dyDescent="0.5">
      <c r="A6" s="273" t="s">
        <v>10</v>
      </c>
      <c r="B6" s="273"/>
      <c r="C6" s="268"/>
      <c r="D6" s="268"/>
      <c r="E6" s="268"/>
      <c r="F6" s="268"/>
      <c r="G6" s="268"/>
      <c r="H6" s="268"/>
      <c r="I6" s="268"/>
    </row>
    <row r="7" spans="1:21" ht="27.75" thickBot="1" x14ac:dyDescent="0.55000000000000004">
      <c r="A7" s="274">
        <v>35</v>
      </c>
      <c r="B7" s="274"/>
      <c r="C7" s="296"/>
      <c r="D7" s="296"/>
      <c r="E7" s="296"/>
      <c r="F7" s="296"/>
      <c r="G7" s="296"/>
      <c r="H7" s="296"/>
      <c r="I7" s="296"/>
    </row>
    <row r="8" spans="1:21" ht="19.5" thickBot="1" x14ac:dyDescent="0.45">
      <c r="A8" s="29" t="s">
        <v>14</v>
      </c>
      <c r="B8" s="29" t="s">
        <v>15</v>
      </c>
      <c r="C8" s="29" t="s">
        <v>16</v>
      </c>
      <c r="D8" s="29" t="s">
        <v>114</v>
      </c>
      <c r="E8" s="30" t="s">
        <v>17</v>
      </c>
      <c r="F8" s="31" t="s">
        <v>19</v>
      </c>
      <c r="G8" s="31" t="s">
        <v>21</v>
      </c>
      <c r="H8" s="31" t="s">
        <v>28</v>
      </c>
      <c r="I8" s="31" t="s">
        <v>29</v>
      </c>
      <c r="J8" s="31" t="s">
        <v>30</v>
      </c>
      <c r="K8" s="31" t="s">
        <v>32</v>
      </c>
      <c r="L8" s="31" t="s">
        <v>33</v>
      </c>
      <c r="M8" s="31" t="s">
        <v>34</v>
      </c>
      <c r="N8" s="31" t="s">
        <v>35</v>
      </c>
      <c r="O8" s="31" t="s">
        <v>36</v>
      </c>
      <c r="P8" s="31" t="s">
        <v>37</v>
      </c>
      <c r="Q8" s="31" t="s">
        <v>38</v>
      </c>
      <c r="R8" s="31" t="s">
        <v>39</v>
      </c>
      <c r="S8" s="32" t="s">
        <v>4</v>
      </c>
      <c r="T8" s="173" t="s">
        <v>18</v>
      </c>
    </row>
    <row r="9" spans="1:21" ht="15.75" thickBot="1" x14ac:dyDescent="0.3">
      <c r="A9" s="80"/>
      <c r="B9" s="81"/>
      <c r="C9" s="81"/>
      <c r="D9" s="81"/>
      <c r="E9" s="167"/>
      <c r="F9" s="78"/>
      <c r="G9" s="78"/>
      <c r="H9" s="78"/>
      <c r="I9" s="82"/>
      <c r="J9" s="82"/>
      <c r="K9" s="82"/>
      <c r="L9" s="82"/>
      <c r="M9" s="82"/>
      <c r="N9" s="82"/>
      <c r="O9" s="82"/>
      <c r="P9" s="82"/>
      <c r="Q9" s="82"/>
      <c r="R9" s="82"/>
      <c r="S9" s="207">
        <f>SUM(F9:R9)</f>
        <v>0</v>
      </c>
      <c r="T9" s="165">
        <f>E9-S9</f>
        <v>0</v>
      </c>
      <c r="U9">
        <f>_xlfn.ISOWEEKNUM(A9)</f>
        <v>52</v>
      </c>
    </row>
    <row r="10" spans="1:21" ht="15.75" thickBot="1" x14ac:dyDescent="0.3">
      <c r="A10" s="80"/>
      <c r="B10" s="81"/>
      <c r="C10" s="81"/>
      <c r="D10" s="81"/>
      <c r="E10" s="167"/>
      <c r="F10" s="78"/>
      <c r="G10" s="78"/>
      <c r="H10" s="78"/>
      <c r="I10" s="82"/>
      <c r="J10" s="82"/>
      <c r="K10" s="79"/>
      <c r="L10" s="79"/>
      <c r="M10" s="79"/>
      <c r="N10" s="79"/>
      <c r="O10" s="79"/>
      <c r="P10" s="79"/>
      <c r="Q10" s="79"/>
      <c r="R10" s="79"/>
      <c r="S10" s="16">
        <f t="shared" ref="S10:S19" si="0">SUM(F10:R10)</f>
        <v>0</v>
      </c>
      <c r="T10" s="165">
        <f t="shared" ref="T10:T19" si="1">E10-S10</f>
        <v>0</v>
      </c>
    </row>
    <row r="11" spans="1:21" ht="15.75" thickBot="1" x14ac:dyDescent="0.3">
      <c r="A11" s="80"/>
      <c r="B11" s="81"/>
      <c r="C11" s="81"/>
      <c r="D11" s="81"/>
      <c r="E11" s="167"/>
      <c r="F11" s="78"/>
      <c r="G11" s="78"/>
      <c r="H11" s="78"/>
      <c r="I11" s="82"/>
      <c r="J11" s="82"/>
      <c r="K11" s="79"/>
      <c r="L11" s="79"/>
      <c r="M11" s="79"/>
      <c r="N11" s="79"/>
      <c r="O11" s="79"/>
      <c r="P11" s="79"/>
      <c r="Q11" s="79"/>
      <c r="R11" s="79"/>
      <c r="S11" s="16">
        <f t="shared" si="0"/>
        <v>0</v>
      </c>
      <c r="T11" s="165">
        <f t="shared" si="1"/>
        <v>0</v>
      </c>
    </row>
    <row r="12" spans="1:21" ht="15.75" thickBot="1" x14ac:dyDescent="0.3">
      <c r="A12" s="80"/>
      <c r="B12" s="81"/>
      <c r="C12" s="81"/>
      <c r="D12" s="81"/>
      <c r="E12" s="167"/>
      <c r="F12" s="78"/>
      <c r="G12" s="78"/>
      <c r="H12" s="78"/>
      <c r="I12" s="82"/>
      <c r="J12" s="82"/>
      <c r="K12" s="79"/>
      <c r="L12" s="79"/>
      <c r="M12" s="79"/>
      <c r="N12" s="79"/>
      <c r="O12" s="79"/>
      <c r="P12" s="79"/>
      <c r="Q12" s="79"/>
      <c r="R12" s="79"/>
      <c r="S12" s="16">
        <f t="shared" si="0"/>
        <v>0</v>
      </c>
      <c r="T12" s="165">
        <f t="shared" si="1"/>
        <v>0</v>
      </c>
    </row>
    <row r="13" spans="1:21" ht="15.75" thickBot="1" x14ac:dyDescent="0.3">
      <c r="A13" s="80"/>
      <c r="B13" s="81"/>
      <c r="C13" s="81"/>
      <c r="D13" s="81"/>
      <c r="E13" s="167"/>
      <c r="F13" s="78"/>
      <c r="G13" s="78"/>
      <c r="H13" s="78"/>
      <c r="I13" s="82"/>
      <c r="J13" s="82"/>
      <c r="K13" s="79"/>
      <c r="L13" s="79"/>
      <c r="M13" s="79"/>
      <c r="N13" s="79"/>
      <c r="O13" s="79"/>
      <c r="P13" s="79"/>
      <c r="Q13" s="79"/>
      <c r="R13" s="79"/>
      <c r="S13" s="16">
        <f t="shared" si="0"/>
        <v>0</v>
      </c>
      <c r="T13" s="165">
        <f t="shared" si="1"/>
        <v>0</v>
      </c>
    </row>
    <row r="14" spans="1:21" ht="15.75" thickBot="1" x14ac:dyDescent="0.3">
      <c r="A14" s="80"/>
      <c r="B14" s="81"/>
      <c r="C14" s="81"/>
      <c r="D14" s="81"/>
      <c r="E14" s="167"/>
      <c r="F14" s="78"/>
      <c r="G14" s="78"/>
      <c r="H14" s="78"/>
      <c r="I14" s="82"/>
      <c r="J14" s="82"/>
      <c r="K14" s="79"/>
      <c r="L14" s="79"/>
      <c r="M14" s="79"/>
      <c r="N14" s="79"/>
      <c r="O14" s="79"/>
      <c r="P14" s="79"/>
      <c r="Q14" s="79"/>
      <c r="R14" s="79"/>
      <c r="S14" s="16">
        <f t="shared" si="0"/>
        <v>0</v>
      </c>
      <c r="T14" s="165">
        <f t="shared" si="1"/>
        <v>0</v>
      </c>
    </row>
    <row r="15" spans="1:21" ht="15.75" thickBot="1" x14ac:dyDescent="0.3">
      <c r="A15" s="80"/>
      <c r="B15" s="81"/>
      <c r="C15" s="81"/>
      <c r="D15" s="81"/>
      <c r="E15" s="167"/>
      <c r="F15" s="78"/>
      <c r="G15" s="78"/>
      <c r="H15" s="78"/>
      <c r="I15" s="82"/>
      <c r="J15" s="82"/>
      <c r="K15" s="79"/>
      <c r="L15" s="79"/>
      <c r="M15" s="79"/>
      <c r="N15" s="79"/>
      <c r="O15" s="79"/>
      <c r="P15" s="79"/>
      <c r="Q15" s="79"/>
      <c r="R15" s="79"/>
      <c r="S15" s="16">
        <f t="shared" si="0"/>
        <v>0</v>
      </c>
      <c r="T15" s="165">
        <f t="shared" si="1"/>
        <v>0</v>
      </c>
    </row>
    <row r="16" spans="1:21" ht="15.75" thickBot="1" x14ac:dyDescent="0.3">
      <c r="A16" s="80"/>
      <c r="B16" s="81"/>
      <c r="C16" s="81"/>
      <c r="D16" s="81"/>
      <c r="E16" s="167"/>
      <c r="F16" s="78"/>
      <c r="G16" s="78"/>
      <c r="H16" s="78"/>
      <c r="I16" s="82"/>
      <c r="J16" s="82"/>
      <c r="K16" s="79"/>
      <c r="L16" s="79"/>
      <c r="M16" s="79"/>
      <c r="N16" s="79"/>
      <c r="O16" s="79"/>
      <c r="P16" s="79"/>
      <c r="Q16" s="79"/>
      <c r="R16" s="79"/>
      <c r="S16" s="16">
        <f t="shared" si="0"/>
        <v>0</v>
      </c>
      <c r="T16" s="165">
        <f t="shared" si="1"/>
        <v>0</v>
      </c>
    </row>
    <row r="17" spans="1:20" ht="15.75" thickBot="1" x14ac:dyDescent="0.3">
      <c r="A17" s="80"/>
      <c r="B17" s="81"/>
      <c r="C17" s="81"/>
      <c r="D17" s="81"/>
      <c r="E17" s="167"/>
      <c r="F17" s="78"/>
      <c r="G17" s="78"/>
      <c r="H17" s="78"/>
      <c r="I17" s="82"/>
      <c r="J17" s="82"/>
      <c r="K17" s="79"/>
      <c r="L17" s="79"/>
      <c r="M17" s="79"/>
      <c r="N17" s="79"/>
      <c r="O17" s="79"/>
      <c r="P17" s="79"/>
      <c r="Q17" s="79"/>
      <c r="R17" s="79"/>
      <c r="S17" s="16">
        <f t="shared" si="0"/>
        <v>0</v>
      </c>
      <c r="T17" s="165">
        <f t="shared" si="1"/>
        <v>0</v>
      </c>
    </row>
    <row r="18" spans="1:20" ht="15.75" thickBot="1" x14ac:dyDescent="0.3">
      <c r="A18" s="80"/>
      <c r="B18" s="81"/>
      <c r="C18" s="81"/>
      <c r="D18" s="81"/>
      <c r="E18" s="167"/>
      <c r="F18" s="78"/>
      <c r="G18" s="78"/>
      <c r="H18" s="78"/>
      <c r="I18" s="82"/>
      <c r="J18" s="82"/>
      <c r="K18" s="79"/>
      <c r="L18" s="79"/>
      <c r="M18" s="79"/>
      <c r="N18" s="79"/>
      <c r="O18" s="79"/>
      <c r="P18" s="79"/>
      <c r="Q18" s="79"/>
      <c r="R18" s="79"/>
      <c r="S18" s="16">
        <f t="shared" si="0"/>
        <v>0</v>
      </c>
      <c r="T18" s="165">
        <f t="shared" si="1"/>
        <v>0</v>
      </c>
    </row>
    <row r="19" spans="1:20" ht="15.75" thickBot="1" x14ac:dyDescent="0.3">
      <c r="A19" s="80"/>
      <c r="B19" s="81"/>
      <c r="C19" s="81"/>
      <c r="D19" s="81"/>
      <c r="E19" s="167"/>
      <c r="F19" s="78"/>
      <c r="G19" s="78"/>
      <c r="H19" s="78"/>
      <c r="I19" s="82"/>
      <c r="J19" s="82"/>
      <c r="K19" s="79"/>
      <c r="L19" s="79"/>
      <c r="M19" s="79"/>
      <c r="N19" s="79"/>
      <c r="O19" s="79"/>
      <c r="P19" s="79"/>
      <c r="Q19" s="79"/>
      <c r="R19" s="79"/>
      <c r="S19" s="16">
        <f t="shared" si="0"/>
        <v>0</v>
      </c>
      <c r="T19" s="165">
        <f t="shared" si="1"/>
        <v>0</v>
      </c>
    </row>
    <row r="20" spans="1:20" ht="15.75" thickBot="1" x14ac:dyDescent="0.3">
      <c r="A20" t="s">
        <v>4</v>
      </c>
      <c r="E20" s="16">
        <f>SUM(E9:E19)</f>
        <v>0</v>
      </c>
      <c r="F20" s="14"/>
      <c r="G20" s="14"/>
      <c r="H20" s="14"/>
      <c r="I20" s="14"/>
      <c r="J20" s="14"/>
      <c r="K20" s="10"/>
      <c r="L20" s="10"/>
      <c r="M20" s="10"/>
      <c r="N20" s="10"/>
      <c r="O20" s="10"/>
      <c r="P20" s="10"/>
      <c r="Q20" s="10"/>
      <c r="R20" s="10"/>
      <c r="S20" s="17">
        <f>SUM(S9:S19)</f>
        <v>0</v>
      </c>
      <c r="T20" s="166">
        <f>SUM(T9:T19)</f>
        <v>0</v>
      </c>
    </row>
    <row r="21" spans="1:20" ht="15.75" thickBot="1" x14ac:dyDescent="0.3"/>
    <row r="22" spans="1:20" ht="16.5" thickBot="1" x14ac:dyDescent="0.35">
      <c r="H22" s="291" t="s">
        <v>20</v>
      </c>
      <c r="I22" s="292"/>
      <c r="J22" s="15">
        <f>E20</f>
        <v>0</v>
      </c>
    </row>
    <row r="23" spans="1:20" ht="19.5" thickBot="1" x14ac:dyDescent="0.45">
      <c r="H23" s="279" t="s">
        <v>3</v>
      </c>
      <c r="I23" s="280"/>
      <c r="J23" s="16">
        <f>S20</f>
        <v>0</v>
      </c>
    </row>
    <row r="24" spans="1:20" ht="19.5" thickBot="1" x14ac:dyDescent="0.45">
      <c r="H24" s="279" t="s">
        <v>7</v>
      </c>
      <c r="I24" s="279"/>
      <c r="J24" s="13">
        <f>T20</f>
        <v>0</v>
      </c>
    </row>
    <row r="26" spans="1:20" ht="18.75" x14ac:dyDescent="0.25">
      <c r="D26" s="137">
        <v>45292</v>
      </c>
      <c r="E26" s="138" t="s">
        <v>47</v>
      </c>
      <c r="F26" s="138" t="s">
        <v>41</v>
      </c>
      <c r="G26" s="138" t="s">
        <v>42</v>
      </c>
      <c r="H26" s="138" t="s">
        <v>43</v>
      </c>
      <c r="I26" s="138" t="s">
        <v>44</v>
      </c>
      <c r="J26" s="139" t="s">
        <v>45</v>
      </c>
      <c r="K26" s="139" t="s">
        <v>46</v>
      </c>
      <c r="L26" s="151"/>
      <c r="M26" s="151"/>
      <c r="N26" s="151"/>
      <c r="O26" s="151"/>
      <c r="P26" s="151"/>
      <c r="Q26" s="151"/>
      <c r="R26" s="151"/>
    </row>
    <row r="27" spans="1:20" ht="18.75" x14ac:dyDescent="0.25">
      <c r="D27" s="140" t="s">
        <v>159</v>
      </c>
      <c r="E27" s="141" t="s">
        <v>390</v>
      </c>
      <c r="F27" s="141" t="s">
        <v>391</v>
      </c>
      <c r="G27" s="141" t="s">
        <v>392</v>
      </c>
      <c r="H27" s="141" t="s">
        <v>393</v>
      </c>
      <c r="I27" s="141" t="s">
        <v>394</v>
      </c>
      <c r="J27" s="184" t="s">
        <v>395</v>
      </c>
      <c r="K27" s="184" t="s">
        <v>396</v>
      </c>
      <c r="L27" s="152"/>
      <c r="M27" s="152"/>
      <c r="N27" s="152"/>
      <c r="O27" s="152"/>
      <c r="P27" s="152"/>
      <c r="Q27" s="152"/>
      <c r="R27" s="152"/>
    </row>
    <row r="40" spans="11:11" x14ac:dyDescent="0.25">
      <c r="K40" t="s">
        <v>31</v>
      </c>
    </row>
  </sheetData>
  <sheetProtection algorithmName="SHA-512" hashValue="zl0xhPTYgyzdv89hYvYeKvx7GblQ9ZpIzifxc3ZCsoXEffTHiMl/GUeMPDK6rzuk4NiFsg35/7uLS/rguJIPbw==" saltValue="JGV5GDjCxid2dIbIGt/LWQ==" spinCount="100000" sheet="1" formatCells="0" formatColumns="0" formatRows="0" insertColumns="0" insertRows="0" insertHyperlinks="0" deleteColumns="0" deleteRows="0" sort="0" autoFilter="0" pivotTables="0"/>
  <autoFilter ref="A8:T8" xr:uid="{00000000-0001-0000-0300-000000000000}"/>
  <mergeCells count="9">
    <mergeCell ref="H22:I22"/>
    <mergeCell ref="H23:I23"/>
    <mergeCell ref="H24:I24"/>
    <mergeCell ref="A1:B5"/>
    <mergeCell ref="C1:G2"/>
    <mergeCell ref="H1:I2"/>
    <mergeCell ref="C3:I7"/>
    <mergeCell ref="A6:B6"/>
    <mergeCell ref="A7:B7"/>
  </mergeCells>
  <phoneticPr fontId="18" type="noConversion"/>
  <conditionalFormatting sqref="L27:R27">
    <cfRule type="expression" dxfId="335" priority="25">
      <formula>IFERROR(INDEX(DiasCategorias, L27-FechaInicio+1),0)=1</formula>
    </cfRule>
    <cfRule type="expression" dxfId="334" priority="26">
      <formula>IFERROR(INDEX(DiasCategorias, L27-FechaInicio+1),0)=2</formula>
    </cfRule>
    <cfRule type="expression" dxfId="333" priority="27">
      <formula>IFERROR(INDEX(DiasCategorias, L27-FechaInicio+1),0)=3</formula>
    </cfRule>
    <cfRule type="expression" dxfId="332" priority="28">
      <formula>IFERROR(INDEX(DiasCategorias, L27-FechaInicio+1),0)=4</formula>
    </cfRule>
    <cfRule type="expression" dxfId="331" priority="29">
      <formula>IFERROR(INDEX(DiasCategorias, L27-FechaInicio+1),0)=5</formula>
    </cfRule>
    <cfRule type="expression" dxfId="330" priority="30">
      <formula>IFERROR(INDEX(DiasCategorias, L27-FechaInicio+1),0)=6</formula>
    </cfRule>
    <cfRule type="expression" dxfId="329" priority="31">
      <formula>IFERROR(INDEX(DiasCategorias, L27-FechaInicio+1),0)=7</formula>
    </cfRule>
    <cfRule type="expression" dxfId="328" priority="32">
      <formula>IFERROR(INDEX(DiasCategorias, L27-FechaInicio+1),0)=8</formula>
    </cfRule>
    <cfRule type="expression" dxfId="327" priority="33">
      <formula>IFERROR(INDEX(DiasCategorias, L27-FechaInicio+1),0)=9</formula>
    </cfRule>
    <cfRule type="expression" dxfId="326" priority="34">
      <formula>IFERROR(INDEX(DiasCategorias, L27-FechaInicio+1),0)=10</formula>
    </cfRule>
    <cfRule type="expression" dxfId="325" priority="35">
      <formula>IFERROR(INDEX(DiasCategorias, L27-FechaInicio+1),0)=11</formula>
    </cfRule>
    <cfRule type="expression" dxfId="324" priority="36">
      <formula>IFERROR(INDEX(DiasCategorias, L27-FechaInicio+1),0)=12</formula>
    </cfRule>
  </conditionalFormatting>
  <conditionalFormatting sqref="E27:K27">
    <cfRule type="expression" dxfId="323" priority="1">
      <formula>IFERROR(INDEX(DiasCategorias, E27-FechaInicio+1),0)=1</formula>
    </cfRule>
    <cfRule type="expression" dxfId="322" priority="2">
      <formula>IFERROR(INDEX(DiasCategorias, E27-FechaInicio+1),0)=2</formula>
    </cfRule>
    <cfRule type="expression" dxfId="321" priority="3">
      <formula>IFERROR(INDEX(DiasCategorias, E27-FechaInicio+1),0)=3</formula>
    </cfRule>
    <cfRule type="expression" dxfId="320" priority="4">
      <formula>IFERROR(INDEX(DiasCategorias, E27-FechaInicio+1),0)=4</formula>
    </cfRule>
    <cfRule type="expression" dxfId="319" priority="5">
      <formula>IFERROR(INDEX(DiasCategorias, E27-FechaInicio+1),0)=5</formula>
    </cfRule>
    <cfRule type="expression" dxfId="318" priority="6">
      <formula>IFERROR(INDEX(DiasCategorias, E27-FechaInicio+1),0)=6</formula>
    </cfRule>
    <cfRule type="expression" dxfId="317" priority="7">
      <formula>IFERROR(INDEX(DiasCategorias, E27-FechaInicio+1),0)=7</formula>
    </cfRule>
    <cfRule type="expression" dxfId="316" priority="8">
      <formula>IFERROR(INDEX(DiasCategorias, E27-FechaInicio+1),0)=8</formula>
    </cfRule>
    <cfRule type="expression" dxfId="315" priority="9">
      <formula>IFERROR(INDEX(DiasCategorias, E27-FechaInicio+1),0)=9</formula>
    </cfRule>
    <cfRule type="expression" dxfId="314" priority="10">
      <formula>IFERROR(INDEX(DiasCategorias, E27-FechaInicio+1),0)=10</formula>
    </cfRule>
    <cfRule type="expression" dxfId="313" priority="11">
      <formula>IFERROR(INDEX(DiasCategorias, E27-FechaInicio+1),0)=11</formula>
    </cfRule>
    <cfRule type="expression" dxfId="312" priority="12">
      <formula>IFERROR(INDEX(DiasCategorias, E27-FechaInicio+1),0)=12</formula>
    </cfRule>
  </conditionalFormatting>
  <pageMargins left="0.7" right="0.7" top="0.75" bottom="0.75" header="0.3" footer="0.3"/>
  <ignoredErrors>
    <ignoredError sqref="S9:S19" formulaRange="1"/>
  </ignoredError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6A71D-EF33-407C-9C77-D0866638A249}">
  <sheetPr codeName="Hoja7">
    <tabColor rgb="FFFFFF00"/>
  </sheetPr>
  <dimension ref="A1:R40"/>
  <sheetViews>
    <sheetView workbookViewId="0">
      <selection activeCell="E27" sqref="E27:K27"/>
    </sheetView>
  </sheetViews>
  <sheetFormatPr baseColWidth="10" defaultRowHeight="15" x14ac:dyDescent="0.25"/>
  <cols>
    <col min="2" max="2" width="9.140625" customWidth="1"/>
    <col min="3" max="3" width="37.7109375" bestFit="1" customWidth="1"/>
    <col min="4" max="4" width="14.7109375" bestFit="1" customWidth="1"/>
    <col min="5" max="5" width="14" customWidth="1"/>
    <col min="6" max="6" width="15.42578125" customWidth="1"/>
    <col min="7" max="7" width="16.140625" customWidth="1"/>
    <col min="8" max="9" width="15.28515625" bestFit="1" customWidth="1"/>
    <col min="10" max="10" width="16" customWidth="1"/>
    <col min="11" max="15" width="14.7109375" customWidth="1"/>
  </cols>
  <sheetData>
    <row r="1" spans="1:18" ht="15" customHeight="1" x14ac:dyDescent="0.25">
      <c r="A1" s="268"/>
      <c r="B1" s="268"/>
      <c r="C1" s="281" t="s">
        <v>8</v>
      </c>
      <c r="D1" s="282"/>
      <c r="E1" s="282"/>
      <c r="F1" s="282"/>
      <c r="G1" s="283"/>
      <c r="H1" s="288"/>
      <c r="I1" s="289"/>
    </row>
    <row r="2" spans="1:18" ht="15.75" customHeight="1" thickBot="1" x14ac:dyDescent="0.3">
      <c r="A2" s="268"/>
      <c r="B2" s="268"/>
      <c r="C2" s="285"/>
      <c r="D2" s="286"/>
      <c r="E2" s="286"/>
      <c r="F2" s="286"/>
      <c r="G2" s="287"/>
      <c r="H2" s="288"/>
      <c r="I2" s="289"/>
    </row>
    <row r="3" spans="1:18" x14ac:dyDescent="0.25">
      <c r="A3" s="268"/>
      <c r="B3" s="268"/>
      <c r="C3" s="268"/>
      <c r="D3" s="268"/>
      <c r="E3" s="268"/>
      <c r="F3" s="268"/>
      <c r="G3" s="268"/>
      <c r="H3" s="268"/>
      <c r="I3" s="268"/>
    </row>
    <row r="4" spans="1:18" x14ac:dyDescent="0.25">
      <c r="A4" s="268"/>
      <c r="B4" s="268"/>
      <c r="C4" s="268"/>
      <c r="D4" s="268"/>
      <c r="E4" s="268"/>
      <c r="F4" s="268"/>
      <c r="G4" s="268"/>
      <c r="H4" s="268"/>
      <c r="I4" s="268"/>
    </row>
    <row r="5" spans="1:18" x14ac:dyDescent="0.25">
      <c r="A5" s="268"/>
      <c r="B5" s="268"/>
      <c r="C5" s="268"/>
      <c r="D5" s="268"/>
      <c r="E5" s="268"/>
      <c r="F5" s="268"/>
      <c r="G5" s="268"/>
      <c r="H5" s="268"/>
      <c r="I5" s="268"/>
    </row>
    <row r="6" spans="1:18" ht="27" x14ac:dyDescent="0.5">
      <c r="A6" s="273" t="s">
        <v>10</v>
      </c>
      <c r="B6" s="273"/>
      <c r="C6" s="268"/>
      <c r="D6" s="268"/>
      <c r="E6" s="268"/>
      <c r="F6" s="268"/>
      <c r="G6" s="268"/>
      <c r="H6" s="268"/>
      <c r="I6" s="268"/>
    </row>
    <row r="7" spans="1:18" ht="27.75" thickBot="1" x14ac:dyDescent="0.55000000000000004">
      <c r="A7" s="274">
        <v>36</v>
      </c>
      <c r="B7" s="274"/>
      <c r="C7" s="296"/>
      <c r="D7" s="296"/>
      <c r="E7" s="296"/>
      <c r="F7" s="296"/>
      <c r="G7" s="296"/>
      <c r="H7" s="296"/>
      <c r="I7" s="296"/>
    </row>
    <row r="8" spans="1:18" ht="19.5" thickBot="1" x14ac:dyDescent="0.45">
      <c r="A8" s="29" t="s">
        <v>14</v>
      </c>
      <c r="B8" s="29" t="s">
        <v>15</v>
      </c>
      <c r="C8" s="29" t="s">
        <v>16</v>
      </c>
      <c r="D8" s="29" t="s">
        <v>114</v>
      </c>
      <c r="E8" s="30" t="s">
        <v>17</v>
      </c>
      <c r="F8" s="31" t="s">
        <v>21</v>
      </c>
      <c r="G8" s="31" t="s">
        <v>28</v>
      </c>
      <c r="H8" s="75" t="s">
        <v>29</v>
      </c>
      <c r="I8" s="31" t="s">
        <v>30</v>
      </c>
      <c r="J8" s="31" t="s">
        <v>32</v>
      </c>
      <c r="K8" s="31" t="s">
        <v>33</v>
      </c>
      <c r="L8" s="31" t="s">
        <v>34</v>
      </c>
      <c r="M8" s="31" t="s">
        <v>35</v>
      </c>
      <c r="N8" s="31" t="s">
        <v>36</v>
      </c>
      <c r="O8" s="31" t="s">
        <v>37</v>
      </c>
      <c r="P8" s="32" t="s">
        <v>4</v>
      </c>
      <c r="Q8" s="173" t="s">
        <v>18</v>
      </c>
    </row>
    <row r="9" spans="1:18" ht="15.75" thickBot="1" x14ac:dyDescent="0.3">
      <c r="A9" s="80"/>
      <c r="B9" s="81"/>
      <c r="C9" s="81"/>
      <c r="D9" s="81"/>
      <c r="E9" s="167"/>
      <c r="F9" s="78"/>
      <c r="G9" s="208"/>
      <c r="H9" s="208"/>
      <c r="I9" s="208"/>
      <c r="J9" s="82"/>
      <c r="K9" s="82"/>
      <c r="L9" s="82"/>
      <c r="M9" s="82"/>
      <c r="N9" s="82"/>
      <c r="O9" s="82"/>
      <c r="P9" s="16">
        <f>SUM(F9:O9)</f>
        <v>0</v>
      </c>
      <c r="Q9" s="165">
        <f t="shared" ref="Q9:Q19" si="0">E9-P9</f>
        <v>0</v>
      </c>
      <c r="R9">
        <f>_xlfn.ISOWEEKNUM(A9)</f>
        <v>52</v>
      </c>
    </row>
    <row r="10" spans="1:18" ht="15.75" thickBot="1" x14ac:dyDescent="0.3">
      <c r="A10" s="80"/>
      <c r="B10" s="81"/>
      <c r="C10" s="81"/>
      <c r="D10" s="81"/>
      <c r="E10" s="167"/>
      <c r="F10" s="78"/>
      <c r="G10" s="78"/>
      <c r="H10" s="161"/>
      <c r="I10" s="82"/>
      <c r="J10" s="82"/>
      <c r="K10" s="79"/>
      <c r="L10" s="79"/>
      <c r="M10" s="79"/>
      <c r="N10" s="79"/>
      <c r="O10" s="79"/>
      <c r="P10" s="16">
        <f t="shared" ref="P10:P19" si="1">SUM(F10:O10)</f>
        <v>0</v>
      </c>
      <c r="Q10" s="165">
        <f t="shared" si="0"/>
        <v>0</v>
      </c>
    </row>
    <row r="11" spans="1:18" ht="15.75" thickBot="1" x14ac:dyDescent="0.3">
      <c r="A11" s="80"/>
      <c r="B11" s="81"/>
      <c r="C11" s="81"/>
      <c r="D11" s="81"/>
      <c r="E11" s="167"/>
      <c r="F11" s="78"/>
      <c r="G11" s="78"/>
      <c r="H11" s="78"/>
      <c r="I11" s="82"/>
      <c r="J11" s="82"/>
      <c r="K11" s="79"/>
      <c r="L11" s="79"/>
      <c r="M11" s="79"/>
      <c r="N11" s="79"/>
      <c r="O11" s="79"/>
      <c r="P11" s="16">
        <f t="shared" si="1"/>
        <v>0</v>
      </c>
      <c r="Q11" s="165">
        <f t="shared" si="0"/>
        <v>0</v>
      </c>
    </row>
    <row r="12" spans="1:18" ht="13.5" customHeight="1" thickBot="1" x14ac:dyDescent="0.3">
      <c r="A12" s="80"/>
      <c r="B12" s="81"/>
      <c r="C12" s="81"/>
      <c r="D12" s="81"/>
      <c r="E12" s="167"/>
      <c r="F12" s="78"/>
      <c r="G12" s="78"/>
      <c r="H12" s="78"/>
      <c r="I12" s="82"/>
      <c r="J12" s="82"/>
      <c r="K12" s="79"/>
      <c r="L12" s="79"/>
      <c r="M12" s="79"/>
      <c r="N12" s="79"/>
      <c r="O12" s="79"/>
      <c r="P12" s="16">
        <f t="shared" si="1"/>
        <v>0</v>
      </c>
      <c r="Q12" s="165">
        <f t="shared" si="0"/>
        <v>0</v>
      </c>
    </row>
    <row r="13" spans="1:18" ht="15.75" thickBot="1" x14ac:dyDescent="0.3">
      <c r="A13" s="80"/>
      <c r="B13" s="81"/>
      <c r="C13" s="81"/>
      <c r="D13" s="81"/>
      <c r="E13" s="167"/>
      <c r="F13" s="78"/>
      <c r="G13" s="78"/>
      <c r="H13" s="78"/>
      <c r="I13" s="82"/>
      <c r="J13" s="82"/>
      <c r="K13" s="79"/>
      <c r="L13" s="79"/>
      <c r="M13" s="79"/>
      <c r="N13" s="79"/>
      <c r="O13" s="79"/>
      <c r="P13" s="16">
        <f t="shared" si="1"/>
        <v>0</v>
      </c>
      <c r="Q13" s="165">
        <f t="shared" si="0"/>
        <v>0</v>
      </c>
    </row>
    <row r="14" spans="1:18" ht="15.75" thickBot="1" x14ac:dyDescent="0.3">
      <c r="A14" s="80"/>
      <c r="B14" s="81"/>
      <c r="C14" s="81"/>
      <c r="D14" s="81"/>
      <c r="E14" s="167"/>
      <c r="F14" s="78"/>
      <c r="G14" s="78"/>
      <c r="H14" s="78"/>
      <c r="I14" s="82"/>
      <c r="J14" s="82"/>
      <c r="K14" s="79"/>
      <c r="L14" s="79"/>
      <c r="M14" s="79"/>
      <c r="N14" s="79"/>
      <c r="O14" s="79"/>
      <c r="P14" s="16">
        <f t="shared" si="1"/>
        <v>0</v>
      </c>
      <c r="Q14" s="165">
        <f t="shared" si="0"/>
        <v>0</v>
      </c>
    </row>
    <row r="15" spans="1:18" ht="15.75" thickBot="1" x14ac:dyDescent="0.3">
      <c r="A15" s="80"/>
      <c r="B15" s="81"/>
      <c r="C15" s="81"/>
      <c r="D15" s="81"/>
      <c r="E15" s="167"/>
      <c r="F15" s="78"/>
      <c r="G15" s="78"/>
      <c r="H15" s="78"/>
      <c r="I15" s="82"/>
      <c r="J15" s="82"/>
      <c r="K15" s="79"/>
      <c r="L15" s="79"/>
      <c r="M15" s="79"/>
      <c r="N15" s="79"/>
      <c r="O15" s="79"/>
      <c r="P15" s="16">
        <f t="shared" si="1"/>
        <v>0</v>
      </c>
      <c r="Q15" s="165">
        <f t="shared" si="0"/>
        <v>0</v>
      </c>
    </row>
    <row r="16" spans="1:18" ht="15.75" thickBot="1" x14ac:dyDescent="0.3">
      <c r="A16" s="80"/>
      <c r="B16" s="81"/>
      <c r="C16" s="81"/>
      <c r="D16" s="81"/>
      <c r="E16" s="167"/>
      <c r="F16" s="78"/>
      <c r="G16" s="78"/>
      <c r="H16" s="78"/>
      <c r="I16" s="82"/>
      <c r="J16" s="82"/>
      <c r="K16" s="79"/>
      <c r="L16" s="79"/>
      <c r="M16" s="79"/>
      <c r="N16" s="79"/>
      <c r="O16" s="79"/>
      <c r="P16" s="16">
        <f t="shared" si="1"/>
        <v>0</v>
      </c>
      <c r="Q16" s="165">
        <f t="shared" si="0"/>
        <v>0</v>
      </c>
    </row>
    <row r="17" spans="1:17" ht="15.75" thickBot="1" x14ac:dyDescent="0.3">
      <c r="A17" s="80"/>
      <c r="B17" s="81"/>
      <c r="C17" s="81"/>
      <c r="D17" s="81"/>
      <c r="E17" s="167"/>
      <c r="F17" s="78"/>
      <c r="G17" s="78"/>
      <c r="H17" s="78"/>
      <c r="I17" s="82"/>
      <c r="J17" s="82"/>
      <c r="K17" s="79"/>
      <c r="L17" s="79"/>
      <c r="M17" s="79"/>
      <c r="N17" s="79"/>
      <c r="O17" s="79"/>
      <c r="P17" s="16">
        <f t="shared" si="1"/>
        <v>0</v>
      </c>
      <c r="Q17" s="165">
        <f t="shared" si="0"/>
        <v>0</v>
      </c>
    </row>
    <row r="18" spans="1:17" ht="15.75" thickBot="1" x14ac:dyDescent="0.3">
      <c r="A18" s="80"/>
      <c r="B18" s="81"/>
      <c r="C18" s="81"/>
      <c r="D18" s="81"/>
      <c r="E18" s="167"/>
      <c r="F18" s="78"/>
      <c r="G18" s="78"/>
      <c r="H18" s="78"/>
      <c r="I18" s="82"/>
      <c r="J18" s="82"/>
      <c r="K18" s="79"/>
      <c r="L18" s="79"/>
      <c r="M18" s="79"/>
      <c r="N18" s="79"/>
      <c r="O18" s="79"/>
      <c r="P18" s="16">
        <f t="shared" si="1"/>
        <v>0</v>
      </c>
      <c r="Q18" s="165">
        <f t="shared" si="0"/>
        <v>0</v>
      </c>
    </row>
    <row r="19" spans="1:17" ht="15.75" thickBot="1" x14ac:dyDescent="0.3">
      <c r="A19" s="80"/>
      <c r="B19" s="81"/>
      <c r="C19" s="81"/>
      <c r="D19" s="81"/>
      <c r="E19" s="167"/>
      <c r="F19" s="78"/>
      <c r="G19" s="78"/>
      <c r="H19" s="78"/>
      <c r="I19" s="82"/>
      <c r="J19" s="82"/>
      <c r="K19" s="79"/>
      <c r="L19" s="79"/>
      <c r="M19" s="79"/>
      <c r="N19" s="79"/>
      <c r="O19" s="79"/>
      <c r="P19" s="16">
        <f t="shared" si="1"/>
        <v>0</v>
      </c>
      <c r="Q19" s="165">
        <f t="shared" si="0"/>
        <v>0</v>
      </c>
    </row>
    <row r="20" spans="1:17" ht="15.75" thickBot="1" x14ac:dyDescent="0.3">
      <c r="A20" t="s">
        <v>4</v>
      </c>
      <c r="E20" s="16">
        <f>SUM(E9:E19)</f>
        <v>0</v>
      </c>
      <c r="F20" s="14"/>
      <c r="G20" s="14"/>
      <c r="H20" s="14"/>
      <c r="I20" s="14"/>
      <c r="J20" s="14"/>
      <c r="K20" s="10"/>
      <c r="L20" s="10"/>
      <c r="M20" s="10"/>
      <c r="N20" s="10"/>
      <c r="O20" s="10"/>
      <c r="P20" s="17">
        <f>SUM(P9:P19)</f>
        <v>0</v>
      </c>
      <c r="Q20" s="166">
        <f>SUM(Q9:Q19)</f>
        <v>0</v>
      </c>
    </row>
    <row r="21" spans="1:17" ht="15.75" thickBot="1" x14ac:dyDescent="0.3"/>
    <row r="22" spans="1:17" ht="16.5" thickBot="1" x14ac:dyDescent="0.35">
      <c r="H22" s="291" t="s">
        <v>20</v>
      </c>
      <c r="I22" s="292"/>
      <c r="J22" s="15">
        <f>E20</f>
        <v>0</v>
      </c>
    </row>
    <row r="23" spans="1:17" ht="19.5" thickBot="1" x14ac:dyDescent="0.45">
      <c r="H23" s="279" t="s">
        <v>3</v>
      </c>
      <c r="I23" s="280"/>
      <c r="J23" s="16">
        <f>P20</f>
        <v>0</v>
      </c>
    </row>
    <row r="24" spans="1:17" ht="19.5" thickBot="1" x14ac:dyDescent="0.45">
      <c r="H24" s="279" t="s">
        <v>7</v>
      </c>
      <c r="I24" s="279"/>
      <c r="J24" s="13">
        <f>Q20</f>
        <v>0</v>
      </c>
    </row>
    <row r="26" spans="1:17" ht="18.75" x14ac:dyDescent="0.25">
      <c r="D26" s="137">
        <v>45292</v>
      </c>
      <c r="E26" s="138" t="s">
        <v>47</v>
      </c>
      <c r="F26" s="138" t="s">
        <v>41</v>
      </c>
      <c r="G26" s="138" t="s">
        <v>42</v>
      </c>
      <c r="H26" s="138" t="s">
        <v>43</v>
      </c>
      <c r="I26" s="138" t="s">
        <v>44</v>
      </c>
      <c r="J26" s="139" t="s">
        <v>45</v>
      </c>
      <c r="K26" s="139" t="s">
        <v>46</v>
      </c>
      <c r="L26" s="151"/>
      <c r="M26" s="151"/>
      <c r="N26" s="151"/>
      <c r="O26" s="151"/>
    </row>
    <row r="27" spans="1:17" ht="18.75" x14ac:dyDescent="0.25">
      <c r="D27" s="140" t="s">
        <v>160</v>
      </c>
      <c r="E27" s="141" t="s">
        <v>397</v>
      </c>
      <c r="F27" s="141" t="s">
        <v>398</v>
      </c>
      <c r="G27" s="141" t="s">
        <v>399</v>
      </c>
      <c r="H27" s="141" t="s">
        <v>400</v>
      </c>
      <c r="I27" s="141" t="s">
        <v>401</v>
      </c>
      <c r="J27" s="184" t="s">
        <v>402</v>
      </c>
      <c r="K27" s="184" t="s">
        <v>403</v>
      </c>
      <c r="L27" s="152"/>
      <c r="M27" s="152"/>
      <c r="N27" s="152"/>
      <c r="O27" s="152"/>
    </row>
    <row r="40" spans="11:11" x14ac:dyDescent="0.25">
      <c r="K40" t="s">
        <v>31</v>
      </c>
    </row>
  </sheetData>
  <sheetProtection algorithmName="SHA-512" hashValue="kKnpPFhH6DqdVwB3sYo6e7YewTXYvGMcXJ30vK7iWFu2Be4ATtF1/LRG2kTo0F4Ykn9iix3258dx6iZrwCRnFQ==" saltValue="Me72SpMi99OLkQPipmqr6Q==" spinCount="100000" sheet="1" formatCells="0" formatColumns="0" formatRows="0" insertColumns="0" insertRows="0" insertHyperlinks="0" deleteColumns="0" deleteRows="0" sort="0" autoFilter="0" pivotTables="0"/>
  <autoFilter ref="A8:Q8" xr:uid="{0C36A71D-EF33-407C-9C77-D0866638A249}"/>
  <mergeCells count="9">
    <mergeCell ref="H22:I22"/>
    <mergeCell ref="H23:I23"/>
    <mergeCell ref="H24:I24"/>
    <mergeCell ref="A1:B5"/>
    <mergeCell ref="C1:G2"/>
    <mergeCell ref="H1:I2"/>
    <mergeCell ref="C3:I7"/>
    <mergeCell ref="A6:B6"/>
    <mergeCell ref="A7:B7"/>
  </mergeCells>
  <phoneticPr fontId="18" type="noConversion"/>
  <conditionalFormatting sqref="L27:O27">
    <cfRule type="expression" dxfId="311" priority="25">
      <formula>IFERROR(INDEX(DiasCategorias, L27-FechaInicio+1),0)=1</formula>
    </cfRule>
    <cfRule type="expression" dxfId="310" priority="26">
      <formula>IFERROR(INDEX(DiasCategorias, L27-FechaInicio+1),0)=2</formula>
    </cfRule>
    <cfRule type="expression" dxfId="309" priority="27">
      <formula>IFERROR(INDEX(DiasCategorias, L27-FechaInicio+1),0)=3</formula>
    </cfRule>
    <cfRule type="expression" dxfId="308" priority="28">
      <formula>IFERROR(INDEX(DiasCategorias, L27-FechaInicio+1),0)=4</formula>
    </cfRule>
    <cfRule type="expression" dxfId="307" priority="29">
      <formula>IFERROR(INDEX(DiasCategorias, L27-FechaInicio+1),0)=5</formula>
    </cfRule>
    <cfRule type="expression" dxfId="306" priority="30">
      <formula>IFERROR(INDEX(DiasCategorias, L27-FechaInicio+1),0)=6</formula>
    </cfRule>
    <cfRule type="expression" dxfId="305" priority="31">
      <formula>IFERROR(INDEX(DiasCategorias, L27-FechaInicio+1),0)=7</formula>
    </cfRule>
    <cfRule type="expression" dxfId="304" priority="32">
      <formula>IFERROR(INDEX(DiasCategorias, L27-FechaInicio+1),0)=8</formula>
    </cfRule>
    <cfRule type="expression" dxfId="303" priority="33">
      <formula>IFERROR(INDEX(DiasCategorias, L27-FechaInicio+1),0)=9</formula>
    </cfRule>
    <cfRule type="expression" dxfId="302" priority="34">
      <formula>IFERROR(INDEX(DiasCategorias, L27-FechaInicio+1),0)=10</formula>
    </cfRule>
    <cfRule type="expression" dxfId="301" priority="35">
      <formula>IFERROR(INDEX(DiasCategorias, L27-FechaInicio+1),0)=11</formula>
    </cfRule>
    <cfRule type="expression" dxfId="300" priority="36">
      <formula>IFERROR(INDEX(DiasCategorias, L27-FechaInicio+1),0)=12</formula>
    </cfRule>
  </conditionalFormatting>
  <conditionalFormatting sqref="E27:K27">
    <cfRule type="expression" dxfId="299" priority="1">
      <formula>IFERROR(INDEX(DiasCategorias, E27-FechaInicio+1),0)=1</formula>
    </cfRule>
    <cfRule type="expression" dxfId="298" priority="2">
      <formula>IFERROR(INDEX(DiasCategorias, E27-FechaInicio+1),0)=2</formula>
    </cfRule>
    <cfRule type="expression" dxfId="297" priority="3">
      <formula>IFERROR(INDEX(DiasCategorias, E27-FechaInicio+1),0)=3</formula>
    </cfRule>
    <cfRule type="expression" dxfId="296" priority="4">
      <formula>IFERROR(INDEX(DiasCategorias, E27-FechaInicio+1),0)=4</formula>
    </cfRule>
    <cfRule type="expression" dxfId="295" priority="5">
      <formula>IFERROR(INDEX(DiasCategorias, E27-FechaInicio+1),0)=5</formula>
    </cfRule>
    <cfRule type="expression" dxfId="294" priority="6">
      <formula>IFERROR(INDEX(DiasCategorias, E27-FechaInicio+1),0)=6</formula>
    </cfRule>
    <cfRule type="expression" dxfId="293" priority="7">
      <formula>IFERROR(INDEX(DiasCategorias, E27-FechaInicio+1),0)=7</formula>
    </cfRule>
    <cfRule type="expression" dxfId="292" priority="8">
      <formula>IFERROR(INDEX(DiasCategorias, E27-FechaInicio+1),0)=8</formula>
    </cfRule>
    <cfRule type="expression" dxfId="291" priority="9">
      <formula>IFERROR(INDEX(DiasCategorias, E27-FechaInicio+1),0)=9</formula>
    </cfRule>
    <cfRule type="expression" dxfId="290" priority="10">
      <formula>IFERROR(INDEX(DiasCategorias, E27-FechaInicio+1),0)=10</formula>
    </cfRule>
    <cfRule type="expression" dxfId="289" priority="11">
      <formula>IFERROR(INDEX(DiasCategorias, E27-FechaInicio+1),0)=11</formula>
    </cfRule>
    <cfRule type="expression" dxfId="288" priority="12">
      <formula>IFERROR(INDEX(DiasCategorias, E27-FechaInicio+1),0)=12</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2CC73-0042-4E0C-B740-091A0ED09D77}">
  <sheetPr codeName="Hoja57">
    <tabColor rgb="FF92D050"/>
  </sheetPr>
  <dimension ref="A1:S40"/>
  <sheetViews>
    <sheetView workbookViewId="0">
      <selection activeCell="E27" sqref="E27:K27"/>
    </sheetView>
  </sheetViews>
  <sheetFormatPr baseColWidth="10" defaultRowHeight="15" x14ac:dyDescent="0.25"/>
  <cols>
    <col min="2" max="2" width="9.140625" customWidth="1"/>
    <col min="3" max="3" width="37.7109375" bestFit="1" customWidth="1"/>
    <col min="5" max="5" width="13.140625" bestFit="1" customWidth="1"/>
    <col min="6" max="6" width="18.140625" customWidth="1"/>
    <col min="7" max="7" width="15.140625" customWidth="1"/>
    <col min="8" max="9" width="15.28515625" bestFit="1" customWidth="1"/>
    <col min="10" max="10" width="15.42578125" customWidth="1"/>
    <col min="11" max="16" width="16.570312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37</v>
      </c>
      <c r="B7" s="274"/>
      <c r="C7" s="296"/>
      <c r="D7" s="296"/>
      <c r="E7" s="296"/>
      <c r="F7" s="296"/>
      <c r="G7" s="296"/>
      <c r="H7" s="296"/>
      <c r="I7" s="296"/>
    </row>
    <row r="8" spans="1:19" ht="19.5" thickBot="1" x14ac:dyDescent="0.45">
      <c r="A8" s="29" t="s">
        <v>14</v>
      </c>
      <c r="B8" s="29" t="s">
        <v>15</v>
      </c>
      <c r="C8" s="29" t="s">
        <v>16</v>
      </c>
      <c r="D8" s="29" t="s">
        <v>114</v>
      </c>
      <c r="E8" s="30" t="s">
        <v>17</v>
      </c>
      <c r="F8" s="31" t="s">
        <v>28</v>
      </c>
      <c r="G8" s="31" t="s">
        <v>29</v>
      </c>
      <c r="H8" s="31" t="s">
        <v>30</v>
      </c>
      <c r="I8" s="31" t="s">
        <v>32</v>
      </c>
      <c r="J8" s="31" t="s">
        <v>33</v>
      </c>
      <c r="K8" s="31" t="s">
        <v>34</v>
      </c>
      <c r="L8" s="31" t="s">
        <v>35</v>
      </c>
      <c r="M8" s="31" t="s">
        <v>36</v>
      </c>
      <c r="N8" s="31" t="s">
        <v>37</v>
      </c>
      <c r="O8" s="31" t="s">
        <v>38</v>
      </c>
      <c r="P8" s="31" t="s">
        <v>39</v>
      </c>
      <c r="Q8" s="32" t="s">
        <v>4</v>
      </c>
      <c r="R8" s="173" t="s">
        <v>18</v>
      </c>
    </row>
    <row r="9" spans="1:19" ht="15.75" thickBot="1" x14ac:dyDescent="0.3">
      <c r="A9" s="80"/>
      <c r="B9" s="81"/>
      <c r="C9" s="81"/>
      <c r="D9" s="81"/>
      <c r="E9" s="167"/>
      <c r="F9" s="78"/>
      <c r="G9" s="78"/>
      <c r="H9" s="82"/>
      <c r="I9" s="82"/>
      <c r="J9" s="82"/>
      <c r="K9" s="82"/>
      <c r="L9" s="82"/>
      <c r="M9" s="82"/>
      <c r="N9" s="82"/>
      <c r="O9" s="82"/>
      <c r="P9" s="82"/>
      <c r="Q9" s="16">
        <f>SUM(F9:P9)</f>
        <v>0</v>
      </c>
      <c r="R9" s="165">
        <f t="shared" ref="R9:R19" si="0">E9-Q9</f>
        <v>0</v>
      </c>
      <c r="S9">
        <f>_xlfn.ISOWEEKNUM(A9)</f>
        <v>52</v>
      </c>
    </row>
    <row r="10" spans="1:19" ht="15.75" thickBot="1" x14ac:dyDescent="0.3">
      <c r="A10" s="80"/>
      <c r="B10" s="81"/>
      <c r="C10" s="81"/>
      <c r="D10" s="81"/>
      <c r="E10" s="167"/>
      <c r="F10" s="78"/>
      <c r="G10" s="78"/>
      <c r="H10" s="78"/>
      <c r="I10" s="82"/>
      <c r="J10" s="82"/>
      <c r="K10" s="79"/>
      <c r="L10" s="79"/>
      <c r="M10" s="79"/>
      <c r="N10" s="79"/>
      <c r="O10" s="79"/>
      <c r="P10" s="79"/>
      <c r="Q10" s="16">
        <f t="shared" ref="Q10:Q19" si="1">SUM(F10:P10)</f>
        <v>0</v>
      </c>
      <c r="R10" s="165">
        <f t="shared" si="0"/>
        <v>0</v>
      </c>
    </row>
    <row r="11" spans="1:19" ht="15.75" thickBot="1" x14ac:dyDescent="0.3">
      <c r="A11" s="80"/>
      <c r="B11" s="81"/>
      <c r="C11" s="81"/>
      <c r="D11" s="81"/>
      <c r="E11" s="167"/>
      <c r="F11" s="78"/>
      <c r="G11" s="78"/>
      <c r="H11" s="78"/>
      <c r="I11" s="82"/>
      <c r="J11" s="82"/>
      <c r="K11" s="79"/>
      <c r="L11" s="79"/>
      <c r="M11" s="79"/>
      <c r="N11" s="79"/>
      <c r="O11" s="79"/>
      <c r="P11" s="79"/>
      <c r="Q11" s="16">
        <f t="shared" si="1"/>
        <v>0</v>
      </c>
      <c r="R11" s="165">
        <f t="shared" si="0"/>
        <v>0</v>
      </c>
    </row>
    <row r="12" spans="1:19" ht="13.5" customHeight="1" thickBot="1" x14ac:dyDescent="0.3">
      <c r="A12" s="80"/>
      <c r="B12" s="81"/>
      <c r="C12" s="81"/>
      <c r="D12" s="81"/>
      <c r="E12" s="167"/>
      <c r="F12" s="78"/>
      <c r="G12" s="78"/>
      <c r="H12" s="78"/>
      <c r="I12" s="82"/>
      <c r="J12" s="82"/>
      <c r="K12" s="79"/>
      <c r="L12" s="79"/>
      <c r="M12" s="79"/>
      <c r="N12" s="79"/>
      <c r="O12" s="79"/>
      <c r="P12" s="79"/>
      <c r="Q12" s="16">
        <f t="shared" si="1"/>
        <v>0</v>
      </c>
      <c r="R12" s="165">
        <f t="shared" si="0"/>
        <v>0</v>
      </c>
    </row>
    <row r="13" spans="1:19" ht="15.75" thickBot="1" x14ac:dyDescent="0.3">
      <c r="A13" s="80"/>
      <c r="B13" s="81"/>
      <c r="C13" s="81"/>
      <c r="D13" s="81"/>
      <c r="E13" s="167"/>
      <c r="F13" s="78"/>
      <c r="G13" s="78"/>
      <c r="H13" s="78"/>
      <c r="I13" s="82"/>
      <c r="J13" s="82"/>
      <c r="K13" s="79"/>
      <c r="L13" s="79"/>
      <c r="M13" s="79"/>
      <c r="N13" s="79"/>
      <c r="O13" s="79"/>
      <c r="P13" s="79"/>
      <c r="Q13" s="16">
        <f t="shared" si="1"/>
        <v>0</v>
      </c>
      <c r="R13" s="165">
        <f t="shared" si="0"/>
        <v>0</v>
      </c>
    </row>
    <row r="14" spans="1:19" ht="15.75" thickBot="1" x14ac:dyDescent="0.3">
      <c r="A14" s="80"/>
      <c r="B14" s="81"/>
      <c r="C14" s="81"/>
      <c r="D14" s="81"/>
      <c r="E14" s="167"/>
      <c r="F14" s="78"/>
      <c r="G14" s="78"/>
      <c r="H14" s="78"/>
      <c r="I14" s="82"/>
      <c r="J14" s="82"/>
      <c r="K14" s="79"/>
      <c r="L14" s="79"/>
      <c r="M14" s="79"/>
      <c r="N14" s="79"/>
      <c r="O14" s="79"/>
      <c r="P14" s="79"/>
      <c r="Q14" s="16">
        <f t="shared" si="1"/>
        <v>0</v>
      </c>
      <c r="R14" s="165">
        <f t="shared" si="0"/>
        <v>0</v>
      </c>
    </row>
    <row r="15" spans="1:19" ht="15.75" thickBot="1" x14ac:dyDescent="0.3">
      <c r="A15" s="80"/>
      <c r="B15" s="81"/>
      <c r="C15" s="81"/>
      <c r="D15" s="81"/>
      <c r="E15" s="167"/>
      <c r="F15" s="78"/>
      <c r="G15" s="78"/>
      <c r="H15" s="78"/>
      <c r="I15" s="82"/>
      <c r="J15" s="82"/>
      <c r="K15" s="79"/>
      <c r="L15" s="79"/>
      <c r="M15" s="79"/>
      <c r="N15" s="79"/>
      <c r="O15" s="79"/>
      <c r="P15" s="79"/>
      <c r="Q15" s="16">
        <f t="shared" si="1"/>
        <v>0</v>
      </c>
      <c r="R15" s="165">
        <f t="shared" si="0"/>
        <v>0</v>
      </c>
    </row>
    <row r="16" spans="1:19" ht="15.75" thickBot="1" x14ac:dyDescent="0.3">
      <c r="A16" s="80"/>
      <c r="B16" s="81"/>
      <c r="C16" s="81"/>
      <c r="D16" s="81"/>
      <c r="E16" s="167"/>
      <c r="F16" s="78"/>
      <c r="G16" s="78"/>
      <c r="H16" s="78"/>
      <c r="I16" s="82"/>
      <c r="J16" s="82"/>
      <c r="K16" s="79"/>
      <c r="L16" s="79"/>
      <c r="M16" s="79"/>
      <c r="N16" s="79"/>
      <c r="O16" s="79"/>
      <c r="P16" s="79"/>
      <c r="Q16" s="16">
        <f t="shared" si="1"/>
        <v>0</v>
      </c>
      <c r="R16" s="165">
        <f t="shared" si="0"/>
        <v>0</v>
      </c>
    </row>
    <row r="17" spans="1:18" ht="15.75" thickBot="1" x14ac:dyDescent="0.3">
      <c r="A17" s="80"/>
      <c r="B17" s="81"/>
      <c r="C17" s="81"/>
      <c r="D17" s="81"/>
      <c r="E17" s="167"/>
      <c r="F17" s="78"/>
      <c r="G17" s="78"/>
      <c r="H17" s="78"/>
      <c r="I17" s="82"/>
      <c r="J17" s="82"/>
      <c r="K17" s="79"/>
      <c r="L17" s="79"/>
      <c r="M17" s="79"/>
      <c r="N17" s="79"/>
      <c r="O17" s="79"/>
      <c r="P17" s="79"/>
      <c r="Q17" s="16">
        <f t="shared" si="1"/>
        <v>0</v>
      </c>
      <c r="R17" s="165">
        <f t="shared" si="0"/>
        <v>0</v>
      </c>
    </row>
    <row r="18" spans="1:18" ht="15.75" thickBot="1" x14ac:dyDescent="0.3">
      <c r="A18" s="80"/>
      <c r="B18" s="81"/>
      <c r="C18" s="81"/>
      <c r="D18" s="81"/>
      <c r="E18" s="167"/>
      <c r="F18" s="78"/>
      <c r="G18" s="78"/>
      <c r="H18" s="78"/>
      <c r="I18" s="82"/>
      <c r="J18" s="82"/>
      <c r="K18" s="79"/>
      <c r="L18" s="79"/>
      <c r="M18" s="79"/>
      <c r="N18" s="79"/>
      <c r="O18" s="79"/>
      <c r="P18" s="79"/>
      <c r="Q18" s="16">
        <f t="shared" si="1"/>
        <v>0</v>
      </c>
      <c r="R18" s="165">
        <f t="shared" si="0"/>
        <v>0</v>
      </c>
    </row>
    <row r="19" spans="1:18" ht="15.75" thickBot="1" x14ac:dyDescent="0.3">
      <c r="A19" s="80"/>
      <c r="B19" s="81"/>
      <c r="C19" s="81"/>
      <c r="D19" s="81"/>
      <c r="E19" s="167"/>
      <c r="F19" s="78"/>
      <c r="G19" s="78"/>
      <c r="H19" s="78"/>
      <c r="I19" s="82"/>
      <c r="J19" s="82"/>
      <c r="K19" s="79"/>
      <c r="L19" s="79"/>
      <c r="M19" s="79"/>
      <c r="N19" s="79"/>
      <c r="O19" s="79"/>
      <c r="P19" s="79"/>
      <c r="Q19" s="16">
        <f t="shared" si="1"/>
        <v>0</v>
      </c>
      <c r="R19" s="165">
        <f t="shared" si="0"/>
        <v>0</v>
      </c>
    </row>
    <row r="20" spans="1:18" ht="15.75" thickBot="1" x14ac:dyDescent="0.3">
      <c r="A20" t="s">
        <v>4</v>
      </c>
      <c r="E20" s="16">
        <f>SUM(E9:E19)</f>
        <v>0</v>
      </c>
      <c r="F20" s="14"/>
      <c r="G20" s="14"/>
      <c r="H20" s="14"/>
      <c r="I20" s="14"/>
      <c r="J20" s="14"/>
      <c r="K20" s="10"/>
      <c r="L20" s="10"/>
      <c r="M20" s="10"/>
      <c r="N20" s="10"/>
      <c r="O20" s="10"/>
      <c r="P20" s="10"/>
      <c r="Q20" s="17">
        <f>SUM(Q9:Q19)</f>
        <v>0</v>
      </c>
      <c r="R20" s="166">
        <f>SUM(R9:R19)</f>
        <v>0</v>
      </c>
    </row>
    <row r="21" spans="1:18" ht="15.75" thickBot="1" x14ac:dyDescent="0.3"/>
    <row r="22" spans="1:18" ht="16.5" thickBot="1" x14ac:dyDescent="0.35">
      <c r="H22" s="291" t="s">
        <v>20</v>
      </c>
      <c r="I22" s="292"/>
      <c r="J22" s="15">
        <f>E20</f>
        <v>0</v>
      </c>
    </row>
    <row r="23" spans="1:18" ht="19.5" thickBot="1" x14ac:dyDescent="0.45">
      <c r="H23" s="279" t="s">
        <v>3</v>
      </c>
      <c r="I23" s="280"/>
      <c r="J23" s="16">
        <f>Q20</f>
        <v>0</v>
      </c>
    </row>
    <row r="24" spans="1:18" ht="19.5" thickBot="1" x14ac:dyDescent="0.45">
      <c r="H24" s="279" t="s">
        <v>7</v>
      </c>
      <c r="I24" s="279"/>
      <c r="J24" s="13">
        <f>R20</f>
        <v>0</v>
      </c>
    </row>
    <row r="26" spans="1:18" ht="18.75" x14ac:dyDescent="0.25">
      <c r="D26" s="137">
        <v>45292</v>
      </c>
      <c r="E26" s="138" t="s">
        <v>47</v>
      </c>
      <c r="F26" s="138" t="s">
        <v>41</v>
      </c>
      <c r="G26" s="138" t="s">
        <v>42</v>
      </c>
      <c r="H26" s="138" t="s">
        <v>43</v>
      </c>
      <c r="I26" s="138" t="s">
        <v>44</v>
      </c>
      <c r="J26" s="139" t="s">
        <v>45</v>
      </c>
      <c r="K26" s="139" t="s">
        <v>46</v>
      </c>
      <c r="L26" s="151"/>
      <c r="M26" s="151"/>
      <c r="N26" s="151"/>
      <c r="O26" s="151"/>
      <c r="P26" s="151"/>
    </row>
    <row r="27" spans="1:18" ht="18.75" x14ac:dyDescent="0.25">
      <c r="D27" s="140" t="s">
        <v>161</v>
      </c>
      <c r="E27" s="141" t="s">
        <v>404</v>
      </c>
      <c r="F27" s="141" t="s">
        <v>405</v>
      </c>
      <c r="G27" s="141" t="s">
        <v>406</v>
      </c>
      <c r="H27" s="141" t="s">
        <v>407</v>
      </c>
      <c r="I27" s="141" t="s">
        <v>408</v>
      </c>
      <c r="J27" s="184" t="s">
        <v>409</v>
      </c>
      <c r="K27" s="184" t="s">
        <v>410</v>
      </c>
      <c r="L27" s="152"/>
      <c r="M27" s="152"/>
      <c r="N27" s="152"/>
      <c r="O27" s="152"/>
      <c r="P27" s="152"/>
    </row>
    <row r="40" spans="11:11" x14ac:dyDescent="0.25">
      <c r="K40" t="s">
        <v>31</v>
      </c>
    </row>
  </sheetData>
  <sheetProtection algorithmName="SHA-512" hashValue="aS+nkUNW7fPIRqG5lSCiO4of+LBOcFfCsdGzj9nmScBMFWvgJLoiTBjdm5EhJ4dUAMAfPy+XS/BA+EE4RGcKdA==" saltValue="7i6QDioOvoMmSN27BVt/CQ==" spinCount="100000" sheet="1" formatCells="0" formatColumns="0" formatRows="0" insertColumns="0" insertRows="0" insertHyperlinks="0" deleteColumns="0" deleteRows="0" sort="0" autoFilter="0" pivotTables="0"/>
  <autoFilter ref="A8:R8" xr:uid="{D802CC73-0042-4E0C-B740-091A0ED09D77}"/>
  <mergeCells count="9">
    <mergeCell ref="H22:I22"/>
    <mergeCell ref="H23:I23"/>
    <mergeCell ref="H24:I24"/>
    <mergeCell ref="A1:B5"/>
    <mergeCell ref="C1:G2"/>
    <mergeCell ref="H1:I2"/>
    <mergeCell ref="C3:I7"/>
    <mergeCell ref="A6:B6"/>
    <mergeCell ref="A7:B7"/>
  </mergeCells>
  <phoneticPr fontId="18" type="noConversion"/>
  <conditionalFormatting sqref="L27:P27">
    <cfRule type="expression" dxfId="287" priority="25">
      <formula>IFERROR(INDEX(DiasCategorias, L27-FechaInicio+1),0)=1</formula>
    </cfRule>
    <cfRule type="expression" dxfId="286" priority="26">
      <formula>IFERROR(INDEX(DiasCategorias, L27-FechaInicio+1),0)=2</formula>
    </cfRule>
    <cfRule type="expression" dxfId="285" priority="27">
      <formula>IFERROR(INDEX(DiasCategorias, L27-FechaInicio+1),0)=3</formula>
    </cfRule>
    <cfRule type="expression" dxfId="284" priority="28">
      <formula>IFERROR(INDEX(DiasCategorias, L27-FechaInicio+1),0)=4</formula>
    </cfRule>
    <cfRule type="expression" dxfId="283" priority="29">
      <formula>IFERROR(INDEX(DiasCategorias, L27-FechaInicio+1),0)=5</formula>
    </cfRule>
    <cfRule type="expression" dxfId="282" priority="30">
      <formula>IFERROR(INDEX(DiasCategorias, L27-FechaInicio+1),0)=6</formula>
    </cfRule>
    <cfRule type="expression" dxfId="281" priority="31">
      <formula>IFERROR(INDEX(DiasCategorias, L27-FechaInicio+1),0)=7</formula>
    </cfRule>
    <cfRule type="expression" dxfId="280" priority="32">
      <formula>IFERROR(INDEX(DiasCategorias, L27-FechaInicio+1),0)=8</formula>
    </cfRule>
    <cfRule type="expression" dxfId="279" priority="33">
      <formula>IFERROR(INDEX(DiasCategorias, L27-FechaInicio+1),0)=9</formula>
    </cfRule>
    <cfRule type="expression" dxfId="278" priority="34">
      <formula>IFERROR(INDEX(DiasCategorias, L27-FechaInicio+1),0)=10</formula>
    </cfRule>
    <cfRule type="expression" dxfId="277" priority="35">
      <formula>IFERROR(INDEX(DiasCategorias, L27-FechaInicio+1),0)=11</formula>
    </cfRule>
    <cfRule type="expression" dxfId="276" priority="36">
      <formula>IFERROR(INDEX(DiasCategorias, L27-FechaInicio+1),0)=12</formula>
    </cfRule>
  </conditionalFormatting>
  <conditionalFormatting sqref="E27:K27">
    <cfRule type="expression" dxfId="275" priority="1">
      <formula>IFERROR(INDEX(DiasCategorias, E27-FechaInicio+1),0)=1</formula>
    </cfRule>
    <cfRule type="expression" dxfId="274" priority="2">
      <formula>IFERROR(INDEX(DiasCategorias, E27-FechaInicio+1),0)=2</formula>
    </cfRule>
    <cfRule type="expression" dxfId="273" priority="3">
      <formula>IFERROR(INDEX(DiasCategorias, E27-FechaInicio+1),0)=3</formula>
    </cfRule>
    <cfRule type="expression" dxfId="272" priority="4">
      <formula>IFERROR(INDEX(DiasCategorias, E27-FechaInicio+1),0)=4</formula>
    </cfRule>
    <cfRule type="expression" dxfId="271" priority="5">
      <formula>IFERROR(INDEX(DiasCategorias, E27-FechaInicio+1),0)=5</formula>
    </cfRule>
    <cfRule type="expression" dxfId="270" priority="6">
      <formula>IFERROR(INDEX(DiasCategorias, E27-FechaInicio+1),0)=6</formula>
    </cfRule>
    <cfRule type="expression" dxfId="269" priority="7">
      <formula>IFERROR(INDEX(DiasCategorias, E27-FechaInicio+1),0)=7</formula>
    </cfRule>
    <cfRule type="expression" dxfId="268" priority="8">
      <formula>IFERROR(INDEX(DiasCategorias, E27-FechaInicio+1),0)=8</formula>
    </cfRule>
    <cfRule type="expression" dxfId="267" priority="9">
      <formula>IFERROR(INDEX(DiasCategorias, E27-FechaInicio+1),0)=9</formula>
    </cfRule>
    <cfRule type="expression" dxfId="266" priority="10">
      <formula>IFERROR(INDEX(DiasCategorias, E27-FechaInicio+1),0)=10</formula>
    </cfRule>
    <cfRule type="expression" dxfId="265" priority="11">
      <formula>IFERROR(INDEX(DiasCategorias, E27-FechaInicio+1),0)=11</formula>
    </cfRule>
    <cfRule type="expression" dxfId="264" priority="12">
      <formula>IFERROR(INDEX(DiasCategorias, E27-FechaInicio+1),0)=12</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8">
    <tabColor rgb="FF7030A0"/>
  </sheetPr>
  <dimension ref="A1:S39"/>
  <sheetViews>
    <sheetView workbookViewId="0">
      <selection activeCell="E26" sqref="E26:K26"/>
    </sheetView>
  </sheetViews>
  <sheetFormatPr baseColWidth="10" defaultRowHeight="15" x14ac:dyDescent="0.25"/>
  <cols>
    <col min="2" max="2" width="9.140625" customWidth="1"/>
    <col min="3" max="3" width="42.28515625" customWidth="1"/>
    <col min="4" max="4" width="18.42578125" customWidth="1"/>
    <col min="6" max="6" width="13.5703125" customWidth="1"/>
    <col min="7" max="7" width="13.42578125" customWidth="1"/>
    <col min="8" max="8" width="18.5703125" customWidth="1"/>
    <col min="9" max="9" width="14.140625" customWidth="1"/>
    <col min="10" max="10" width="15.140625" customWidth="1"/>
    <col min="11" max="16" width="1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38</v>
      </c>
      <c r="B7" s="274"/>
      <c r="C7" s="296"/>
      <c r="D7" s="296"/>
      <c r="E7" s="296"/>
      <c r="F7" s="296"/>
      <c r="G7" s="296"/>
      <c r="H7" s="296"/>
      <c r="I7" s="296"/>
    </row>
    <row r="8" spans="1:19" ht="15.75" thickBot="1" x14ac:dyDescent="0.3">
      <c r="A8" s="10" t="s">
        <v>14</v>
      </c>
      <c r="B8" s="10" t="s">
        <v>15</v>
      </c>
      <c r="C8" s="10" t="s">
        <v>16</v>
      </c>
      <c r="D8" s="10" t="s">
        <v>114</v>
      </c>
      <c r="E8" s="11" t="s">
        <v>17</v>
      </c>
      <c r="F8" s="10" t="s">
        <v>29</v>
      </c>
      <c r="G8" s="10" t="s">
        <v>30</v>
      </c>
      <c r="H8" s="10" t="s">
        <v>32</v>
      </c>
      <c r="I8" s="10" t="s">
        <v>33</v>
      </c>
      <c r="J8" s="10" t="s">
        <v>34</v>
      </c>
      <c r="K8" s="10" t="s">
        <v>35</v>
      </c>
      <c r="L8" s="10" t="s">
        <v>36</v>
      </c>
      <c r="M8" s="10" t="s">
        <v>37</v>
      </c>
      <c r="N8" s="10" t="s">
        <v>38</v>
      </c>
      <c r="O8" s="10" t="s">
        <v>39</v>
      </c>
      <c r="P8" s="10" t="s">
        <v>91</v>
      </c>
      <c r="Q8" s="11" t="s">
        <v>4</v>
      </c>
      <c r="R8" s="174" t="s">
        <v>18</v>
      </c>
    </row>
    <row r="9" spans="1:19" ht="15.75" thickBot="1" x14ac:dyDescent="0.3">
      <c r="A9" s="80"/>
      <c r="B9" s="81"/>
      <c r="C9" s="81"/>
      <c r="D9" s="81"/>
      <c r="E9" s="167"/>
      <c r="F9" s="78"/>
      <c r="G9" s="78"/>
      <c r="H9" s="78"/>
      <c r="I9" s="82"/>
      <c r="J9" s="82"/>
      <c r="K9" s="194"/>
      <c r="L9" s="78"/>
      <c r="M9" s="78"/>
      <c r="N9" s="78"/>
      <c r="O9" s="78"/>
      <c r="P9" s="78"/>
      <c r="Q9" s="17">
        <f>SUM(F9:P9)</f>
        <v>0</v>
      </c>
      <c r="R9" s="165">
        <f t="shared" ref="R9:R18" si="0">E9-Q9</f>
        <v>0</v>
      </c>
      <c r="S9">
        <f>_xlfn.ISOWEEKNUM(A9)</f>
        <v>52</v>
      </c>
    </row>
    <row r="10" spans="1:19" ht="15.75" thickBot="1" x14ac:dyDescent="0.3">
      <c r="A10" s="80"/>
      <c r="B10" s="81"/>
      <c r="C10" s="81"/>
      <c r="D10" s="81"/>
      <c r="E10" s="167"/>
      <c r="F10" s="78"/>
      <c r="G10" s="78"/>
      <c r="H10" s="78"/>
      <c r="I10" s="82"/>
      <c r="J10" s="82"/>
      <c r="K10" s="195"/>
      <c r="L10" s="81"/>
      <c r="M10" s="81"/>
      <c r="N10" s="81"/>
      <c r="O10" s="81"/>
      <c r="P10" s="81"/>
      <c r="Q10" s="17">
        <f t="shared" ref="Q10:Q18" si="1">SUM(F10:P10)</f>
        <v>0</v>
      </c>
      <c r="R10" s="165">
        <f t="shared" si="0"/>
        <v>0</v>
      </c>
    </row>
    <row r="11" spans="1:19" ht="15.75" thickBot="1" x14ac:dyDescent="0.3">
      <c r="A11" s="192"/>
      <c r="B11" s="81"/>
      <c r="C11" s="81"/>
      <c r="D11" s="81"/>
      <c r="E11" s="167"/>
      <c r="F11" s="78"/>
      <c r="G11" s="78"/>
      <c r="H11" s="78"/>
      <c r="I11" s="82"/>
      <c r="J11" s="82"/>
      <c r="K11" s="195"/>
      <c r="L11" s="81"/>
      <c r="M11" s="81"/>
      <c r="N11" s="81"/>
      <c r="O11" s="81"/>
      <c r="P11" s="81"/>
      <c r="Q11" s="17">
        <f t="shared" si="1"/>
        <v>0</v>
      </c>
      <c r="R11" s="165">
        <f t="shared" si="0"/>
        <v>0</v>
      </c>
    </row>
    <row r="12" spans="1:19" ht="15.75" thickBot="1" x14ac:dyDescent="0.3">
      <c r="A12" s="80"/>
      <c r="B12" s="81"/>
      <c r="C12" s="81"/>
      <c r="D12" s="81"/>
      <c r="E12" s="167"/>
      <c r="F12" s="78"/>
      <c r="G12" s="78"/>
      <c r="H12" s="78"/>
      <c r="I12" s="82"/>
      <c r="J12" s="82"/>
      <c r="K12" s="195"/>
      <c r="L12" s="81"/>
      <c r="M12" s="81"/>
      <c r="N12" s="81"/>
      <c r="O12" s="81"/>
      <c r="P12" s="81"/>
      <c r="Q12" s="17">
        <f t="shared" si="1"/>
        <v>0</v>
      </c>
      <c r="R12" s="165">
        <f t="shared" si="0"/>
        <v>0</v>
      </c>
    </row>
    <row r="13" spans="1:19" ht="15.75" thickBot="1" x14ac:dyDescent="0.3">
      <c r="A13" s="80"/>
      <c r="B13" s="81"/>
      <c r="C13" s="81"/>
      <c r="D13" s="81"/>
      <c r="E13" s="167"/>
      <c r="F13" s="78"/>
      <c r="G13" s="78"/>
      <c r="H13" s="78"/>
      <c r="I13" s="82"/>
      <c r="J13" s="82"/>
      <c r="K13" s="195"/>
      <c r="L13" s="81"/>
      <c r="M13" s="81"/>
      <c r="N13" s="81"/>
      <c r="O13" s="81"/>
      <c r="P13" s="81"/>
      <c r="Q13" s="17">
        <f t="shared" si="1"/>
        <v>0</v>
      </c>
      <c r="R13" s="165">
        <f t="shared" si="0"/>
        <v>0</v>
      </c>
    </row>
    <row r="14" spans="1:19" ht="15.75" thickBot="1" x14ac:dyDescent="0.3">
      <c r="A14" s="80"/>
      <c r="B14" s="81"/>
      <c r="C14" s="81"/>
      <c r="D14" s="81"/>
      <c r="E14" s="167"/>
      <c r="F14" s="78"/>
      <c r="G14" s="78"/>
      <c r="H14" s="78"/>
      <c r="I14" s="82"/>
      <c r="J14" s="82"/>
      <c r="K14" s="195"/>
      <c r="L14" s="81"/>
      <c r="M14" s="81"/>
      <c r="N14" s="81"/>
      <c r="O14" s="81"/>
      <c r="P14" s="81"/>
      <c r="Q14" s="17">
        <f t="shared" si="1"/>
        <v>0</v>
      </c>
      <c r="R14" s="165">
        <f t="shared" si="0"/>
        <v>0</v>
      </c>
    </row>
    <row r="15" spans="1:19" ht="15.75" thickBot="1" x14ac:dyDescent="0.3">
      <c r="A15" s="80"/>
      <c r="B15" s="81"/>
      <c r="C15" s="81"/>
      <c r="D15" s="81"/>
      <c r="E15" s="167"/>
      <c r="F15" s="78"/>
      <c r="G15" s="78"/>
      <c r="H15" s="78"/>
      <c r="I15" s="82"/>
      <c r="J15" s="82"/>
      <c r="K15" s="195"/>
      <c r="L15" s="81"/>
      <c r="M15" s="81"/>
      <c r="N15" s="81"/>
      <c r="O15" s="81"/>
      <c r="P15" s="81"/>
      <c r="Q15" s="17">
        <f t="shared" si="1"/>
        <v>0</v>
      </c>
      <c r="R15" s="165">
        <f t="shared" si="0"/>
        <v>0</v>
      </c>
    </row>
    <row r="16" spans="1:19" ht="15.75" thickBot="1" x14ac:dyDescent="0.3">
      <c r="A16" s="80"/>
      <c r="B16" s="81"/>
      <c r="C16" s="81"/>
      <c r="D16" s="81"/>
      <c r="E16" s="167"/>
      <c r="F16" s="78"/>
      <c r="G16" s="78"/>
      <c r="H16" s="78"/>
      <c r="I16" s="82"/>
      <c r="J16" s="82"/>
      <c r="K16" s="195"/>
      <c r="L16" s="81"/>
      <c r="M16" s="81"/>
      <c r="N16" s="81"/>
      <c r="O16" s="81"/>
      <c r="P16" s="81"/>
      <c r="Q16" s="17">
        <f t="shared" si="1"/>
        <v>0</v>
      </c>
      <c r="R16" s="165">
        <f t="shared" si="0"/>
        <v>0</v>
      </c>
    </row>
    <row r="17" spans="1:18" ht="15.75" thickBot="1" x14ac:dyDescent="0.3">
      <c r="A17" s="80"/>
      <c r="B17" s="81"/>
      <c r="C17" s="81"/>
      <c r="D17" s="81"/>
      <c r="E17" s="167"/>
      <c r="F17" s="78"/>
      <c r="G17" s="78"/>
      <c r="H17" s="78"/>
      <c r="I17" s="82"/>
      <c r="J17" s="82"/>
      <c r="K17" s="195"/>
      <c r="L17" s="81"/>
      <c r="M17" s="81"/>
      <c r="N17" s="81"/>
      <c r="O17" s="81"/>
      <c r="P17" s="81"/>
      <c r="Q17" s="17">
        <f t="shared" si="1"/>
        <v>0</v>
      </c>
      <c r="R17" s="165">
        <f t="shared" si="0"/>
        <v>0</v>
      </c>
    </row>
    <row r="18" spans="1:18" ht="15.75" thickBot="1" x14ac:dyDescent="0.3">
      <c r="A18" s="80"/>
      <c r="B18" s="81"/>
      <c r="C18" s="81"/>
      <c r="D18" s="81"/>
      <c r="E18" s="167"/>
      <c r="F18" s="78"/>
      <c r="G18" s="78"/>
      <c r="H18" s="78"/>
      <c r="I18" s="82"/>
      <c r="J18" s="82"/>
      <c r="K18" s="195"/>
      <c r="L18" s="81"/>
      <c r="M18" s="81"/>
      <c r="N18" s="81"/>
      <c r="O18" s="81"/>
      <c r="P18" s="81"/>
      <c r="Q18" s="17">
        <f t="shared" si="1"/>
        <v>0</v>
      </c>
      <c r="R18" s="165">
        <f t="shared" si="0"/>
        <v>0</v>
      </c>
    </row>
    <row r="19" spans="1:18" ht="15.75" thickBot="1" x14ac:dyDescent="0.3">
      <c r="A19" s="53" t="s">
        <v>4</v>
      </c>
      <c r="B19" s="53"/>
      <c r="C19" s="53"/>
      <c r="D19" s="53"/>
      <c r="E19" s="83">
        <f>SUM(E9:E18)</f>
        <v>0</v>
      </c>
      <c r="F19" s="82"/>
      <c r="G19" s="82"/>
      <c r="H19" s="82"/>
      <c r="I19" s="82"/>
      <c r="J19" s="82"/>
      <c r="K19" s="82"/>
      <c r="L19" s="196"/>
      <c r="M19" s="196"/>
      <c r="N19" s="196"/>
      <c r="O19" s="196"/>
      <c r="P19" s="196"/>
      <c r="Q19" s="16">
        <f>SUM(Q9:Q18)</f>
        <v>0</v>
      </c>
      <c r="R19" s="165">
        <f>SUM(R9:R18)</f>
        <v>0</v>
      </c>
    </row>
    <row r="20" spans="1:18" ht="15.75" thickBot="1" x14ac:dyDescent="0.3"/>
    <row r="21" spans="1:18" ht="16.5" thickBot="1" x14ac:dyDescent="0.35">
      <c r="H21" s="291" t="s">
        <v>20</v>
      </c>
      <c r="I21" s="292"/>
      <c r="J21" s="15">
        <f>E19</f>
        <v>0</v>
      </c>
    </row>
    <row r="22" spans="1:18" ht="19.5" thickBot="1" x14ac:dyDescent="0.45">
      <c r="H22" s="279" t="s">
        <v>3</v>
      </c>
      <c r="I22" s="280"/>
      <c r="J22" s="16">
        <f>+Q19</f>
        <v>0</v>
      </c>
    </row>
    <row r="23" spans="1:18" ht="19.5" thickBot="1" x14ac:dyDescent="0.45">
      <c r="H23" s="279" t="s">
        <v>7</v>
      </c>
      <c r="I23" s="279"/>
      <c r="J23" s="13">
        <f>R19</f>
        <v>0</v>
      </c>
    </row>
    <row r="25" spans="1:18" ht="18.75" x14ac:dyDescent="0.25">
      <c r="D25" s="137">
        <v>45292</v>
      </c>
      <c r="E25" s="138" t="s">
        <v>47</v>
      </c>
      <c r="F25" s="138" t="s">
        <v>41</v>
      </c>
      <c r="G25" s="138" t="s">
        <v>42</v>
      </c>
      <c r="H25" s="138" t="s">
        <v>43</v>
      </c>
      <c r="I25" s="138" t="s">
        <v>44</v>
      </c>
      <c r="J25" s="139" t="s">
        <v>45</v>
      </c>
      <c r="K25" s="139" t="s">
        <v>46</v>
      </c>
      <c r="L25" s="151"/>
      <c r="M25" s="151"/>
      <c r="N25" s="151"/>
      <c r="O25" s="151"/>
      <c r="P25" s="151"/>
    </row>
    <row r="26" spans="1:18" ht="18.75" x14ac:dyDescent="0.25">
      <c r="D26" s="140" t="s">
        <v>162</v>
      </c>
      <c r="E26" s="141" t="s">
        <v>411</v>
      </c>
      <c r="F26" s="141" t="s">
        <v>412</v>
      </c>
      <c r="G26" s="141" t="s">
        <v>413</v>
      </c>
      <c r="H26" s="141" t="s">
        <v>414</v>
      </c>
      <c r="I26" s="141" t="s">
        <v>415</v>
      </c>
      <c r="J26" s="184" t="s">
        <v>416</v>
      </c>
      <c r="K26" s="184" t="s">
        <v>417</v>
      </c>
      <c r="L26" s="152"/>
      <c r="M26" s="152"/>
      <c r="N26" s="152"/>
      <c r="O26" s="152"/>
      <c r="P26" s="152"/>
    </row>
    <row r="39" spans="11:11" x14ac:dyDescent="0.25">
      <c r="K39" t="s">
        <v>31</v>
      </c>
    </row>
  </sheetData>
  <sheetProtection algorithmName="SHA-512" hashValue="JKMfk7/rUQEwuKphgK1aULmEm/rU0HYl9sEfic+xoF8u7Q93+zk0ms1ldCp8YFC+TULYLargbgCXNYLTC12Hug==" saltValue="6oTqI9waoxLYUHmu+AhgVw==" spinCount="100000" sheet="1" formatCells="0" formatColumns="0" formatRows="0" insertColumns="0" insertRows="0" insertHyperlinks="0" deleteColumns="0" deleteRows="0" sort="0" autoFilter="0" pivotTables="0"/>
  <autoFilter ref="A8:R8" xr:uid="{00000000-0001-0000-0400-000000000000}"/>
  <mergeCells count="9">
    <mergeCell ref="H21:I21"/>
    <mergeCell ref="H22:I22"/>
    <mergeCell ref="H23:I23"/>
    <mergeCell ref="A1:B5"/>
    <mergeCell ref="C1:G2"/>
    <mergeCell ref="H1:I2"/>
    <mergeCell ref="C3:I7"/>
    <mergeCell ref="A6:B6"/>
    <mergeCell ref="A7:B7"/>
  </mergeCells>
  <phoneticPr fontId="18" type="noConversion"/>
  <conditionalFormatting sqref="L26:P26">
    <cfRule type="expression" dxfId="263" priority="13">
      <formula>IFERROR(INDEX(DiasCategorias, L26-FechaInicio+1),0)=1</formula>
    </cfRule>
    <cfRule type="expression" dxfId="262" priority="14">
      <formula>IFERROR(INDEX(DiasCategorias, L26-FechaInicio+1),0)=2</formula>
    </cfRule>
    <cfRule type="expression" dxfId="261" priority="15">
      <formula>IFERROR(INDEX(DiasCategorias, L26-FechaInicio+1),0)=3</formula>
    </cfRule>
    <cfRule type="expression" dxfId="260" priority="16">
      <formula>IFERROR(INDEX(DiasCategorias, L26-FechaInicio+1),0)=4</formula>
    </cfRule>
    <cfRule type="expression" dxfId="259" priority="17">
      <formula>IFERROR(INDEX(DiasCategorias, L26-FechaInicio+1),0)=5</formula>
    </cfRule>
    <cfRule type="expression" dxfId="258" priority="18">
      <formula>IFERROR(INDEX(DiasCategorias, L26-FechaInicio+1),0)=6</formula>
    </cfRule>
    <cfRule type="expression" dxfId="257" priority="19">
      <formula>IFERROR(INDEX(DiasCategorias, L26-FechaInicio+1),0)=7</formula>
    </cfRule>
    <cfRule type="expression" dxfId="256" priority="20">
      <formula>IFERROR(INDEX(DiasCategorias, L26-FechaInicio+1),0)=8</formula>
    </cfRule>
    <cfRule type="expression" dxfId="255" priority="21">
      <formula>IFERROR(INDEX(DiasCategorias, L26-FechaInicio+1),0)=9</formula>
    </cfRule>
    <cfRule type="expression" dxfId="254" priority="22">
      <formula>IFERROR(INDEX(DiasCategorias, L26-FechaInicio+1),0)=10</formula>
    </cfRule>
    <cfRule type="expression" dxfId="253" priority="23">
      <formula>IFERROR(INDEX(DiasCategorias, L26-FechaInicio+1),0)=11</formula>
    </cfRule>
    <cfRule type="expression" dxfId="252" priority="24">
      <formula>IFERROR(INDEX(DiasCategorias, L26-FechaInicio+1),0)=12</formula>
    </cfRule>
  </conditionalFormatting>
  <conditionalFormatting sqref="E26:K26">
    <cfRule type="expression" dxfId="251" priority="1">
      <formula>IFERROR(INDEX(DiasCategorias, E26-FechaInicio+1),0)=1</formula>
    </cfRule>
    <cfRule type="expression" dxfId="250" priority="2">
      <formula>IFERROR(INDEX(DiasCategorias, E26-FechaInicio+1),0)=2</formula>
    </cfRule>
    <cfRule type="expression" dxfId="249" priority="3">
      <formula>IFERROR(INDEX(DiasCategorias, E26-FechaInicio+1),0)=3</formula>
    </cfRule>
    <cfRule type="expression" dxfId="248" priority="4">
      <formula>IFERROR(INDEX(DiasCategorias, E26-FechaInicio+1),0)=4</formula>
    </cfRule>
    <cfRule type="expression" dxfId="247" priority="5">
      <formula>IFERROR(INDEX(DiasCategorias, E26-FechaInicio+1),0)=5</formula>
    </cfRule>
    <cfRule type="expression" dxfId="246" priority="6">
      <formula>IFERROR(INDEX(DiasCategorias, E26-FechaInicio+1),0)=6</formula>
    </cfRule>
    <cfRule type="expression" dxfId="245" priority="7">
      <formula>IFERROR(INDEX(DiasCategorias, E26-FechaInicio+1),0)=7</formula>
    </cfRule>
    <cfRule type="expression" dxfId="244" priority="8">
      <formula>IFERROR(INDEX(DiasCategorias, E26-FechaInicio+1),0)=8</formula>
    </cfRule>
    <cfRule type="expression" dxfId="243" priority="9">
      <formula>IFERROR(INDEX(DiasCategorias, E26-FechaInicio+1),0)=9</formula>
    </cfRule>
    <cfRule type="expression" dxfId="242" priority="10">
      <formula>IFERROR(INDEX(DiasCategorias, E26-FechaInicio+1),0)=10</formula>
    </cfRule>
    <cfRule type="expression" dxfId="241" priority="11">
      <formula>IFERROR(INDEX(DiasCategorias, E26-FechaInicio+1),0)=11</formula>
    </cfRule>
    <cfRule type="expression" dxfId="240" priority="12">
      <formula>IFERROR(INDEX(DiasCategorias, E26-FechaInicio+1),0)=12</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0F3DF-D832-4EEC-91BC-12C4C8CECA21}">
  <sheetPr codeName="Hoja9">
    <tabColor rgb="FF00B0F0"/>
  </sheetPr>
  <dimension ref="A1:S39"/>
  <sheetViews>
    <sheetView workbookViewId="0">
      <selection activeCell="K24" sqref="K24"/>
    </sheetView>
  </sheetViews>
  <sheetFormatPr baseColWidth="10" defaultRowHeight="15" x14ac:dyDescent="0.25"/>
  <cols>
    <col min="2" max="2" width="9.140625" customWidth="1"/>
    <col min="3" max="3" width="31.7109375" bestFit="1" customWidth="1"/>
    <col min="6" max="6" width="14.42578125" customWidth="1"/>
    <col min="7" max="7" width="14.5703125" customWidth="1"/>
    <col min="8" max="8" width="13.42578125" customWidth="1"/>
    <col min="9" max="9" width="13.85546875" customWidth="1"/>
    <col min="10" max="10" width="16.28515625" customWidth="1"/>
    <col min="11" max="16" width="15.5703125" customWidth="1"/>
  </cols>
  <sheetData>
    <row r="1" spans="1:19" ht="15" customHeight="1" x14ac:dyDescent="0.25">
      <c r="A1" s="268"/>
      <c r="B1" s="268"/>
      <c r="C1" s="281" t="s">
        <v>8</v>
      </c>
      <c r="D1" s="282"/>
      <c r="E1" s="282"/>
      <c r="F1" s="282"/>
      <c r="G1" s="283"/>
      <c r="H1" s="288"/>
      <c r="I1" s="289"/>
    </row>
    <row r="2" spans="1:19" ht="15.75" customHeight="1" thickBot="1" x14ac:dyDescent="0.3">
      <c r="A2" s="268"/>
      <c r="B2" s="268"/>
      <c r="C2" s="285"/>
      <c r="D2" s="286"/>
      <c r="E2" s="286"/>
      <c r="F2" s="286"/>
      <c r="G2" s="287"/>
      <c r="H2" s="288"/>
      <c r="I2" s="289"/>
    </row>
    <row r="3" spans="1:19" x14ac:dyDescent="0.25">
      <c r="A3" s="268"/>
      <c r="B3" s="268"/>
      <c r="C3" s="268"/>
      <c r="D3" s="268"/>
      <c r="E3" s="268"/>
      <c r="F3" s="268"/>
      <c r="G3" s="268"/>
      <c r="H3" s="268"/>
      <c r="I3" s="268"/>
    </row>
    <row r="4" spans="1:19" x14ac:dyDescent="0.25">
      <c r="A4" s="268"/>
      <c r="B4" s="268"/>
      <c r="C4" s="268"/>
      <c r="D4" s="268"/>
      <c r="E4" s="268"/>
      <c r="F4" s="268"/>
      <c r="G4" s="268"/>
      <c r="H4" s="268"/>
      <c r="I4" s="268"/>
    </row>
    <row r="5" spans="1:19" x14ac:dyDescent="0.25">
      <c r="A5" s="268"/>
      <c r="B5" s="268"/>
      <c r="C5" s="268"/>
      <c r="D5" s="268"/>
      <c r="E5" s="268"/>
      <c r="F5" s="268"/>
      <c r="G5" s="268"/>
      <c r="H5" s="268"/>
      <c r="I5" s="268"/>
    </row>
    <row r="6" spans="1:19" ht="27" x14ac:dyDescent="0.5">
      <c r="A6" s="273" t="s">
        <v>10</v>
      </c>
      <c r="B6" s="273"/>
      <c r="C6" s="268"/>
      <c r="D6" s="268"/>
      <c r="E6" s="268"/>
      <c r="F6" s="268"/>
      <c r="G6" s="268"/>
      <c r="H6" s="268"/>
      <c r="I6" s="268"/>
    </row>
    <row r="7" spans="1:19" ht="27.75" thickBot="1" x14ac:dyDescent="0.55000000000000004">
      <c r="A7" s="274">
        <v>39</v>
      </c>
      <c r="B7" s="274"/>
      <c r="C7" s="296"/>
      <c r="D7" s="296"/>
      <c r="E7" s="296"/>
      <c r="F7" s="296"/>
      <c r="G7" s="296"/>
      <c r="H7" s="296"/>
      <c r="I7" s="296"/>
    </row>
    <row r="8" spans="1:19" ht="15.75" thickBot="1" x14ac:dyDescent="0.3">
      <c r="A8" s="10" t="s">
        <v>14</v>
      </c>
      <c r="B8" s="10" t="s">
        <v>15</v>
      </c>
      <c r="C8" s="10" t="s">
        <v>16</v>
      </c>
      <c r="D8" s="10" t="s">
        <v>114</v>
      </c>
      <c r="E8" s="11" t="s">
        <v>17</v>
      </c>
      <c r="F8" s="10" t="s">
        <v>30</v>
      </c>
      <c r="G8" s="10" t="s">
        <v>32</v>
      </c>
      <c r="H8" s="10" t="s">
        <v>33</v>
      </c>
      <c r="I8" s="10" t="s">
        <v>34</v>
      </c>
      <c r="J8" s="10" t="s">
        <v>35</v>
      </c>
      <c r="K8" s="10" t="s">
        <v>36</v>
      </c>
      <c r="L8" s="10" t="s">
        <v>37</v>
      </c>
      <c r="M8" s="10" t="s">
        <v>38</v>
      </c>
      <c r="N8" s="10" t="s">
        <v>39</v>
      </c>
      <c r="O8" s="10" t="s">
        <v>91</v>
      </c>
      <c r="P8" s="10" t="s">
        <v>92</v>
      </c>
      <c r="Q8" s="11" t="s">
        <v>4</v>
      </c>
      <c r="R8" s="174" t="s">
        <v>18</v>
      </c>
    </row>
    <row r="9" spans="1:19" ht="15.75" thickBot="1" x14ac:dyDescent="0.3">
      <c r="A9" s="80"/>
      <c r="B9" s="81"/>
      <c r="C9" s="81"/>
      <c r="D9" s="81"/>
      <c r="E9" s="167"/>
      <c r="F9" s="78"/>
      <c r="G9" s="78"/>
      <c r="H9" s="78"/>
      <c r="I9" s="82"/>
      <c r="J9" s="82"/>
      <c r="K9" s="194"/>
      <c r="L9" s="78"/>
      <c r="M9" s="78"/>
      <c r="N9" s="78"/>
      <c r="O9" s="78"/>
      <c r="P9" s="78"/>
      <c r="Q9" s="17">
        <f>SUM(F9:P9)</f>
        <v>0</v>
      </c>
      <c r="R9" s="165">
        <f t="shared" ref="R9:R18" si="0">E9-Q9</f>
        <v>0</v>
      </c>
      <c r="S9">
        <f>_xlfn.ISOWEEKNUM(A9)</f>
        <v>52</v>
      </c>
    </row>
    <row r="10" spans="1:19" ht="15.75" thickBot="1" x14ac:dyDescent="0.3">
      <c r="A10" s="80"/>
      <c r="B10" s="81"/>
      <c r="C10" s="81"/>
      <c r="D10" s="81"/>
      <c r="E10" s="167"/>
      <c r="F10" s="78"/>
      <c r="G10" s="78"/>
      <c r="H10" s="79"/>
      <c r="I10" s="82"/>
      <c r="J10" s="82"/>
      <c r="K10" s="195"/>
      <c r="L10" s="81"/>
      <c r="M10" s="81"/>
      <c r="N10" s="81"/>
      <c r="O10" s="81"/>
      <c r="P10" s="81"/>
      <c r="Q10" s="17">
        <f t="shared" ref="Q10:Q18" si="1">SUM(F10:P10)</f>
        <v>0</v>
      </c>
      <c r="R10" s="165">
        <f t="shared" si="0"/>
        <v>0</v>
      </c>
    </row>
    <row r="11" spans="1:19" ht="15.75" thickBot="1" x14ac:dyDescent="0.3">
      <c r="A11" s="80"/>
      <c r="B11" s="81"/>
      <c r="C11" s="81"/>
      <c r="D11" s="81"/>
      <c r="E11" s="167"/>
      <c r="F11" s="78"/>
      <c r="G11" s="78"/>
      <c r="H11" s="78"/>
      <c r="I11" s="82"/>
      <c r="J11" s="82"/>
      <c r="K11" s="195"/>
      <c r="L11" s="81"/>
      <c r="M11" s="81"/>
      <c r="N11" s="81"/>
      <c r="O11" s="81"/>
      <c r="P11" s="81"/>
      <c r="Q11" s="17">
        <f t="shared" si="1"/>
        <v>0</v>
      </c>
      <c r="R11" s="165">
        <f t="shared" si="0"/>
        <v>0</v>
      </c>
    </row>
    <row r="12" spans="1:19" ht="15.75" thickBot="1" x14ac:dyDescent="0.3">
      <c r="A12" s="80"/>
      <c r="B12" s="81"/>
      <c r="C12" s="81"/>
      <c r="D12" s="81"/>
      <c r="E12" s="167"/>
      <c r="F12" s="78"/>
      <c r="G12" s="78"/>
      <c r="H12" s="78"/>
      <c r="I12" s="82"/>
      <c r="J12" s="82"/>
      <c r="K12" s="195"/>
      <c r="L12" s="81"/>
      <c r="M12" s="81"/>
      <c r="N12" s="81"/>
      <c r="O12" s="81"/>
      <c r="P12" s="81"/>
      <c r="Q12" s="17">
        <f t="shared" si="1"/>
        <v>0</v>
      </c>
      <c r="R12" s="165">
        <f t="shared" si="0"/>
        <v>0</v>
      </c>
    </row>
    <row r="13" spans="1:19" ht="15.75" thickBot="1" x14ac:dyDescent="0.3">
      <c r="A13" s="80"/>
      <c r="B13" s="81"/>
      <c r="C13" s="81"/>
      <c r="D13" s="81"/>
      <c r="E13" s="167"/>
      <c r="F13" s="78"/>
      <c r="G13" s="78"/>
      <c r="H13" s="78"/>
      <c r="I13" s="82"/>
      <c r="J13" s="82"/>
      <c r="K13" s="195"/>
      <c r="L13" s="81"/>
      <c r="M13" s="81"/>
      <c r="N13" s="81"/>
      <c r="O13" s="81"/>
      <c r="P13" s="81"/>
      <c r="Q13" s="17">
        <f t="shared" si="1"/>
        <v>0</v>
      </c>
      <c r="R13" s="165">
        <f t="shared" si="0"/>
        <v>0</v>
      </c>
    </row>
    <row r="14" spans="1:19" ht="15.75" thickBot="1" x14ac:dyDescent="0.3">
      <c r="A14" s="80"/>
      <c r="B14" s="81"/>
      <c r="C14" s="81"/>
      <c r="D14" s="81"/>
      <c r="E14" s="167"/>
      <c r="F14" s="78"/>
      <c r="G14" s="78"/>
      <c r="H14" s="78"/>
      <c r="I14" s="82"/>
      <c r="J14" s="82"/>
      <c r="K14" s="195"/>
      <c r="L14" s="81"/>
      <c r="M14" s="81"/>
      <c r="N14" s="81"/>
      <c r="O14" s="81"/>
      <c r="P14" s="81"/>
      <c r="Q14" s="17">
        <f t="shared" si="1"/>
        <v>0</v>
      </c>
      <c r="R14" s="165">
        <f t="shared" si="0"/>
        <v>0</v>
      </c>
    </row>
    <row r="15" spans="1:19" ht="15.75" thickBot="1" x14ac:dyDescent="0.3">
      <c r="A15" s="80"/>
      <c r="B15" s="81"/>
      <c r="C15" s="81"/>
      <c r="D15" s="81"/>
      <c r="E15" s="167"/>
      <c r="F15" s="78"/>
      <c r="G15" s="78"/>
      <c r="H15" s="78"/>
      <c r="I15" s="82"/>
      <c r="J15" s="82"/>
      <c r="K15" s="195"/>
      <c r="L15" s="81"/>
      <c r="M15" s="81"/>
      <c r="N15" s="81"/>
      <c r="O15" s="81"/>
      <c r="P15" s="81"/>
      <c r="Q15" s="17">
        <f t="shared" si="1"/>
        <v>0</v>
      </c>
      <c r="R15" s="165">
        <f t="shared" si="0"/>
        <v>0</v>
      </c>
    </row>
    <row r="16" spans="1:19" ht="15.75" thickBot="1" x14ac:dyDescent="0.3">
      <c r="A16" s="80"/>
      <c r="B16" s="81"/>
      <c r="C16" s="81"/>
      <c r="D16" s="81"/>
      <c r="E16" s="167"/>
      <c r="F16" s="78"/>
      <c r="G16" s="78"/>
      <c r="H16" s="78"/>
      <c r="I16" s="82"/>
      <c r="J16" s="82"/>
      <c r="K16" s="195"/>
      <c r="L16" s="81"/>
      <c r="M16" s="81"/>
      <c r="N16" s="81"/>
      <c r="O16" s="81"/>
      <c r="P16" s="81"/>
      <c r="Q16" s="17">
        <f t="shared" si="1"/>
        <v>0</v>
      </c>
      <c r="R16" s="165">
        <f t="shared" si="0"/>
        <v>0</v>
      </c>
    </row>
    <row r="17" spans="1:18" ht="15.75" thickBot="1" x14ac:dyDescent="0.3">
      <c r="A17" s="80"/>
      <c r="B17" s="81"/>
      <c r="C17" s="81"/>
      <c r="D17" s="81"/>
      <c r="E17" s="167"/>
      <c r="F17" s="78"/>
      <c r="G17" s="78"/>
      <c r="H17" s="78"/>
      <c r="I17" s="82"/>
      <c r="J17" s="82"/>
      <c r="K17" s="195"/>
      <c r="L17" s="81"/>
      <c r="M17" s="81"/>
      <c r="N17" s="81"/>
      <c r="O17" s="81"/>
      <c r="P17" s="81"/>
      <c r="Q17" s="17">
        <f t="shared" si="1"/>
        <v>0</v>
      </c>
      <c r="R17" s="165">
        <f t="shared" si="0"/>
        <v>0</v>
      </c>
    </row>
    <row r="18" spans="1:18" ht="15.75" thickBot="1" x14ac:dyDescent="0.3">
      <c r="A18" s="80"/>
      <c r="B18" s="81"/>
      <c r="C18" s="81"/>
      <c r="D18" s="81"/>
      <c r="E18" s="167"/>
      <c r="F18" s="78"/>
      <c r="G18" s="78"/>
      <c r="H18" s="78"/>
      <c r="I18" s="82"/>
      <c r="J18" s="82"/>
      <c r="K18" s="195"/>
      <c r="L18" s="81"/>
      <c r="M18" s="81"/>
      <c r="N18" s="81"/>
      <c r="O18" s="81"/>
      <c r="P18" s="81"/>
      <c r="Q18" s="17">
        <f t="shared" si="1"/>
        <v>0</v>
      </c>
      <c r="R18" s="165">
        <f t="shared" si="0"/>
        <v>0</v>
      </c>
    </row>
    <row r="19" spans="1:18" ht="15.75" thickBot="1" x14ac:dyDescent="0.3">
      <c r="A19" s="53" t="s">
        <v>4</v>
      </c>
      <c r="B19" s="53"/>
      <c r="C19" s="53"/>
      <c r="D19" s="53"/>
      <c r="E19" s="83">
        <f>SUM(E9:E18)</f>
        <v>0</v>
      </c>
      <c r="F19" s="82"/>
      <c r="G19" s="82"/>
      <c r="H19" s="82"/>
      <c r="I19" s="82"/>
      <c r="J19" s="82"/>
      <c r="K19" s="82"/>
      <c r="L19" s="196"/>
      <c r="M19" s="196"/>
      <c r="N19" s="196"/>
      <c r="O19" s="196"/>
      <c r="P19" s="196"/>
      <c r="Q19" s="16">
        <f>SUM(Q9:Q18)</f>
        <v>0</v>
      </c>
      <c r="R19" s="165">
        <f>SUM(R9:R18)</f>
        <v>0</v>
      </c>
    </row>
    <row r="20" spans="1:18" ht="15.75" thickBot="1" x14ac:dyDescent="0.3"/>
    <row r="21" spans="1:18" ht="16.5" thickBot="1" x14ac:dyDescent="0.35">
      <c r="H21" s="291" t="s">
        <v>20</v>
      </c>
      <c r="I21" s="292"/>
      <c r="J21" s="15">
        <f>E19</f>
        <v>0</v>
      </c>
    </row>
    <row r="22" spans="1:18" ht="19.5" thickBot="1" x14ac:dyDescent="0.45">
      <c r="H22" s="279" t="s">
        <v>3</v>
      </c>
      <c r="I22" s="280"/>
      <c r="J22" s="16">
        <f>+Q19</f>
        <v>0</v>
      </c>
    </row>
    <row r="23" spans="1:18" ht="19.5" thickBot="1" x14ac:dyDescent="0.45">
      <c r="H23" s="279" t="s">
        <v>7</v>
      </c>
      <c r="I23" s="279"/>
      <c r="J23" s="13">
        <f>R19</f>
        <v>0</v>
      </c>
    </row>
    <row r="25" spans="1:18" ht="18.75" x14ac:dyDescent="0.25">
      <c r="D25" s="137">
        <v>45292</v>
      </c>
      <c r="E25" s="138" t="s">
        <v>47</v>
      </c>
      <c r="F25" s="138" t="s">
        <v>41</v>
      </c>
      <c r="G25" s="138" t="s">
        <v>42</v>
      </c>
      <c r="H25" s="138" t="s">
        <v>43</v>
      </c>
      <c r="I25" s="138" t="s">
        <v>44</v>
      </c>
      <c r="J25" s="139" t="s">
        <v>45</v>
      </c>
      <c r="K25" s="139" t="s">
        <v>46</v>
      </c>
      <c r="L25" s="151"/>
      <c r="M25" s="151"/>
      <c r="N25" s="151"/>
      <c r="O25" s="151"/>
      <c r="P25" s="151"/>
    </row>
    <row r="26" spans="1:18" ht="18.75" x14ac:dyDescent="0.25">
      <c r="D26" s="140" t="s">
        <v>163</v>
      </c>
      <c r="E26" s="141" t="s">
        <v>418</v>
      </c>
      <c r="F26" s="141" t="s">
        <v>419</v>
      </c>
      <c r="G26" s="141" t="s">
        <v>420</v>
      </c>
      <c r="H26" s="141" t="s">
        <v>421</v>
      </c>
      <c r="I26" s="141" t="s">
        <v>422</v>
      </c>
      <c r="J26" s="184" t="s">
        <v>423</v>
      </c>
      <c r="K26" s="184" t="s">
        <v>424</v>
      </c>
      <c r="L26" s="152"/>
      <c r="M26" s="152"/>
      <c r="N26" s="152"/>
      <c r="O26" s="152"/>
      <c r="P26" s="152"/>
    </row>
    <row r="39" spans="11:11" x14ac:dyDescent="0.25">
      <c r="K39" t="s">
        <v>31</v>
      </c>
    </row>
  </sheetData>
  <sheetProtection algorithmName="SHA-512" hashValue="kVwwNz0xV29yXF89um6C8FsJoN8XODaBNx/RqtBR/zI1pWdMJeAiR4sfUkjR6X6sgBNiSf1N8aWdTvVlB3s2aQ==" saltValue="wMpGBmQAquHQs9SeMsGQXQ==" spinCount="100000" sheet="1" formatCells="0" formatColumns="0" formatRows="0" insertColumns="0" insertRows="0" insertHyperlinks="0" deleteColumns="0" deleteRows="0" sort="0" autoFilter="0" pivotTables="0"/>
  <autoFilter ref="A8:R8" xr:uid="{A830F3DF-D832-4EEC-91BC-12C4C8CECA21}"/>
  <mergeCells count="9">
    <mergeCell ref="H21:I21"/>
    <mergeCell ref="H22:I22"/>
    <mergeCell ref="H23:I23"/>
    <mergeCell ref="A1:B5"/>
    <mergeCell ref="C1:G2"/>
    <mergeCell ref="H1:I2"/>
    <mergeCell ref="C3:I7"/>
    <mergeCell ref="A6:B6"/>
    <mergeCell ref="A7:B7"/>
  </mergeCells>
  <phoneticPr fontId="18" type="noConversion"/>
  <conditionalFormatting sqref="L26:P26">
    <cfRule type="expression" dxfId="239" priority="13">
      <formula>IFERROR(INDEX(DiasCategorias, L26-FechaInicio+1),0)=1</formula>
    </cfRule>
    <cfRule type="expression" dxfId="238" priority="14">
      <formula>IFERROR(INDEX(DiasCategorias, L26-FechaInicio+1),0)=2</formula>
    </cfRule>
    <cfRule type="expression" dxfId="237" priority="15">
      <formula>IFERROR(INDEX(DiasCategorias, L26-FechaInicio+1),0)=3</formula>
    </cfRule>
    <cfRule type="expression" dxfId="236" priority="16">
      <formula>IFERROR(INDEX(DiasCategorias, L26-FechaInicio+1),0)=4</formula>
    </cfRule>
    <cfRule type="expression" dxfId="235" priority="17">
      <formula>IFERROR(INDEX(DiasCategorias, L26-FechaInicio+1),0)=5</formula>
    </cfRule>
    <cfRule type="expression" dxfId="234" priority="18">
      <formula>IFERROR(INDEX(DiasCategorias, L26-FechaInicio+1),0)=6</formula>
    </cfRule>
    <cfRule type="expression" dxfId="233" priority="19">
      <formula>IFERROR(INDEX(DiasCategorias, L26-FechaInicio+1),0)=7</formula>
    </cfRule>
    <cfRule type="expression" dxfId="232" priority="20">
      <formula>IFERROR(INDEX(DiasCategorias, L26-FechaInicio+1),0)=8</formula>
    </cfRule>
    <cfRule type="expression" dxfId="231" priority="21">
      <formula>IFERROR(INDEX(DiasCategorias, L26-FechaInicio+1),0)=9</formula>
    </cfRule>
    <cfRule type="expression" dxfId="230" priority="22">
      <formula>IFERROR(INDEX(DiasCategorias, L26-FechaInicio+1),0)=10</formula>
    </cfRule>
    <cfRule type="expression" dxfId="229" priority="23">
      <formula>IFERROR(INDEX(DiasCategorias, L26-FechaInicio+1),0)=11</formula>
    </cfRule>
    <cfRule type="expression" dxfId="228" priority="24">
      <formula>IFERROR(INDEX(DiasCategorias, L26-FechaInicio+1),0)=12</formula>
    </cfRule>
  </conditionalFormatting>
  <conditionalFormatting sqref="E26:K26">
    <cfRule type="expression" dxfId="227" priority="1">
      <formula>IFERROR(INDEX(DiasCategorias, E26-FechaInicio+1),0)=1</formula>
    </cfRule>
    <cfRule type="expression" dxfId="226" priority="2">
      <formula>IFERROR(INDEX(DiasCategorias, E26-FechaInicio+1),0)=2</formula>
    </cfRule>
    <cfRule type="expression" dxfId="225" priority="3">
      <formula>IFERROR(INDEX(DiasCategorias, E26-FechaInicio+1),0)=3</formula>
    </cfRule>
    <cfRule type="expression" dxfId="224" priority="4">
      <formula>IFERROR(INDEX(DiasCategorias, E26-FechaInicio+1),0)=4</formula>
    </cfRule>
    <cfRule type="expression" dxfId="223" priority="5">
      <formula>IFERROR(INDEX(DiasCategorias, E26-FechaInicio+1),0)=5</formula>
    </cfRule>
    <cfRule type="expression" dxfId="222" priority="6">
      <formula>IFERROR(INDEX(DiasCategorias, E26-FechaInicio+1),0)=6</formula>
    </cfRule>
    <cfRule type="expression" dxfId="221" priority="7">
      <formula>IFERROR(INDEX(DiasCategorias, E26-FechaInicio+1),0)=7</formula>
    </cfRule>
    <cfRule type="expression" dxfId="220" priority="8">
      <formula>IFERROR(INDEX(DiasCategorias, E26-FechaInicio+1),0)=8</formula>
    </cfRule>
    <cfRule type="expression" dxfId="219" priority="9">
      <formula>IFERROR(INDEX(DiasCategorias, E26-FechaInicio+1),0)=9</formula>
    </cfRule>
    <cfRule type="expression" dxfId="218" priority="10">
      <formula>IFERROR(INDEX(DiasCategorias, E26-FechaInicio+1),0)=10</formula>
    </cfRule>
    <cfRule type="expression" dxfId="217" priority="11">
      <formula>IFERROR(INDEX(DiasCategorias, E26-FechaInicio+1),0)=11</formula>
    </cfRule>
    <cfRule type="expression" dxfId="216" priority="12">
      <formula>IFERROR(INDEX(DiasCategorias, E26-FechaInicio+1),0)=12</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tabColor theme="4" tint="0.59999389629810485"/>
  </sheetPr>
  <dimension ref="A1:R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6" max="6" width="14.42578125" customWidth="1"/>
    <col min="7" max="7" width="12.7109375" customWidth="1"/>
    <col min="8" max="8" width="14" customWidth="1"/>
    <col min="9" max="9" width="13.7109375" customWidth="1"/>
    <col min="11" max="15" width="14.28515625" customWidth="1"/>
  </cols>
  <sheetData>
    <row r="1" spans="1:18" ht="15" customHeight="1" x14ac:dyDescent="0.25">
      <c r="A1" s="268"/>
      <c r="B1" s="268"/>
      <c r="C1" s="281" t="s">
        <v>8</v>
      </c>
      <c r="D1" s="282"/>
      <c r="E1" s="282"/>
      <c r="F1" s="282"/>
      <c r="G1" s="283"/>
      <c r="H1" s="288"/>
      <c r="I1" s="289"/>
    </row>
    <row r="2" spans="1:18" ht="15.75" customHeight="1" thickBot="1" x14ac:dyDescent="0.3">
      <c r="A2" s="268"/>
      <c r="B2" s="268"/>
      <c r="C2" s="285"/>
      <c r="D2" s="286"/>
      <c r="E2" s="286"/>
      <c r="F2" s="286"/>
      <c r="G2" s="287"/>
      <c r="H2" s="288"/>
      <c r="I2" s="289"/>
    </row>
    <row r="3" spans="1:18" x14ac:dyDescent="0.25">
      <c r="A3" s="268"/>
      <c r="B3" s="268"/>
      <c r="C3" s="268"/>
      <c r="D3" s="268"/>
      <c r="E3" s="268"/>
      <c r="F3" s="268"/>
      <c r="G3" s="268"/>
      <c r="H3" s="268"/>
      <c r="I3" s="268"/>
    </row>
    <row r="4" spans="1:18" x14ac:dyDescent="0.25">
      <c r="A4" s="268"/>
      <c r="B4" s="268"/>
      <c r="C4" s="268"/>
      <c r="D4" s="268"/>
      <c r="E4" s="268"/>
      <c r="F4" s="268"/>
      <c r="G4" s="268"/>
      <c r="H4" s="268"/>
      <c r="I4" s="268"/>
    </row>
    <row r="5" spans="1:18" x14ac:dyDescent="0.25">
      <c r="A5" s="268"/>
      <c r="B5" s="268"/>
      <c r="C5" s="268"/>
      <c r="D5" s="268"/>
      <c r="E5" s="268"/>
      <c r="F5" s="268"/>
      <c r="G5" s="268"/>
      <c r="H5" s="268"/>
      <c r="I5" s="268"/>
    </row>
    <row r="6" spans="1:18" ht="27" x14ac:dyDescent="0.5">
      <c r="A6" s="273" t="s">
        <v>10</v>
      </c>
      <c r="B6" s="273"/>
      <c r="C6" s="268"/>
      <c r="D6" s="268"/>
      <c r="E6" s="268"/>
      <c r="F6" s="268"/>
      <c r="G6" s="268"/>
      <c r="H6" s="268"/>
      <c r="I6" s="268"/>
    </row>
    <row r="7" spans="1:18" ht="27.75" thickBot="1" x14ac:dyDescent="0.55000000000000004">
      <c r="A7" s="274">
        <v>40</v>
      </c>
      <c r="B7" s="274"/>
      <c r="C7" s="296"/>
      <c r="D7" s="296"/>
      <c r="E7" s="296"/>
      <c r="F7" s="296"/>
      <c r="G7" s="296"/>
      <c r="H7" s="296"/>
      <c r="I7" s="296"/>
    </row>
    <row r="8" spans="1:18" ht="15.75" thickBot="1" x14ac:dyDescent="0.3">
      <c r="A8" s="10" t="s">
        <v>14</v>
      </c>
      <c r="B8" s="10" t="s">
        <v>15</v>
      </c>
      <c r="C8" s="10" t="s">
        <v>16</v>
      </c>
      <c r="D8" s="10" t="s">
        <v>114</v>
      </c>
      <c r="E8" s="11" t="s">
        <v>17</v>
      </c>
      <c r="F8" s="72" t="s">
        <v>32</v>
      </c>
      <c r="G8" s="72" t="s">
        <v>33</v>
      </c>
      <c r="H8" s="72" t="s">
        <v>34</v>
      </c>
      <c r="I8" s="72" t="s">
        <v>35</v>
      </c>
      <c r="J8" s="72" t="s">
        <v>36</v>
      </c>
      <c r="K8" s="72" t="s">
        <v>37</v>
      </c>
      <c r="L8" s="72" t="s">
        <v>38</v>
      </c>
      <c r="M8" s="72" t="s">
        <v>39</v>
      </c>
      <c r="N8" s="72" t="s">
        <v>91</v>
      </c>
      <c r="O8" s="72" t="s">
        <v>92</v>
      </c>
      <c r="P8" s="11" t="s">
        <v>4</v>
      </c>
      <c r="Q8" s="174" t="s">
        <v>18</v>
      </c>
    </row>
    <row r="9" spans="1:18" ht="15.75" thickBot="1" x14ac:dyDescent="0.3">
      <c r="A9" s="80"/>
      <c r="B9" s="81"/>
      <c r="C9" s="81"/>
      <c r="D9" s="81"/>
      <c r="E9" s="167"/>
      <c r="F9" s="78"/>
      <c r="G9" s="78"/>
      <c r="H9" s="81"/>
      <c r="I9" s="81"/>
      <c r="J9" s="81"/>
      <c r="K9" s="81"/>
      <c r="L9" s="81"/>
      <c r="M9" s="81"/>
      <c r="N9" s="81"/>
      <c r="O9" s="81"/>
      <c r="P9" s="73">
        <f>SUM(F9:O9)</f>
        <v>0</v>
      </c>
      <c r="Q9" s="165">
        <f t="shared" ref="Q9:Q19" si="0">E9-P9</f>
        <v>0</v>
      </c>
      <c r="R9">
        <f>_xlfn.ISOWEEKNUM(A9)</f>
        <v>52</v>
      </c>
    </row>
    <row r="10" spans="1:18" ht="15.75" thickBot="1" x14ac:dyDescent="0.3">
      <c r="A10" s="80"/>
      <c r="B10" s="81"/>
      <c r="C10" s="81"/>
      <c r="D10" s="81"/>
      <c r="E10" s="167"/>
      <c r="F10" s="78"/>
      <c r="G10" s="78"/>
      <c r="H10" s="81"/>
      <c r="I10" s="78"/>
      <c r="J10" s="78"/>
      <c r="K10" s="81"/>
      <c r="L10" s="81"/>
      <c r="M10" s="81"/>
      <c r="N10" s="81"/>
      <c r="O10" s="81"/>
      <c r="P10" s="73">
        <f t="shared" ref="P10:P19" si="1">SUM(F10:O10)</f>
        <v>0</v>
      </c>
      <c r="Q10" s="165">
        <f t="shared" si="0"/>
        <v>0</v>
      </c>
      <c r="R10">
        <f>_xlfn.ISOWEEKNUM(A10)</f>
        <v>52</v>
      </c>
    </row>
    <row r="11" spans="1:18" ht="15.75" thickBot="1" x14ac:dyDescent="0.3">
      <c r="A11" s="80"/>
      <c r="B11" s="81"/>
      <c r="C11" s="81"/>
      <c r="D11" s="81"/>
      <c r="E11" s="167"/>
      <c r="F11" s="53"/>
      <c r="G11" s="78"/>
      <c r="H11" s="78"/>
      <c r="I11" s="78"/>
      <c r="J11" s="78"/>
      <c r="K11" s="81"/>
      <c r="L11" s="81"/>
      <c r="M11" s="81"/>
      <c r="N11" s="81"/>
      <c r="O11" s="81"/>
      <c r="P11" s="73">
        <f t="shared" si="1"/>
        <v>0</v>
      </c>
      <c r="Q11" s="165">
        <f t="shared" si="0"/>
        <v>0</v>
      </c>
      <c r="R11">
        <f>_xlfn.ISOWEEKNUM(A11)</f>
        <v>52</v>
      </c>
    </row>
    <row r="12" spans="1:18" ht="15.75" thickBot="1" x14ac:dyDescent="0.3">
      <c r="A12" s="80"/>
      <c r="B12" s="81"/>
      <c r="C12" s="81"/>
      <c r="D12" s="81"/>
      <c r="E12" s="167"/>
      <c r="F12" s="78"/>
      <c r="G12" s="78"/>
      <c r="H12" s="78"/>
      <c r="I12" s="78"/>
      <c r="J12" s="78"/>
      <c r="K12" s="81"/>
      <c r="L12" s="81"/>
      <c r="M12" s="81"/>
      <c r="N12" s="81"/>
      <c r="O12" s="81"/>
      <c r="P12" s="73">
        <f t="shared" si="1"/>
        <v>0</v>
      </c>
      <c r="Q12" s="165">
        <f t="shared" si="0"/>
        <v>0</v>
      </c>
    </row>
    <row r="13" spans="1:18" ht="15.75" thickBot="1" x14ac:dyDescent="0.3">
      <c r="A13" s="80"/>
      <c r="B13" s="81"/>
      <c r="C13" s="81"/>
      <c r="D13" s="81"/>
      <c r="E13" s="167"/>
      <c r="F13" s="78"/>
      <c r="G13" s="78"/>
      <c r="H13" s="78"/>
      <c r="I13" s="78"/>
      <c r="J13" s="78"/>
      <c r="K13" s="81"/>
      <c r="L13" s="81"/>
      <c r="M13" s="81"/>
      <c r="N13" s="81"/>
      <c r="O13" s="81"/>
      <c r="P13" s="73">
        <f t="shared" si="1"/>
        <v>0</v>
      </c>
      <c r="Q13" s="165">
        <f t="shared" si="0"/>
        <v>0</v>
      </c>
    </row>
    <row r="14" spans="1:18" ht="15.75" thickBot="1" x14ac:dyDescent="0.3">
      <c r="A14" s="80"/>
      <c r="B14" s="81"/>
      <c r="C14" s="81"/>
      <c r="D14" s="154"/>
      <c r="E14" s="162"/>
      <c r="F14" s="78"/>
      <c r="G14" s="78"/>
      <c r="H14" s="78"/>
      <c r="I14" s="78"/>
      <c r="J14" s="78"/>
      <c r="K14" s="81"/>
      <c r="L14" s="81"/>
      <c r="M14" s="81"/>
      <c r="N14" s="81"/>
      <c r="O14" s="81"/>
      <c r="P14" s="73">
        <f t="shared" si="1"/>
        <v>0</v>
      </c>
      <c r="Q14" s="165">
        <f t="shared" si="0"/>
        <v>0</v>
      </c>
    </row>
    <row r="15" spans="1:18" ht="15.75" thickBot="1" x14ac:dyDescent="0.3">
      <c r="A15" s="80"/>
      <c r="B15" s="81"/>
      <c r="C15" s="81"/>
      <c r="D15" s="154"/>
      <c r="E15" s="162"/>
      <c r="F15" s="78"/>
      <c r="G15" s="78"/>
      <c r="H15" s="78"/>
      <c r="I15" s="78"/>
      <c r="J15" s="78"/>
      <c r="K15" s="81"/>
      <c r="L15" s="81"/>
      <c r="M15" s="81"/>
      <c r="N15" s="81"/>
      <c r="O15" s="81"/>
      <c r="P15" s="73">
        <f t="shared" si="1"/>
        <v>0</v>
      </c>
      <c r="Q15" s="165">
        <f t="shared" si="0"/>
        <v>0</v>
      </c>
    </row>
    <row r="16" spans="1:18" ht="15.75" thickBot="1" x14ac:dyDescent="0.3">
      <c r="A16" s="80"/>
      <c r="B16" s="81"/>
      <c r="C16" s="81"/>
      <c r="D16" s="154"/>
      <c r="E16" s="162"/>
      <c r="F16" s="78"/>
      <c r="G16" s="78"/>
      <c r="H16" s="78"/>
      <c r="I16" s="78"/>
      <c r="J16" s="78"/>
      <c r="K16" s="81"/>
      <c r="L16" s="81"/>
      <c r="M16" s="81"/>
      <c r="N16" s="81"/>
      <c r="O16" s="81"/>
      <c r="P16" s="73">
        <f t="shared" si="1"/>
        <v>0</v>
      </c>
      <c r="Q16" s="165">
        <f t="shared" si="0"/>
        <v>0</v>
      </c>
    </row>
    <row r="17" spans="1:17" ht="15.75" thickBot="1" x14ac:dyDescent="0.3">
      <c r="A17" s="80"/>
      <c r="B17" s="81"/>
      <c r="C17" s="81"/>
      <c r="D17" s="154"/>
      <c r="E17" s="162"/>
      <c r="F17" s="78"/>
      <c r="G17" s="78"/>
      <c r="H17" s="78"/>
      <c r="I17" s="78"/>
      <c r="J17" s="78"/>
      <c r="K17" s="81"/>
      <c r="L17" s="81"/>
      <c r="M17" s="81"/>
      <c r="N17" s="81"/>
      <c r="O17" s="81"/>
      <c r="P17" s="73">
        <f t="shared" si="1"/>
        <v>0</v>
      </c>
      <c r="Q17" s="165">
        <f t="shared" si="0"/>
        <v>0</v>
      </c>
    </row>
    <row r="18" spans="1:17" ht="15.75" thickBot="1" x14ac:dyDescent="0.3">
      <c r="A18" s="80"/>
      <c r="B18" s="81"/>
      <c r="C18" s="81"/>
      <c r="D18" s="154"/>
      <c r="E18" s="162"/>
      <c r="F18" s="78"/>
      <c r="G18" s="78"/>
      <c r="H18" s="78"/>
      <c r="I18" s="78"/>
      <c r="J18" s="78"/>
      <c r="K18" s="81"/>
      <c r="L18" s="81"/>
      <c r="M18" s="81"/>
      <c r="N18" s="81"/>
      <c r="O18" s="81"/>
      <c r="P18" s="73">
        <f t="shared" si="1"/>
        <v>0</v>
      </c>
      <c r="Q18" s="165">
        <f t="shared" si="0"/>
        <v>0</v>
      </c>
    </row>
    <row r="19" spans="1:17" ht="15.75" thickBot="1" x14ac:dyDescent="0.3">
      <c r="A19" s="80"/>
      <c r="B19" s="81"/>
      <c r="C19" s="81"/>
      <c r="D19" s="154"/>
      <c r="E19" s="162"/>
      <c r="F19" s="78"/>
      <c r="G19" s="78"/>
      <c r="H19" s="78"/>
      <c r="I19" s="78"/>
      <c r="J19" s="78"/>
      <c r="K19" s="81"/>
      <c r="L19" s="81"/>
      <c r="M19" s="81"/>
      <c r="N19" s="81"/>
      <c r="O19" s="81"/>
      <c r="P19" s="73">
        <f t="shared" si="1"/>
        <v>0</v>
      </c>
      <c r="Q19" s="165">
        <f t="shared" si="0"/>
        <v>0</v>
      </c>
    </row>
    <row r="20" spans="1:17" ht="15.75" thickBot="1" x14ac:dyDescent="0.3">
      <c r="A20" t="s">
        <v>4</v>
      </c>
      <c r="E20" s="163">
        <f>SUM(E9:E19)</f>
        <v>0</v>
      </c>
      <c r="F20" s="12"/>
      <c r="G20" s="12"/>
      <c r="H20" s="12"/>
      <c r="I20" s="12"/>
      <c r="J20" s="12"/>
      <c r="K20" s="6"/>
      <c r="L20" s="6"/>
      <c r="M20" s="6"/>
      <c r="N20" s="6"/>
      <c r="O20" s="6"/>
      <c r="P20" s="74">
        <f>SUM(P9:P19)</f>
        <v>0</v>
      </c>
      <c r="Q20" s="166">
        <f>SUM(Q9:Q19)</f>
        <v>0</v>
      </c>
    </row>
    <row r="21" spans="1:17" ht="15.75" thickBot="1" x14ac:dyDescent="0.3"/>
    <row r="22" spans="1:17" ht="16.5" thickBot="1" x14ac:dyDescent="0.35">
      <c r="H22" s="291" t="s">
        <v>20</v>
      </c>
      <c r="I22" s="292"/>
      <c r="J22" s="15">
        <f>E20</f>
        <v>0</v>
      </c>
    </row>
    <row r="23" spans="1:17" ht="19.5" thickBot="1" x14ac:dyDescent="0.45">
      <c r="H23" s="279" t="s">
        <v>3</v>
      </c>
      <c r="I23" s="280"/>
      <c r="J23" s="16">
        <f>P20</f>
        <v>0</v>
      </c>
    </row>
    <row r="24" spans="1:17" ht="19.5" thickBot="1" x14ac:dyDescent="0.45">
      <c r="H24" s="279" t="s">
        <v>7</v>
      </c>
      <c r="I24" s="279"/>
      <c r="J24" s="13">
        <f>Q20</f>
        <v>0</v>
      </c>
    </row>
    <row r="26" spans="1:17" ht="18.75" x14ac:dyDescent="0.25">
      <c r="D26" s="137">
        <v>45292</v>
      </c>
      <c r="E26" s="138" t="s">
        <v>47</v>
      </c>
      <c r="F26" s="138" t="s">
        <v>41</v>
      </c>
      <c r="G26" s="138" t="s">
        <v>42</v>
      </c>
      <c r="H26" s="138" t="s">
        <v>43</v>
      </c>
      <c r="I26" s="138" t="s">
        <v>44</v>
      </c>
      <c r="J26" s="139" t="s">
        <v>45</v>
      </c>
      <c r="K26" s="139" t="s">
        <v>46</v>
      </c>
      <c r="L26" s="151"/>
      <c r="M26" s="151"/>
      <c r="N26" s="151"/>
      <c r="O26" s="151"/>
    </row>
    <row r="27" spans="1:17" ht="18.75" x14ac:dyDescent="0.25">
      <c r="D27" s="140" t="s">
        <v>164</v>
      </c>
      <c r="E27" s="141" t="s">
        <v>425</v>
      </c>
      <c r="F27" s="141" t="s">
        <v>426</v>
      </c>
      <c r="G27" s="141" t="s">
        <v>427</v>
      </c>
      <c r="H27" s="141" t="s">
        <v>428</v>
      </c>
      <c r="I27" s="141" t="s">
        <v>429</v>
      </c>
      <c r="J27" s="184" t="s">
        <v>430</v>
      </c>
      <c r="K27" s="184" t="s">
        <v>431</v>
      </c>
      <c r="L27" s="152"/>
      <c r="M27" s="152"/>
      <c r="N27" s="152"/>
      <c r="O27" s="152"/>
    </row>
    <row r="40" spans="11:11" x14ac:dyDescent="0.25">
      <c r="K40" t="s">
        <v>31</v>
      </c>
    </row>
  </sheetData>
  <sheetProtection algorithmName="SHA-512" hashValue="7LMktzM/4VbBwKtjUPKV2+1sap0yErki8MlGta//CmoexsOMAYtYvKTOdEdts2E7FK0ru50peFzDa18H9cmH1g==" saltValue="I8bLFD+jV+WruYzTm1BGpw==" spinCount="100000" sheet="1" formatCells="0" formatColumns="0" formatRows="0" insertColumns="0" insertRows="0" insertHyperlinks="0" deleteColumns="0" deleteRows="0" sort="0" autoFilter="0" pivotTables="0"/>
  <autoFilter ref="A8:Q8" xr:uid="{00000000-0001-0000-0500-000000000000}"/>
  <mergeCells count="9">
    <mergeCell ref="H22:I22"/>
    <mergeCell ref="H23:I23"/>
    <mergeCell ref="H24:I24"/>
    <mergeCell ref="A1:B5"/>
    <mergeCell ref="C1:G2"/>
    <mergeCell ref="H1:I2"/>
    <mergeCell ref="C3:I7"/>
    <mergeCell ref="A6:B6"/>
    <mergeCell ref="A7:B7"/>
  </mergeCells>
  <phoneticPr fontId="18" type="noConversion"/>
  <conditionalFormatting sqref="L27:O27">
    <cfRule type="expression" dxfId="215" priority="25">
      <formula>IFERROR(INDEX(DiasCategorias, L27-FechaInicio+1),0)=1</formula>
    </cfRule>
    <cfRule type="expression" dxfId="214" priority="26">
      <formula>IFERROR(INDEX(DiasCategorias, L27-FechaInicio+1),0)=2</formula>
    </cfRule>
    <cfRule type="expression" dxfId="213" priority="27">
      <formula>IFERROR(INDEX(DiasCategorias, L27-FechaInicio+1),0)=3</formula>
    </cfRule>
    <cfRule type="expression" dxfId="212" priority="28">
      <formula>IFERROR(INDEX(DiasCategorias, L27-FechaInicio+1),0)=4</formula>
    </cfRule>
    <cfRule type="expression" dxfId="211" priority="29">
      <formula>IFERROR(INDEX(DiasCategorias, L27-FechaInicio+1),0)=5</formula>
    </cfRule>
    <cfRule type="expression" dxfId="210" priority="30">
      <formula>IFERROR(INDEX(DiasCategorias, L27-FechaInicio+1),0)=6</formula>
    </cfRule>
    <cfRule type="expression" dxfId="209" priority="31">
      <formula>IFERROR(INDEX(DiasCategorias, L27-FechaInicio+1),0)=7</formula>
    </cfRule>
    <cfRule type="expression" dxfId="208" priority="32">
      <formula>IFERROR(INDEX(DiasCategorias, L27-FechaInicio+1),0)=8</formula>
    </cfRule>
    <cfRule type="expression" dxfId="207" priority="33">
      <formula>IFERROR(INDEX(DiasCategorias, L27-FechaInicio+1),0)=9</formula>
    </cfRule>
    <cfRule type="expression" dxfId="206" priority="34">
      <formula>IFERROR(INDEX(DiasCategorias, L27-FechaInicio+1),0)=10</formula>
    </cfRule>
    <cfRule type="expression" dxfId="205" priority="35">
      <formula>IFERROR(INDEX(DiasCategorias, L27-FechaInicio+1),0)=11</formula>
    </cfRule>
    <cfRule type="expression" dxfId="204" priority="36">
      <formula>IFERROR(INDEX(DiasCategorias, L27-FechaInicio+1),0)=12</formula>
    </cfRule>
  </conditionalFormatting>
  <conditionalFormatting sqref="E27:K27">
    <cfRule type="expression" dxfId="203" priority="1">
      <formula>IFERROR(INDEX(DiasCategorias, E27-FechaInicio+1),0)=1</formula>
    </cfRule>
    <cfRule type="expression" dxfId="202" priority="2">
      <formula>IFERROR(INDEX(DiasCategorias, E27-FechaInicio+1),0)=2</formula>
    </cfRule>
    <cfRule type="expression" dxfId="201" priority="3">
      <formula>IFERROR(INDEX(DiasCategorias, E27-FechaInicio+1),0)=3</formula>
    </cfRule>
    <cfRule type="expression" dxfId="200" priority="4">
      <formula>IFERROR(INDEX(DiasCategorias, E27-FechaInicio+1),0)=4</formula>
    </cfRule>
    <cfRule type="expression" dxfId="199" priority="5">
      <formula>IFERROR(INDEX(DiasCategorias, E27-FechaInicio+1),0)=5</formula>
    </cfRule>
    <cfRule type="expression" dxfId="198" priority="6">
      <formula>IFERROR(INDEX(DiasCategorias, E27-FechaInicio+1),0)=6</formula>
    </cfRule>
    <cfRule type="expression" dxfId="197" priority="7">
      <formula>IFERROR(INDEX(DiasCategorias, E27-FechaInicio+1),0)=7</formula>
    </cfRule>
    <cfRule type="expression" dxfId="196" priority="8">
      <formula>IFERROR(INDEX(DiasCategorias, E27-FechaInicio+1),0)=8</formula>
    </cfRule>
    <cfRule type="expression" dxfId="195" priority="9">
      <formula>IFERROR(INDEX(DiasCategorias, E27-FechaInicio+1),0)=9</formula>
    </cfRule>
    <cfRule type="expression" dxfId="194" priority="10">
      <formula>IFERROR(INDEX(DiasCategorias, E27-FechaInicio+1),0)=10</formula>
    </cfRule>
    <cfRule type="expression" dxfId="193" priority="11">
      <formula>IFERROR(INDEX(DiasCategorias, E27-FechaInicio+1),0)=11</formula>
    </cfRule>
    <cfRule type="expression" dxfId="192" priority="12">
      <formula>IFERROR(INDEX(DiasCategorias, E27-FechaInicio+1),0)=12</formula>
    </cfRule>
  </conditionalFormatting>
  <pageMargins left="0.7" right="0.7" top="0.75" bottom="0.75" header="0.3" footer="0.3"/>
  <ignoredErrors>
    <ignoredError sqref="P9:P19" formulaRange="1"/>
  </ignoredError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1">
    <tabColor theme="5" tint="0.59999389629810485"/>
  </sheetPr>
  <dimension ref="A1:R40"/>
  <sheetViews>
    <sheetView topLeftCell="A4" zoomScaleNormal="100" workbookViewId="0">
      <selection activeCell="J35" sqref="J35"/>
    </sheetView>
  </sheetViews>
  <sheetFormatPr baseColWidth="10" defaultRowHeight="15" x14ac:dyDescent="0.25"/>
  <cols>
    <col min="2" max="2" width="9.140625" customWidth="1"/>
    <col min="3" max="3" width="35" bestFit="1" customWidth="1"/>
    <col min="4" max="4" width="15.28515625" customWidth="1"/>
    <col min="6" max="7" width="14.85546875" customWidth="1"/>
    <col min="8" max="8" width="14.5703125" customWidth="1"/>
    <col min="9" max="9" width="14" customWidth="1"/>
    <col min="10" max="10" width="15.28515625" customWidth="1"/>
    <col min="11" max="15" width="15.140625" customWidth="1"/>
  </cols>
  <sheetData>
    <row r="1" spans="1:18" ht="15" customHeight="1" x14ac:dyDescent="0.25">
      <c r="A1" s="268"/>
      <c r="B1" s="268"/>
      <c r="C1" s="281" t="s">
        <v>8</v>
      </c>
      <c r="D1" s="282"/>
      <c r="E1" s="282"/>
      <c r="F1" s="282"/>
      <c r="G1" s="283"/>
      <c r="H1" s="288"/>
      <c r="I1" s="289"/>
    </row>
    <row r="2" spans="1:18" ht="15.75" customHeight="1" thickBot="1" x14ac:dyDescent="0.3">
      <c r="A2" s="268"/>
      <c r="B2" s="268"/>
      <c r="C2" s="285"/>
      <c r="D2" s="286"/>
      <c r="E2" s="286"/>
      <c r="F2" s="286"/>
      <c r="G2" s="287"/>
      <c r="H2" s="288"/>
      <c r="I2" s="289"/>
    </row>
    <row r="3" spans="1:18" x14ac:dyDescent="0.25">
      <c r="A3" s="268"/>
      <c r="B3" s="268"/>
      <c r="C3" s="268"/>
      <c r="D3" s="268"/>
      <c r="E3" s="268"/>
      <c r="F3" s="268"/>
      <c r="G3" s="268"/>
      <c r="H3" s="268"/>
      <c r="I3" s="268"/>
    </row>
    <row r="4" spans="1:18" x14ac:dyDescent="0.25">
      <c r="A4" s="268"/>
      <c r="B4" s="268"/>
      <c r="C4" s="268"/>
      <c r="D4" s="268"/>
      <c r="E4" s="268"/>
      <c r="F4" s="268"/>
      <c r="G4" s="268"/>
      <c r="H4" s="268"/>
      <c r="I4" s="268"/>
    </row>
    <row r="5" spans="1:18" x14ac:dyDescent="0.25">
      <c r="A5" s="268"/>
      <c r="B5" s="268"/>
      <c r="C5" s="268"/>
      <c r="D5" s="268"/>
      <c r="E5" s="268"/>
      <c r="F5" s="268"/>
      <c r="G5" s="268"/>
      <c r="H5" s="268"/>
      <c r="I5" s="268"/>
    </row>
    <row r="6" spans="1:18" ht="27" x14ac:dyDescent="0.5">
      <c r="A6" s="273" t="s">
        <v>10</v>
      </c>
      <c r="B6" s="273"/>
      <c r="C6" s="268"/>
      <c r="D6" s="268"/>
      <c r="E6" s="268"/>
      <c r="F6" s="268"/>
      <c r="G6" s="268"/>
      <c r="H6" s="268"/>
      <c r="I6" s="268"/>
    </row>
    <row r="7" spans="1:18" ht="27.75" thickBot="1" x14ac:dyDescent="0.55000000000000004">
      <c r="A7" s="274">
        <v>41</v>
      </c>
      <c r="B7" s="274"/>
      <c r="C7" s="296"/>
      <c r="D7" s="296"/>
      <c r="E7" s="296"/>
      <c r="F7" s="296"/>
      <c r="G7" s="296"/>
      <c r="H7" s="296"/>
      <c r="I7" s="296"/>
    </row>
    <row r="8" spans="1:18" ht="15.75" thickBot="1" x14ac:dyDescent="0.3">
      <c r="A8" s="10" t="s">
        <v>14</v>
      </c>
      <c r="B8" s="10" t="s">
        <v>15</v>
      </c>
      <c r="C8" s="10" t="s">
        <v>16</v>
      </c>
      <c r="D8" s="10" t="s">
        <v>114</v>
      </c>
      <c r="E8" s="11" t="s">
        <v>17</v>
      </c>
      <c r="F8" s="10" t="s">
        <v>33</v>
      </c>
      <c r="G8" s="10" t="s">
        <v>34</v>
      </c>
      <c r="H8" s="10" t="s">
        <v>35</v>
      </c>
      <c r="I8" s="10" t="s">
        <v>36</v>
      </c>
      <c r="J8" s="10" t="s">
        <v>37</v>
      </c>
      <c r="K8" s="10" t="s">
        <v>38</v>
      </c>
      <c r="L8" s="10" t="s">
        <v>39</v>
      </c>
      <c r="M8" s="10" t="s">
        <v>91</v>
      </c>
      <c r="N8" s="10" t="s">
        <v>92</v>
      </c>
      <c r="O8" s="10" t="s">
        <v>93</v>
      </c>
      <c r="P8" s="11" t="s">
        <v>4</v>
      </c>
      <c r="Q8" s="174" t="s">
        <v>18</v>
      </c>
    </row>
    <row r="9" spans="1:18" ht="15.75" thickBot="1" x14ac:dyDescent="0.3">
      <c r="A9" s="80"/>
      <c r="B9" s="81"/>
      <c r="C9" s="81"/>
      <c r="D9" s="81"/>
      <c r="E9" s="167"/>
      <c r="F9" s="78"/>
      <c r="G9" s="78"/>
      <c r="H9" s="78"/>
      <c r="I9" s="82"/>
      <c r="J9" s="82"/>
      <c r="K9" s="79"/>
      <c r="L9" s="79"/>
      <c r="M9" s="79"/>
      <c r="N9" s="79"/>
      <c r="O9" s="79"/>
      <c r="P9" s="16">
        <f>SUM(F9:O9)</f>
        <v>0</v>
      </c>
      <c r="Q9" s="166">
        <f>E9-P9</f>
        <v>0</v>
      </c>
    </row>
    <row r="10" spans="1:18" ht="15.75" thickBot="1" x14ac:dyDescent="0.3">
      <c r="A10" s="80"/>
      <c r="B10" s="81"/>
      <c r="C10" s="81"/>
      <c r="D10" s="81"/>
      <c r="E10" s="167"/>
      <c r="F10" s="78"/>
      <c r="G10" s="78"/>
      <c r="H10" s="78"/>
      <c r="I10" s="82"/>
      <c r="J10" s="82"/>
      <c r="K10" s="79"/>
      <c r="L10" s="79"/>
      <c r="M10" s="79"/>
      <c r="N10" s="79"/>
      <c r="O10" s="79"/>
      <c r="P10" s="16">
        <f>SUM(F10:O10)</f>
        <v>0</v>
      </c>
      <c r="Q10" s="166">
        <f t="shared" ref="Q10:Q19" si="0">E10-P10</f>
        <v>0</v>
      </c>
    </row>
    <row r="11" spans="1:18" ht="15.75" thickBot="1" x14ac:dyDescent="0.3">
      <c r="A11" s="80"/>
      <c r="B11" s="81"/>
      <c r="C11" s="81"/>
      <c r="D11" s="193"/>
      <c r="E11" s="167"/>
      <c r="F11" s="78"/>
      <c r="G11" s="78"/>
      <c r="H11" s="78"/>
      <c r="I11" s="82"/>
      <c r="J11" s="82"/>
      <c r="K11" s="79"/>
      <c r="L11" s="79"/>
      <c r="M11" s="79"/>
      <c r="N11" s="79"/>
      <c r="O11" s="79"/>
      <c r="P11" s="16">
        <f>SUM(F11:O11)</f>
        <v>0</v>
      </c>
      <c r="Q11" s="166">
        <f t="shared" si="0"/>
        <v>0</v>
      </c>
    </row>
    <row r="12" spans="1:18" ht="15.75" thickBot="1" x14ac:dyDescent="0.3">
      <c r="A12" s="80"/>
      <c r="B12" s="81"/>
      <c r="C12" s="81"/>
      <c r="D12" s="81"/>
      <c r="E12" s="167"/>
      <c r="F12" s="78"/>
      <c r="G12" s="78"/>
      <c r="H12" s="78"/>
      <c r="I12" s="82"/>
      <c r="J12" s="82"/>
      <c r="K12" s="79"/>
      <c r="L12" s="79"/>
      <c r="M12" s="79"/>
      <c r="N12" s="79"/>
      <c r="O12" s="79"/>
      <c r="P12" s="16">
        <f t="shared" ref="P12:P19" si="1">SUM(F12:O12)</f>
        <v>0</v>
      </c>
      <c r="Q12" s="166">
        <f t="shared" si="0"/>
        <v>0</v>
      </c>
      <c r="R12">
        <f>_xlfn.ISOWEEKNUM(A12)</f>
        <v>52</v>
      </c>
    </row>
    <row r="13" spans="1:18" ht="15.75" thickBot="1" x14ac:dyDescent="0.3">
      <c r="A13" s="80"/>
      <c r="B13" s="81"/>
      <c r="C13" s="81"/>
      <c r="D13" s="81"/>
      <c r="E13" s="167"/>
      <c r="F13" s="78"/>
      <c r="G13" s="78"/>
      <c r="H13" s="78"/>
      <c r="I13" s="82"/>
      <c r="J13" s="82"/>
      <c r="K13" s="79"/>
      <c r="L13" s="79"/>
      <c r="M13" s="79"/>
      <c r="N13" s="79"/>
      <c r="O13" s="79"/>
      <c r="P13" s="16">
        <f t="shared" si="1"/>
        <v>0</v>
      </c>
      <c r="Q13" s="166">
        <f t="shared" si="0"/>
        <v>0</v>
      </c>
    </row>
    <row r="14" spans="1:18" ht="15.75" thickBot="1" x14ac:dyDescent="0.3">
      <c r="A14" s="80"/>
      <c r="B14" s="81"/>
      <c r="C14" s="81"/>
      <c r="D14" s="81"/>
      <c r="E14" s="167"/>
      <c r="F14" s="78"/>
      <c r="G14" s="78"/>
      <c r="H14" s="78"/>
      <c r="I14" s="82"/>
      <c r="J14" s="82"/>
      <c r="K14" s="79"/>
      <c r="L14" s="79"/>
      <c r="M14" s="79"/>
      <c r="N14" s="79"/>
      <c r="O14" s="79"/>
      <c r="P14" s="16">
        <f t="shared" si="1"/>
        <v>0</v>
      </c>
      <c r="Q14" s="166">
        <f t="shared" si="0"/>
        <v>0</v>
      </c>
    </row>
    <row r="15" spans="1:18" ht="15.75" thickBot="1" x14ac:dyDescent="0.3">
      <c r="A15" s="80"/>
      <c r="B15" s="81"/>
      <c r="C15" s="81"/>
      <c r="D15" s="81"/>
      <c r="E15" s="167"/>
      <c r="F15" s="78"/>
      <c r="G15" s="78"/>
      <c r="H15" s="78"/>
      <c r="I15" s="82"/>
      <c r="J15" s="82"/>
      <c r="K15" s="79"/>
      <c r="L15" s="79"/>
      <c r="M15" s="79"/>
      <c r="N15" s="79"/>
      <c r="O15" s="79"/>
      <c r="P15" s="16">
        <f t="shared" si="1"/>
        <v>0</v>
      </c>
      <c r="Q15" s="166">
        <f t="shared" si="0"/>
        <v>0</v>
      </c>
    </row>
    <row r="16" spans="1:18" ht="15.75" thickBot="1" x14ac:dyDescent="0.3">
      <c r="A16" s="80"/>
      <c r="B16" s="81"/>
      <c r="C16" s="81"/>
      <c r="D16" s="81"/>
      <c r="E16" s="167"/>
      <c r="F16" s="78"/>
      <c r="G16" s="78"/>
      <c r="H16" s="78"/>
      <c r="I16" s="82"/>
      <c r="J16" s="82"/>
      <c r="K16" s="79"/>
      <c r="L16" s="79"/>
      <c r="M16" s="79"/>
      <c r="N16" s="79"/>
      <c r="O16" s="79"/>
      <c r="P16" s="16">
        <f t="shared" si="1"/>
        <v>0</v>
      </c>
      <c r="Q16" s="166">
        <f t="shared" si="0"/>
        <v>0</v>
      </c>
    </row>
    <row r="17" spans="1:17" ht="15.75" thickBot="1" x14ac:dyDescent="0.3">
      <c r="A17" s="80"/>
      <c r="B17" s="81"/>
      <c r="C17" s="81"/>
      <c r="D17" s="81"/>
      <c r="E17" s="167"/>
      <c r="F17" s="78"/>
      <c r="G17" s="78"/>
      <c r="H17" s="78"/>
      <c r="I17" s="82"/>
      <c r="J17" s="82"/>
      <c r="K17" s="79"/>
      <c r="L17" s="79"/>
      <c r="M17" s="79"/>
      <c r="N17" s="79"/>
      <c r="O17" s="79"/>
      <c r="P17" s="16">
        <f t="shared" si="1"/>
        <v>0</v>
      </c>
      <c r="Q17" s="166">
        <f t="shared" si="0"/>
        <v>0</v>
      </c>
    </row>
    <row r="18" spans="1:17" ht="15.75" thickBot="1" x14ac:dyDescent="0.3">
      <c r="A18" s="80"/>
      <c r="B18" s="81"/>
      <c r="C18" s="81"/>
      <c r="D18" s="81"/>
      <c r="E18" s="167"/>
      <c r="F18" s="78"/>
      <c r="G18" s="78"/>
      <c r="H18" s="78"/>
      <c r="I18" s="82"/>
      <c r="J18" s="82"/>
      <c r="K18" s="79"/>
      <c r="L18" s="79"/>
      <c r="M18" s="79"/>
      <c r="N18" s="79"/>
      <c r="O18" s="79"/>
      <c r="P18" s="16">
        <f t="shared" si="1"/>
        <v>0</v>
      </c>
      <c r="Q18" s="166">
        <f t="shared" si="0"/>
        <v>0</v>
      </c>
    </row>
    <row r="19" spans="1:17" ht="15.75" thickBot="1" x14ac:dyDescent="0.3">
      <c r="A19" s="80"/>
      <c r="B19" s="81"/>
      <c r="C19" s="81"/>
      <c r="D19" s="81"/>
      <c r="E19" s="167"/>
      <c r="F19" s="78"/>
      <c r="G19" s="78"/>
      <c r="H19" s="78"/>
      <c r="I19" s="82"/>
      <c r="J19" s="82"/>
      <c r="K19" s="79"/>
      <c r="L19" s="79"/>
      <c r="M19" s="79"/>
      <c r="N19" s="79"/>
      <c r="O19" s="79"/>
      <c r="P19" s="16">
        <f t="shared" si="1"/>
        <v>0</v>
      </c>
      <c r="Q19" s="166">
        <f t="shared" si="0"/>
        <v>0</v>
      </c>
    </row>
    <row r="20" spans="1:17" ht="15.75" thickBot="1" x14ac:dyDescent="0.3">
      <c r="A20" t="s">
        <v>4</v>
      </c>
      <c r="E20" s="16">
        <f>SUM(E9:E19)</f>
        <v>0</v>
      </c>
      <c r="F20" s="14"/>
      <c r="G20" s="14"/>
      <c r="H20" s="14"/>
      <c r="I20" s="14"/>
      <c r="J20" s="14"/>
      <c r="K20" s="10"/>
      <c r="P20" s="17">
        <f>SUM(P9:P19)</f>
        <v>0</v>
      </c>
      <c r="Q20" s="166">
        <f>SUM(Q9:Q19)</f>
        <v>0</v>
      </c>
    </row>
    <row r="21" spans="1:17" ht="15.75" thickBot="1" x14ac:dyDescent="0.3"/>
    <row r="22" spans="1:17" ht="16.5" thickBot="1" x14ac:dyDescent="0.35">
      <c r="H22" s="291" t="s">
        <v>20</v>
      </c>
      <c r="I22" s="292"/>
      <c r="J22" s="15">
        <f>E20</f>
        <v>0</v>
      </c>
    </row>
    <row r="23" spans="1:17" ht="19.5" thickBot="1" x14ac:dyDescent="0.45">
      <c r="H23" s="279" t="s">
        <v>3</v>
      </c>
      <c r="I23" s="280"/>
      <c r="J23" s="16">
        <f>P20</f>
        <v>0</v>
      </c>
    </row>
    <row r="24" spans="1:17" ht="19.5" thickBot="1" x14ac:dyDescent="0.45">
      <c r="H24" s="279" t="s">
        <v>7</v>
      </c>
      <c r="I24" s="279"/>
      <c r="J24" s="13">
        <f>Q20</f>
        <v>0</v>
      </c>
    </row>
    <row r="26" spans="1:17" ht="18.75" x14ac:dyDescent="0.25">
      <c r="D26" s="137">
        <v>45292</v>
      </c>
      <c r="E26" s="138" t="s">
        <v>47</v>
      </c>
      <c r="F26" s="138" t="s">
        <v>41</v>
      </c>
      <c r="G26" s="138" t="s">
        <v>42</v>
      </c>
      <c r="H26" s="138" t="s">
        <v>43</v>
      </c>
      <c r="I26" s="138" t="s">
        <v>44</v>
      </c>
      <c r="J26" s="139" t="s">
        <v>45</v>
      </c>
      <c r="K26" s="139" t="s">
        <v>46</v>
      </c>
      <c r="L26" s="151"/>
      <c r="M26" s="151"/>
      <c r="N26" s="151"/>
      <c r="O26" s="151"/>
    </row>
    <row r="27" spans="1:17" ht="18.75" x14ac:dyDescent="0.25">
      <c r="D27" s="140" t="s">
        <v>165</v>
      </c>
      <c r="E27" s="141" t="s">
        <v>432</v>
      </c>
      <c r="F27" s="141" t="s">
        <v>433</v>
      </c>
      <c r="G27" s="141" t="s">
        <v>434</v>
      </c>
      <c r="H27" s="141" t="s">
        <v>435</v>
      </c>
      <c r="I27" s="141" t="s">
        <v>436</v>
      </c>
      <c r="J27" s="184" t="s">
        <v>437</v>
      </c>
      <c r="K27" s="184" t="s">
        <v>438</v>
      </c>
      <c r="L27" s="152"/>
      <c r="M27" s="152"/>
      <c r="N27" s="152"/>
      <c r="O27" s="152"/>
    </row>
    <row r="40" spans="11:11" x14ac:dyDescent="0.25">
      <c r="K40" t="s">
        <v>31</v>
      </c>
    </row>
  </sheetData>
  <sheetProtection algorithmName="SHA-512" hashValue="oZ7/AM+5rAr5en5HmhnWtCCNjtSqMIBKKa1OyHy16NxZEF8uGiMR9ehyJyrU1Ey13ftOx/yUEw7owc7Zy7mCtA==" saltValue="Ngb6FITMKSjqRoBgzHU2Lw==" spinCount="100000" sheet="1" formatCells="0" formatColumns="0" formatRows="0" insertColumns="0" insertRows="0" insertHyperlinks="0" deleteColumns="0" deleteRows="0" sort="0" autoFilter="0" pivotTables="0"/>
  <autoFilter ref="A8:Q8" xr:uid="{00000000-0001-0000-0600-000000000000}"/>
  <mergeCells count="9">
    <mergeCell ref="H22:I22"/>
    <mergeCell ref="H23:I23"/>
    <mergeCell ref="H24:I24"/>
    <mergeCell ref="A1:B5"/>
    <mergeCell ref="C1:G2"/>
    <mergeCell ref="H1:I2"/>
    <mergeCell ref="C3:I7"/>
    <mergeCell ref="A6:B6"/>
    <mergeCell ref="A7:B7"/>
  </mergeCells>
  <phoneticPr fontId="18" type="noConversion"/>
  <conditionalFormatting sqref="L27:O27">
    <cfRule type="expression" dxfId="191" priority="25">
      <formula>IFERROR(INDEX(DiasCategorias, L27-FechaInicio+1),0)=1</formula>
    </cfRule>
    <cfRule type="expression" dxfId="190" priority="26">
      <formula>IFERROR(INDEX(DiasCategorias, L27-FechaInicio+1),0)=2</formula>
    </cfRule>
    <cfRule type="expression" dxfId="189" priority="27">
      <formula>IFERROR(INDEX(DiasCategorias, L27-FechaInicio+1),0)=3</formula>
    </cfRule>
    <cfRule type="expression" dxfId="188" priority="28">
      <formula>IFERROR(INDEX(DiasCategorias, L27-FechaInicio+1),0)=4</formula>
    </cfRule>
    <cfRule type="expression" dxfId="187" priority="29">
      <formula>IFERROR(INDEX(DiasCategorias, L27-FechaInicio+1),0)=5</formula>
    </cfRule>
    <cfRule type="expression" dxfId="186" priority="30">
      <formula>IFERROR(INDEX(DiasCategorias, L27-FechaInicio+1),0)=6</formula>
    </cfRule>
    <cfRule type="expression" dxfId="185" priority="31">
      <formula>IFERROR(INDEX(DiasCategorias, L27-FechaInicio+1),0)=7</formula>
    </cfRule>
    <cfRule type="expression" dxfId="184" priority="32">
      <formula>IFERROR(INDEX(DiasCategorias, L27-FechaInicio+1),0)=8</formula>
    </cfRule>
    <cfRule type="expression" dxfId="183" priority="33">
      <formula>IFERROR(INDEX(DiasCategorias, L27-FechaInicio+1),0)=9</formula>
    </cfRule>
    <cfRule type="expression" dxfId="182" priority="34">
      <formula>IFERROR(INDEX(DiasCategorias, L27-FechaInicio+1),0)=10</formula>
    </cfRule>
    <cfRule type="expression" dxfId="181" priority="35">
      <formula>IFERROR(INDEX(DiasCategorias, L27-FechaInicio+1),0)=11</formula>
    </cfRule>
    <cfRule type="expression" dxfId="180" priority="36">
      <formula>IFERROR(INDEX(DiasCategorias, L27-FechaInicio+1),0)=12</formula>
    </cfRule>
  </conditionalFormatting>
  <conditionalFormatting sqref="E27:K27">
    <cfRule type="expression" dxfId="179" priority="1">
      <formula>IFERROR(INDEX(DiasCategorias, E27-FechaInicio+1),0)=1</formula>
    </cfRule>
    <cfRule type="expression" dxfId="178" priority="2">
      <formula>IFERROR(INDEX(DiasCategorias, E27-FechaInicio+1),0)=2</formula>
    </cfRule>
    <cfRule type="expression" dxfId="177" priority="3">
      <formula>IFERROR(INDEX(DiasCategorias, E27-FechaInicio+1),0)=3</formula>
    </cfRule>
    <cfRule type="expression" dxfId="176" priority="4">
      <formula>IFERROR(INDEX(DiasCategorias, E27-FechaInicio+1),0)=4</formula>
    </cfRule>
    <cfRule type="expression" dxfId="175" priority="5">
      <formula>IFERROR(INDEX(DiasCategorias, E27-FechaInicio+1),0)=5</formula>
    </cfRule>
    <cfRule type="expression" dxfId="174" priority="6">
      <formula>IFERROR(INDEX(DiasCategorias, E27-FechaInicio+1),0)=6</formula>
    </cfRule>
    <cfRule type="expression" dxfId="173" priority="7">
      <formula>IFERROR(INDEX(DiasCategorias, E27-FechaInicio+1),0)=7</formula>
    </cfRule>
    <cfRule type="expression" dxfId="172" priority="8">
      <formula>IFERROR(INDEX(DiasCategorias, E27-FechaInicio+1),0)=8</formula>
    </cfRule>
    <cfRule type="expression" dxfId="171" priority="9">
      <formula>IFERROR(INDEX(DiasCategorias, E27-FechaInicio+1),0)=9</formula>
    </cfRule>
    <cfRule type="expression" dxfId="170" priority="10">
      <formula>IFERROR(INDEX(DiasCategorias, E27-FechaInicio+1),0)=10</formula>
    </cfRule>
    <cfRule type="expression" dxfId="169" priority="11">
      <formula>IFERROR(INDEX(DiasCategorias, E27-FechaInicio+1),0)=11</formula>
    </cfRule>
    <cfRule type="expression" dxfId="168" priority="12">
      <formula>IFERROR(INDEX(DiasCategorias, E27-FechaInicio+1),0)=12</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tabColor rgb="FFFF00FF"/>
  </sheetPr>
  <dimension ref="A1:R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6" max="6" width="15.5703125" customWidth="1"/>
    <col min="7" max="7" width="12.7109375" customWidth="1"/>
    <col min="9" max="9" width="14.28515625" customWidth="1"/>
    <col min="10" max="10" width="13.5703125" customWidth="1"/>
    <col min="11" max="15" width="14.7109375" customWidth="1"/>
    <col min="16" max="16" width="15" customWidth="1"/>
  </cols>
  <sheetData>
    <row r="1" spans="1:18" ht="15" customHeight="1" x14ac:dyDescent="0.25">
      <c r="A1" s="268"/>
      <c r="B1" s="268"/>
      <c r="C1" s="281" t="s">
        <v>8</v>
      </c>
      <c r="D1" s="282"/>
      <c r="E1" s="282"/>
      <c r="F1" s="282"/>
      <c r="G1" s="283"/>
      <c r="H1" s="288"/>
      <c r="I1" s="289"/>
    </row>
    <row r="2" spans="1:18" ht="15.75" customHeight="1" thickBot="1" x14ac:dyDescent="0.3">
      <c r="A2" s="268"/>
      <c r="B2" s="268"/>
      <c r="C2" s="285"/>
      <c r="D2" s="286"/>
      <c r="E2" s="286"/>
      <c r="F2" s="286"/>
      <c r="G2" s="287"/>
      <c r="H2" s="288"/>
      <c r="I2" s="289"/>
    </row>
    <row r="3" spans="1:18" x14ac:dyDescent="0.25">
      <c r="A3" s="268"/>
      <c r="B3" s="268"/>
      <c r="C3" s="268"/>
      <c r="D3" s="268"/>
      <c r="E3" s="268"/>
      <c r="F3" s="268"/>
      <c r="G3" s="268"/>
      <c r="H3" s="268"/>
      <c r="I3" s="268"/>
    </row>
    <row r="4" spans="1:18" x14ac:dyDescent="0.25">
      <c r="A4" s="268"/>
      <c r="B4" s="268"/>
      <c r="C4" s="268"/>
      <c r="D4" s="268"/>
      <c r="E4" s="268"/>
      <c r="F4" s="268"/>
      <c r="G4" s="268"/>
      <c r="H4" s="268"/>
      <c r="I4" s="268"/>
    </row>
    <row r="5" spans="1:18" x14ac:dyDescent="0.25">
      <c r="A5" s="268"/>
      <c r="B5" s="268"/>
      <c r="C5" s="268"/>
      <c r="D5" s="268"/>
      <c r="E5" s="268"/>
      <c r="F5" s="268"/>
      <c r="G5" s="268"/>
      <c r="H5" s="268"/>
      <c r="I5" s="268"/>
    </row>
    <row r="6" spans="1:18" ht="27" x14ac:dyDescent="0.5">
      <c r="A6" s="273" t="s">
        <v>10</v>
      </c>
      <c r="B6" s="273"/>
      <c r="C6" s="268"/>
      <c r="D6" s="268"/>
      <c r="E6" s="268"/>
      <c r="F6" s="268"/>
      <c r="G6" s="268"/>
      <c r="H6" s="268"/>
      <c r="I6" s="268"/>
    </row>
    <row r="7" spans="1:18" ht="27.75" thickBot="1" x14ac:dyDescent="0.55000000000000004">
      <c r="A7" s="274">
        <v>42</v>
      </c>
      <c r="B7" s="274"/>
      <c r="C7" s="296"/>
      <c r="D7" s="296"/>
      <c r="E7" s="296"/>
      <c r="F7" s="296"/>
      <c r="G7" s="296"/>
      <c r="H7" s="296"/>
      <c r="I7" s="296"/>
    </row>
    <row r="8" spans="1:18" ht="15.75" thickBot="1" x14ac:dyDescent="0.3">
      <c r="A8" s="10" t="s">
        <v>14</v>
      </c>
      <c r="B8" s="10" t="s">
        <v>15</v>
      </c>
      <c r="C8" s="10" t="s">
        <v>16</v>
      </c>
      <c r="D8" s="10" t="s">
        <v>114</v>
      </c>
      <c r="E8" s="11" t="s">
        <v>17</v>
      </c>
      <c r="F8" s="10" t="s">
        <v>34</v>
      </c>
      <c r="G8" s="10" t="s">
        <v>35</v>
      </c>
      <c r="H8" s="10" t="s">
        <v>36</v>
      </c>
      <c r="I8" s="10" t="s">
        <v>37</v>
      </c>
      <c r="J8" s="10" t="s">
        <v>38</v>
      </c>
      <c r="K8" s="10" t="s">
        <v>39</v>
      </c>
      <c r="L8" s="10" t="s">
        <v>91</v>
      </c>
      <c r="M8" s="10" t="s">
        <v>92</v>
      </c>
      <c r="N8" s="10" t="s">
        <v>93</v>
      </c>
      <c r="O8" s="10" t="s">
        <v>94</v>
      </c>
      <c r="P8" s="11" t="s">
        <v>4</v>
      </c>
      <c r="Q8" s="174" t="s">
        <v>18</v>
      </c>
    </row>
    <row r="9" spans="1:18" ht="15.75" thickBot="1" x14ac:dyDescent="0.3">
      <c r="A9" s="80"/>
      <c r="B9" s="81"/>
      <c r="C9" s="81"/>
      <c r="D9" s="81"/>
      <c r="E9" s="167"/>
      <c r="F9" s="78"/>
      <c r="G9" s="78"/>
      <c r="H9" s="79"/>
      <c r="I9" s="79"/>
      <c r="J9" s="79"/>
      <c r="K9" s="79"/>
      <c r="L9" s="79"/>
      <c r="M9" s="79"/>
      <c r="N9" s="79"/>
      <c r="O9" s="79"/>
      <c r="P9" s="16">
        <f>SUM(F9:O9)</f>
        <v>0</v>
      </c>
      <c r="Q9" s="165">
        <f t="shared" ref="Q9:Q19" si="0">E9-P9</f>
        <v>0</v>
      </c>
      <c r="R9">
        <f t="shared" ref="R9:R14" si="1">_xlfn.ISOWEEKNUM(A9)</f>
        <v>52</v>
      </c>
    </row>
    <row r="10" spans="1:18" ht="15.75" thickBot="1" x14ac:dyDescent="0.3">
      <c r="A10" s="80"/>
      <c r="B10" s="81"/>
      <c r="C10" s="81"/>
      <c r="D10" s="81"/>
      <c r="E10" s="167"/>
      <c r="F10" s="78"/>
      <c r="G10" s="78"/>
      <c r="H10" s="78"/>
      <c r="I10" s="82"/>
      <c r="J10" s="82"/>
      <c r="K10" s="79"/>
      <c r="L10" s="79"/>
      <c r="M10" s="79"/>
      <c r="N10" s="79"/>
      <c r="O10" s="79"/>
      <c r="P10" s="16">
        <f t="shared" ref="P10:P19" si="2">SUM(F10:O10)</f>
        <v>0</v>
      </c>
      <c r="Q10" s="165">
        <f t="shared" si="0"/>
        <v>0</v>
      </c>
      <c r="R10">
        <f t="shared" si="1"/>
        <v>52</v>
      </c>
    </row>
    <row r="11" spans="1:18" ht="15.75" thickBot="1" x14ac:dyDescent="0.3">
      <c r="A11" s="80"/>
      <c r="B11" s="81"/>
      <c r="C11" s="81"/>
      <c r="D11" s="81"/>
      <c r="E11" s="167"/>
      <c r="F11" s="78"/>
      <c r="G11" s="78"/>
      <c r="H11" s="78"/>
      <c r="I11" s="82"/>
      <c r="J11" s="82"/>
      <c r="K11" s="79"/>
      <c r="L11" s="79"/>
      <c r="M11" s="79"/>
      <c r="N11" s="79"/>
      <c r="O11" s="79"/>
      <c r="P11" s="16">
        <f t="shared" si="2"/>
        <v>0</v>
      </c>
      <c r="Q11" s="165">
        <f t="shared" si="0"/>
        <v>0</v>
      </c>
      <c r="R11">
        <f t="shared" si="1"/>
        <v>52</v>
      </c>
    </row>
    <row r="12" spans="1:18" ht="15.75" thickBot="1" x14ac:dyDescent="0.3">
      <c r="A12" s="80"/>
      <c r="B12" s="81"/>
      <c r="C12" s="81"/>
      <c r="D12" s="81"/>
      <c r="E12" s="167"/>
      <c r="F12" s="78"/>
      <c r="G12" s="78"/>
      <c r="H12" s="78"/>
      <c r="I12" s="82"/>
      <c r="J12" s="82"/>
      <c r="K12" s="79"/>
      <c r="L12" s="79"/>
      <c r="M12" s="79"/>
      <c r="N12" s="79"/>
      <c r="O12" s="79"/>
      <c r="P12" s="16">
        <f t="shared" si="2"/>
        <v>0</v>
      </c>
      <c r="Q12" s="165">
        <f t="shared" si="0"/>
        <v>0</v>
      </c>
      <c r="R12">
        <f t="shared" si="1"/>
        <v>52</v>
      </c>
    </row>
    <row r="13" spans="1:18" ht="15.75" thickBot="1" x14ac:dyDescent="0.3">
      <c r="A13" s="80"/>
      <c r="B13" s="81"/>
      <c r="C13" s="81"/>
      <c r="D13" s="81"/>
      <c r="E13" s="167"/>
      <c r="F13" s="78"/>
      <c r="G13" s="78"/>
      <c r="H13" s="78"/>
      <c r="I13" s="82"/>
      <c r="J13" s="82"/>
      <c r="K13" s="79"/>
      <c r="L13" s="79"/>
      <c r="M13" s="79"/>
      <c r="N13" s="79"/>
      <c r="O13" s="79"/>
      <c r="P13" s="16">
        <f t="shared" si="2"/>
        <v>0</v>
      </c>
      <c r="Q13" s="165">
        <f t="shared" si="0"/>
        <v>0</v>
      </c>
      <c r="R13">
        <f t="shared" si="1"/>
        <v>52</v>
      </c>
    </row>
    <row r="14" spans="1:18" ht="15.75" thickBot="1" x14ac:dyDescent="0.3">
      <c r="A14" s="80"/>
      <c r="B14" s="81"/>
      <c r="C14" s="81"/>
      <c r="D14" s="81"/>
      <c r="E14" s="167"/>
      <c r="F14" s="78"/>
      <c r="G14" s="78"/>
      <c r="H14" s="78"/>
      <c r="I14" s="82"/>
      <c r="J14" s="82"/>
      <c r="K14" s="79"/>
      <c r="L14" s="79"/>
      <c r="M14" s="79"/>
      <c r="N14" s="79"/>
      <c r="O14" s="79"/>
      <c r="P14" s="16">
        <f t="shared" si="2"/>
        <v>0</v>
      </c>
      <c r="Q14" s="165">
        <f t="shared" si="0"/>
        <v>0</v>
      </c>
      <c r="R14">
        <f t="shared" si="1"/>
        <v>52</v>
      </c>
    </row>
    <row r="15" spans="1:18" ht="15.75" thickBot="1" x14ac:dyDescent="0.3">
      <c r="A15" s="80"/>
      <c r="B15" s="81"/>
      <c r="C15" s="81"/>
      <c r="D15" s="81"/>
      <c r="E15" s="167"/>
      <c r="F15" s="78"/>
      <c r="G15" s="78"/>
      <c r="H15" s="78"/>
      <c r="I15" s="82"/>
      <c r="J15" s="82"/>
      <c r="K15" s="79"/>
      <c r="L15" s="79"/>
      <c r="M15" s="79"/>
      <c r="N15" s="79"/>
      <c r="O15" s="79"/>
      <c r="P15" s="16">
        <f t="shared" si="2"/>
        <v>0</v>
      </c>
      <c r="Q15" s="165">
        <f t="shared" si="0"/>
        <v>0</v>
      </c>
    </row>
    <row r="16" spans="1:18" ht="15.75" thickBot="1" x14ac:dyDescent="0.3">
      <c r="A16" s="80"/>
      <c r="B16" s="81"/>
      <c r="C16" s="81"/>
      <c r="D16" s="81"/>
      <c r="E16" s="167"/>
      <c r="F16" s="78"/>
      <c r="G16" s="78"/>
      <c r="H16" s="78"/>
      <c r="I16" s="82"/>
      <c r="J16" s="82"/>
      <c r="K16" s="79"/>
      <c r="L16" s="79"/>
      <c r="M16" s="79"/>
      <c r="N16" s="79"/>
      <c r="O16" s="79"/>
      <c r="P16" s="16">
        <f t="shared" si="2"/>
        <v>0</v>
      </c>
      <c r="Q16" s="165">
        <f t="shared" si="0"/>
        <v>0</v>
      </c>
    </row>
    <row r="17" spans="1:17" ht="15.75" thickBot="1" x14ac:dyDescent="0.3">
      <c r="A17" s="80"/>
      <c r="B17" s="81"/>
      <c r="C17" s="81"/>
      <c r="D17" s="81"/>
      <c r="E17" s="167"/>
      <c r="F17" s="78"/>
      <c r="G17" s="78"/>
      <c r="H17" s="78"/>
      <c r="I17" s="82"/>
      <c r="J17" s="82"/>
      <c r="K17" s="79"/>
      <c r="L17" s="79"/>
      <c r="M17" s="79"/>
      <c r="N17" s="79"/>
      <c r="O17" s="79"/>
      <c r="P17" s="16">
        <f t="shared" si="2"/>
        <v>0</v>
      </c>
      <c r="Q17" s="165">
        <f t="shared" si="0"/>
        <v>0</v>
      </c>
    </row>
    <row r="18" spans="1:17" ht="15.75" thickBot="1" x14ac:dyDescent="0.3">
      <c r="A18" s="80"/>
      <c r="B18" s="81"/>
      <c r="C18" s="81"/>
      <c r="D18" s="81"/>
      <c r="E18" s="167"/>
      <c r="F18" s="78"/>
      <c r="G18" s="78"/>
      <c r="H18" s="78"/>
      <c r="I18" s="82"/>
      <c r="J18" s="82"/>
      <c r="K18" s="79"/>
      <c r="L18" s="79"/>
      <c r="M18" s="79"/>
      <c r="N18" s="79"/>
      <c r="O18" s="79"/>
      <c r="P18" s="16">
        <f t="shared" si="2"/>
        <v>0</v>
      </c>
      <c r="Q18" s="165">
        <f t="shared" si="0"/>
        <v>0</v>
      </c>
    </row>
    <row r="19" spans="1:17" ht="15.75" thickBot="1" x14ac:dyDescent="0.3">
      <c r="A19" s="80"/>
      <c r="B19" s="81"/>
      <c r="C19" s="81"/>
      <c r="D19" s="81"/>
      <c r="E19" s="167"/>
      <c r="F19" s="78"/>
      <c r="G19" s="78"/>
      <c r="H19" s="78"/>
      <c r="I19" s="82"/>
      <c r="J19" s="82"/>
      <c r="K19" s="79"/>
      <c r="L19" s="79"/>
      <c r="M19" s="79"/>
      <c r="N19" s="79"/>
      <c r="O19" s="79"/>
      <c r="P19" s="16">
        <f t="shared" si="2"/>
        <v>0</v>
      </c>
      <c r="Q19" s="165">
        <f t="shared" si="0"/>
        <v>0</v>
      </c>
    </row>
    <row r="20" spans="1:17" ht="15.75" thickBot="1" x14ac:dyDescent="0.3">
      <c r="A20" t="s">
        <v>4</v>
      </c>
      <c r="E20" s="16">
        <f>SUM(E9:E19)</f>
        <v>0</v>
      </c>
      <c r="F20" s="14"/>
      <c r="G20" s="14"/>
      <c r="H20" s="14"/>
      <c r="I20" s="14"/>
      <c r="J20" s="14"/>
      <c r="K20" s="10"/>
      <c r="L20" s="10"/>
      <c r="M20" s="10"/>
      <c r="N20" s="10"/>
      <c r="O20" s="10"/>
      <c r="P20" s="17">
        <f>SUM(P9:P19)</f>
        <v>0</v>
      </c>
      <c r="Q20" s="166">
        <f>SUM(Q9:Q19)</f>
        <v>0</v>
      </c>
    </row>
    <row r="21" spans="1:17" ht="15.75" thickBot="1" x14ac:dyDescent="0.3"/>
    <row r="22" spans="1:17" ht="16.5" thickBot="1" x14ac:dyDescent="0.35">
      <c r="H22" s="291" t="s">
        <v>20</v>
      </c>
      <c r="I22" s="292"/>
      <c r="J22" s="15">
        <f>E20</f>
        <v>0</v>
      </c>
    </row>
    <row r="23" spans="1:17" ht="19.5" thickBot="1" x14ac:dyDescent="0.45">
      <c r="H23" s="279" t="s">
        <v>3</v>
      </c>
      <c r="I23" s="280"/>
      <c r="J23" s="16">
        <f>P20</f>
        <v>0</v>
      </c>
    </row>
    <row r="24" spans="1:17" ht="19.5" thickBot="1" x14ac:dyDescent="0.45">
      <c r="D24" s="4">
        <f>+'42 SEMANA '!E11</f>
        <v>0</v>
      </c>
      <c r="H24" s="279" t="s">
        <v>7</v>
      </c>
      <c r="I24" s="279"/>
      <c r="J24" s="13">
        <f>Q20</f>
        <v>0</v>
      </c>
    </row>
    <row r="26" spans="1:17" ht="18.75" x14ac:dyDescent="0.25">
      <c r="D26" s="137">
        <v>45292</v>
      </c>
      <c r="E26" s="138" t="s">
        <v>47</v>
      </c>
      <c r="F26" s="138" t="s">
        <v>41</v>
      </c>
      <c r="G26" s="138" t="s">
        <v>42</v>
      </c>
      <c r="H26" s="138" t="s">
        <v>43</v>
      </c>
      <c r="I26" s="138" t="s">
        <v>44</v>
      </c>
      <c r="J26" s="139" t="s">
        <v>45</v>
      </c>
      <c r="K26" s="139" t="s">
        <v>46</v>
      </c>
      <c r="L26" s="151"/>
      <c r="M26" s="151"/>
      <c r="N26" s="151"/>
      <c r="O26" s="151"/>
    </row>
    <row r="27" spans="1:17" ht="18.75" x14ac:dyDescent="0.25">
      <c r="D27" s="140" t="s">
        <v>166</v>
      </c>
      <c r="E27" s="141" t="s">
        <v>439</v>
      </c>
      <c r="F27" s="141" t="s">
        <v>440</v>
      </c>
      <c r="G27" s="141" t="s">
        <v>441</v>
      </c>
      <c r="H27" s="141" t="s">
        <v>442</v>
      </c>
      <c r="I27" s="141" t="s">
        <v>443</v>
      </c>
      <c r="J27" s="184" t="s">
        <v>444</v>
      </c>
      <c r="K27" s="184" t="s">
        <v>445</v>
      </c>
      <c r="L27" s="152"/>
      <c r="M27" s="152"/>
      <c r="N27" s="152"/>
      <c r="O27" s="152"/>
    </row>
    <row r="40" spans="11:11" x14ac:dyDescent="0.25">
      <c r="K40" t="s">
        <v>31</v>
      </c>
    </row>
  </sheetData>
  <sheetProtection algorithmName="SHA-512" hashValue="ZuSPuozHoeo1Rqg9XA32x+FFYFOA6N/kY8YX8Bv8JF0NmUX2VrCDyx1IuvZAAtGNPqZ231BAwYh/iPdVthg6Mg==" saltValue="2gqLXtazUnTfY0H9FOetoQ==" spinCount="100000" sheet="1" formatCells="0" formatColumns="0" formatRows="0" insertColumns="0" insertRows="0" insertHyperlinks="0" deleteColumns="0" deleteRows="0" sort="0" autoFilter="0" pivotTables="0"/>
  <autoFilter ref="A8:Q8" xr:uid="{00000000-0001-0000-0700-000000000000}"/>
  <mergeCells count="9">
    <mergeCell ref="H22:I22"/>
    <mergeCell ref="H23:I23"/>
    <mergeCell ref="H24:I24"/>
    <mergeCell ref="A1:B5"/>
    <mergeCell ref="C1:G2"/>
    <mergeCell ref="H1:I2"/>
    <mergeCell ref="C3:I7"/>
    <mergeCell ref="A6:B6"/>
    <mergeCell ref="A7:B7"/>
  </mergeCells>
  <phoneticPr fontId="18" type="noConversion"/>
  <conditionalFormatting sqref="L27:O27">
    <cfRule type="expression" dxfId="167" priority="25">
      <formula>IFERROR(INDEX(DiasCategorias, L27-FechaInicio+1),0)=1</formula>
    </cfRule>
    <cfRule type="expression" dxfId="166" priority="26">
      <formula>IFERROR(INDEX(DiasCategorias, L27-FechaInicio+1),0)=2</formula>
    </cfRule>
    <cfRule type="expression" dxfId="165" priority="27">
      <formula>IFERROR(INDEX(DiasCategorias, L27-FechaInicio+1),0)=3</formula>
    </cfRule>
    <cfRule type="expression" dxfId="164" priority="28">
      <formula>IFERROR(INDEX(DiasCategorias, L27-FechaInicio+1),0)=4</formula>
    </cfRule>
    <cfRule type="expression" dxfId="163" priority="29">
      <formula>IFERROR(INDEX(DiasCategorias, L27-FechaInicio+1),0)=5</formula>
    </cfRule>
    <cfRule type="expression" dxfId="162" priority="30">
      <formula>IFERROR(INDEX(DiasCategorias, L27-FechaInicio+1),0)=6</formula>
    </cfRule>
    <cfRule type="expression" dxfId="161" priority="31">
      <formula>IFERROR(INDEX(DiasCategorias, L27-FechaInicio+1),0)=7</formula>
    </cfRule>
    <cfRule type="expression" dxfId="160" priority="32">
      <formula>IFERROR(INDEX(DiasCategorias, L27-FechaInicio+1),0)=8</formula>
    </cfRule>
    <cfRule type="expression" dxfId="159" priority="33">
      <formula>IFERROR(INDEX(DiasCategorias, L27-FechaInicio+1),0)=9</formula>
    </cfRule>
    <cfRule type="expression" dxfId="158" priority="34">
      <formula>IFERROR(INDEX(DiasCategorias, L27-FechaInicio+1),0)=10</formula>
    </cfRule>
    <cfRule type="expression" dxfId="157" priority="35">
      <formula>IFERROR(INDEX(DiasCategorias, L27-FechaInicio+1),0)=11</formula>
    </cfRule>
    <cfRule type="expression" dxfId="156" priority="36">
      <formula>IFERROR(INDEX(DiasCategorias, L27-FechaInicio+1),0)=12</formula>
    </cfRule>
  </conditionalFormatting>
  <conditionalFormatting sqref="E27:K27">
    <cfRule type="expression" dxfId="155" priority="1">
      <formula>IFERROR(INDEX(DiasCategorias, E27-FechaInicio+1),0)=1</formula>
    </cfRule>
    <cfRule type="expression" dxfId="154" priority="2">
      <formula>IFERROR(INDEX(DiasCategorias, E27-FechaInicio+1),0)=2</formula>
    </cfRule>
    <cfRule type="expression" dxfId="153" priority="3">
      <formula>IFERROR(INDEX(DiasCategorias, E27-FechaInicio+1),0)=3</formula>
    </cfRule>
    <cfRule type="expression" dxfId="152" priority="4">
      <formula>IFERROR(INDEX(DiasCategorias, E27-FechaInicio+1),0)=4</formula>
    </cfRule>
    <cfRule type="expression" dxfId="151" priority="5">
      <formula>IFERROR(INDEX(DiasCategorias, E27-FechaInicio+1),0)=5</formula>
    </cfRule>
    <cfRule type="expression" dxfId="150" priority="6">
      <formula>IFERROR(INDEX(DiasCategorias, E27-FechaInicio+1),0)=6</formula>
    </cfRule>
    <cfRule type="expression" dxfId="149" priority="7">
      <formula>IFERROR(INDEX(DiasCategorias, E27-FechaInicio+1),0)=7</formula>
    </cfRule>
    <cfRule type="expression" dxfId="148" priority="8">
      <formula>IFERROR(INDEX(DiasCategorias, E27-FechaInicio+1),0)=8</formula>
    </cfRule>
    <cfRule type="expression" dxfId="147" priority="9">
      <formula>IFERROR(INDEX(DiasCategorias, E27-FechaInicio+1),0)=9</formula>
    </cfRule>
    <cfRule type="expression" dxfId="146" priority="10">
      <formula>IFERROR(INDEX(DiasCategorias, E27-FechaInicio+1),0)=10</formula>
    </cfRule>
    <cfRule type="expression" dxfId="145" priority="11">
      <formula>IFERROR(INDEX(DiasCategorias, E27-FechaInicio+1),0)=11</formula>
    </cfRule>
    <cfRule type="expression" dxfId="144" priority="12">
      <formula>IFERROR(INDEX(DiasCategorias, E27-FechaInicio+1),0)=12</formula>
    </cfRule>
  </conditionalFormatting>
  <pageMargins left="0.7" right="0.7" top="0.75" bottom="0.75" header="0.3" footer="0.3"/>
  <ignoredErrors>
    <ignoredError sqref="P20 P9:P19" formulaRange="1"/>
  </ignoredError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theme="8" tint="0.39997558519241921"/>
  </sheetPr>
  <dimension ref="A1:P40"/>
  <sheetViews>
    <sheetView workbookViewId="0">
      <selection activeCell="E27" sqref="E27:K27"/>
    </sheetView>
  </sheetViews>
  <sheetFormatPr baseColWidth="10" defaultRowHeight="15" x14ac:dyDescent="0.25"/>
  <cols>
    <col min="2" max="2" width="9.140625" customWidth="1"/>
    <col min="3" max="3" width="27.5703125" bestFit="1" customWidth="1"/>
    <col min="6" max="6" width="15.140625" customWidth="1"/>
    <col min="8" max="8" width="14.28515625" customWidth="1"/>
    <col min="9" max="9" width="15.85546875" customWidth="1"/>
    <col min="10" max="14" width="15" customWidth="1"/>
  </cols>
  <sheetData>
    <row r="1" spans="1:16" ht="15" customHeight="1" x14ac:dyDescent="0.25">
      <c r="A1" s="268"/>
      <c r="B1" s="268"/>
      <c r="C1" s="281" t="s">
        <v>8</v>
      </c>
      <c r="D1" s="282"/>
      <c r="E1" s="282"/>
      <c r="F1" s="282"/>
      <c r="G1" s="283"/>
      <c r="H1" s="288"/>
      <c r="I1" s="289"/>
    </row>
    <row r="2" spans="1:16" ht="15.75" customHeight="1" thickBot="1" x14ac:dyDescent="0.3">
      <c r="A2" s="268"/>
      <c r="B2" s="268"/>
      <c r="C2" s="285"/>
      <c r="D2" s="286"/>
      <c r="E2" s="286"/>
      <c r="F2" s="286"/>
      <c r="G2" s="287"/>
      <c r="H2" s="288"/>
      <c r="I2" s="289"/>
    </row>
    <row r="3" spans="1:16" x14ac:dyDescent="0.25">
      <c r="A3" s="268"/>
      <c r="B3" s="268"/>
      <c r="C3" s="268"/>
      <c r="D3" s="268"/>
      <c r="E3" s="268"/>
      <c r="F3" s="268"/>
      <c r="G3" s="268"/>
      <c r="H3" s="268"/>
      <c r="I3" s="268"/>
    </row>
    <row r="4" spans="1:16" x14ac:dyDescent="0.25">
      <c r="A4" s="268"/>
      <c r="B4" s="268"/>
      <c r="C4" s="268"/>
      <c r="D4" s="268"/>
      <c r="E4" s="268"/>
      <c r="F4" s="268"/>
      <c r="G4" s="268"/>
      <c r="H4" s="268"/>
      <c r="I4" s="268"/>
    </row>
    <row r="5" spans="1:16" x14ac:dyDescent="0.25">
      <c r="A5" s="268"/>
      <c r="B5" s="268"/>
      <c r="C5" s="268"/>
      <c r="D5" s="268"/>
      <c r="E5" s="268"/>
      <c r="F5" s="268"/>
      <c r="G5" s="268"/>
      <c r="H5" s="268"/>
      <c r="I5" s="268"/>
    </row>
    <row r="6" spans="1:16" ht="27" x14ac:dyDescent="0.5">
      <c r="A6" s="273" t="s">
        <v>10</v>
      </c>
      <c r="B6" s="273"/>
      <c r="C6" s="268"/>
      <c r="D6" s="268"/>
      <c r="E6" s="268"/>
      <c r="F6" s="268"/>
      <c r="G6" s="268"/>
      <c r="H6" s="268"/>
      <c r="I6" s="268"/>
    </row>
    <row r="7" spans="1:16" ht="27.75" thickBot="1" x14ac:dyDescent="0.55000000000000004">
      <c r="A7" s="274">
        <v>43</v>
      </c>
      <c r="B7" s="274"/>
      <c r="C7" s="296"/>
      <c r="D7" s="296"/>
      <c r="E7" s="296"/>
      <c r="F7" s="296"/>
      <c r="G7" s="296"/>
      <c r="H7" s="296"/>
      <c r="I7" s="296"/>
    </row>
    <row r="8" spans="1:16" ht="15.75" thickBot="1" x14ac:dyDescent="0.3">
      <c r="A8" s="10" t="s">
        <v>14</v>
      </c>
      <c r="B8" s="10" t="s">
        <v>15</v>
      </c>
      <c r="C8" s="10" t="s">
        <v>16</v>
      </c>
      <c r="D8" s="10" t="s">
        <v>114</v>
      </c>
      <c r="E8" s="11" t="s">
        <v>17</v>
      </c>
      <c r="F8" s="10" t="s">
        <v>35</v>
      </c>
      <c r="G8" s="10" t="s">
        <v>36</v>
      </c>
      <c r="H8" s="10" t="s">
        <v>37</v>
      </c>
      <c r="I8" s="10" t="s">
        <v>38</v>
      </c>
      <c r="J8" s="10" t="s">
        <v>39</v>
      </c>
      <c r="K8" s="10" t="s">
        <v>91</v>
      </c>
      <c r="L8" s="10" t="s">
        <v>92</v>
      </c>
      <c r="M8" s="10" t="s">
        <v>93</v>
      </c>
      <c r="N8" s="10" t="s">
        <v>94</v>
      </c>
      <c r="O8" s="11" t="s">
        <v>4</v>
      </c>
      <c r="P8" s="174" t="s">
        <v>18</v>
      </c>
    </row>
    <row r="9" spans="1:16" ht="15.75" thickBot="1" x14ac:dyDescent="0.3">
      <c r="A9" s="80"/>
      <c r="B9" s="81"/>
      <c r="C9" s="81"/>
      <c r="D9" s="81"/>
      <c r="E9" s="167"/>
      <c r="F9" s="78"/>
      <c r="G9" s="78"/>
      <c r="H9" s="79"/>
      <c r="I9" s="79"/>
      <c r="J9" s="79"/>
      <c r="K9" s="79"/>
      <c r="L9" s="79"/>
      <c r="M9" s="79"/>
      <c r="N9" s="79"/>
      <c r="O9" s="83">
        <f>SUM(F9:N9)</f>
        <v>0</v>
      </c>
      <c r="P9" s="165">
        <f t="shared" ref="P9:P19" si="0">E9-O9</f>
        <v>0</v>
      </c>
    </row>
    <row r="10" spans="1:16" ht="15.75" thickBot="1" x14ac:dyDescent="0.3">
      <c r="A10" s="80"/>
      <c r="B10" s="81"/>
      <c r="C10" s="81"/>
      <c r="D10" s="81"/>
      <c r="E10" s="167"/>
      <c r="F10" s="78"/>
      <c r="G10" s="78"/>
      <c r="H10" s="78"/>
      <c r="I10" s="82"/>
      <c r="J10" s="79"/>
      <c r="K10" s="79"/>
      <c r="L10" s="79"/>
      <c r="M10" s="79"/>
      <c r="N10" s="79"/>
      <c r="O10" s="83">
        <f t="shared" ref="O10:O19" si="1">SUM(F10:N10)</f>
        <v>0</v>
      </c>
      <c r="P10" s="165">
        <f t="shared" si="0"/>
        <v>0</v>
      </c>
    </row>
    <row r="11" spans="1:16" ht="15.75" thickBot="1" x14ac:dyDescent="0.3">
      <c r="A11" s="80"/>
      <c r="B11" s="81"/>
      <c r="C11" s="81"/>
      <c r="D11" s="81"/>
      <c r="E11" s="167"/>
      <c r="F11" s="78"/>
      <c r="G11" s="78"/>
      <c r="H11" s="78"/>
      <c r="I11" s="82"/>
      <c r="J11" s="79"/>
      <c r="K11" s="79"/>
      <c r="L11" s="79"/>
      <c r="M11" s="79"/>
      <c r="N11" s="79"/>
      <c r="O11" s="83">
        <f t="shared" si="1"/>
        <v>0</v>
      </c>
      <c r="P11" s="165">
        <f t="shared" si="0"/>
        <v>0</v>
      </c>
    </row>
    <row r="12" spans="1:16" ht="15.75" thickBot="1" x14ac:dyDescent="0.3">
      <c r="A12" s="80"/>
      <c r="B12" s="81"/>
      <c r="C12" s="81"/>
      <c r="D12" s="81"/>
      <c r="E12" s="167"/>
      <c r="F12" s="78"/>
      <c r="G12" s="78"/>
      <c r="H12" s="78"/>
      <c r="I12" s="82"/>
      <c r="J12" s="79"/>
      <c r="K12" s="79"/>
      <c r="L12" s="79"/>
      <c r="M12" s="79"/>
      <c r="N12" s="79"/>
      <c r="O12" s="83">
        <f t="shared" si="1"/>
        <v>0</v>
      </c>
      <c r="P12" s="165">
        <f t="shared" si="0"/>
        <v>0</v>
      </c>
    </row>
    <row r="13" spans="1:16" ht="15.75" thickBot="1" x14ac:dyDescent="0.3">
      <c r="A13" s="80"/>
      <c r="B13" s="81"/>
      <c r="C13" s="81"/>
      <c r="D13" s="81"/>
      <c r="E13" s="167"/>
      <c r="F13" s="78"/>
      <c r="G13" s="78"/>
      <c r="H13" s="78"/>
      <c r="I13" s="82"/>
      <c r="J13" s="79"/>
      <c r="K13" s="79"/>
      <c r="L13" s="79"/>
      <c r="M13" s="79"/>
      <c r="N13" s="79"/>
      <c r="O13" s="83">
        <f t="shared" si="1"/>
        <v>0</v>
      </c>
      <c r="P13" s="165">
        <f t="shared" si="0"/>
        <v>0</v>
      </c>
    </row>
    <row r="14" spans="1:16" ht="15.75" thickBot="1" x14ac:dyDescent="0.3">
      <c r="A14" s="80"/>
      <c r="B14" s="81"/>
      <c r="C14" s="81"/>
      <c r="D14" s="81"/>
      <c r="E14" s="167"/>
      <c r="F14" s="78"/>
      <c r="G14" s="78"/>
      <c r="H14" s="78"/>
      <c r="I14" s="82"/>
      <c r="J14" s="79"/>
      <c r="K14" s="79"/>
      <c r="L14" s="79"/>
      <c r="M14" s="79"/>
      <c r="N14" s="79"/>
      <c r="O14" s="83">
        <f t="shared" si="1"/>
        <v>0</v>
      </c>
      <c r="P14" s="165">
        <f t="shared" si="0"/>
        <v>0</v>
      </c>
    </row>
    <row r="15" spans="1:16" ht="15.75" thickBot="1" x14ac:dyDescent="0.3">
      <c r="A15" s="80"/>
      <c r="B15" s="81"/>
      <c r="C15" s="81"/>
      <c r="D15" s="81"/>
      <c r="E15" s="167"/>
      <c r="F15" s="78"/>
      <c r="G15" s="78"/>
      <c r="H15" s="78"/>
      <c r="I15" s="82"/>
      <c r="J15" s="79"/>
      <c r="K15" s="79"/>
      <c r="L15" s="79"/>
      <c r="M15" s="79"/>
      <c r="N15" s="79"/>
      <c r="O15" s="83">
        <f t="shared" si="1"/>
        <v>0</v>
      </c>
      <c r="P15" s="165">
        <f t="shared" si="0"/>
        <v>0</v>
      </c>
    </row>
    <row r="16" spans="1:16" ht="15.75" thickBot="1" x14ac:dyDescent="0.3">
      <c r="A16" s="80"/>
      <c r="B16" s="81"/>
      <c r="C16" s="81"/>
      <c r="D16" s="81"/>
      <c r="E16" s="167"/>
      <c r="F16" s="78"/>
      <c r="G16" s="78"/>
      <c r="H16" s="78"/>
      <c r="I16" s="82"/>
      <c r="J16" s="79"/>
      <c r="K16" s="79"/>
      <c r="L16" s="79"/>
      <c r="M16" s="79"/>
      <c r="N16" s="79"/>
      <c r="O16" s="83">
        <f t="shared" si="1"/>
        <v>0</v>
      </c>
      <c r="P16" s="165">
        <f t="shared" si="0"/>
        <v>0</v>
      </c>
    </row>
    <row r="17" spans="1:16" ht="15.75" thickBot="1" x14ac:dyDescent="0.3">
      <c r="A17" s="80"/>
      <c r="B17" s="81"/>
      <c r="C17" s="81"/>
      <c r="D17" s="81"/>
      <c r="E17" s="167"/>
      <c r="F17" s="78"/>
      <c r="G17" s="78"/>
      <c r="H17" s="78"/>
      <c r="I17" s="82"/>
      <c r="J17" s="79"/>
      <c r="K17" s="79"/>
      <c r="L17" s="79"/>
      <c r="M17" s="79"/>
      <c r="N17" s="79"/>
      <c r="O17" s="83">
        <f t="shared" si="1"/>
        <v>0</v>
      </c>
      <c r="P17" s="165">
        <f t="shared" si="0"/>
        <v>0</v>
      </c>
    </row>
    <row r="18" spans="1:16" ht="15.75" thickBot="1" x14ac:dyDescent="0.3">
      <c r="A18" s="80"/>
      <c r="B18" s="81"/>
      <c r="C18" s="81"/>
      <c r="D18" s="81"/>
      <c r="E18" s="167"/>
      <c r="F18" s="78"/>
      <c r="G18" s="78"/>
      <c r="H18" s="78"/>
      <c r="I18" s="82"/>
      <c r="J18" s="79"/>
      <c r="K18" s="79"/>
      <c r="L18" s="79"/>
      <c r="M18" s="79"/>
      <c r="N18" s="79"/>
      <c r="O18" s="83">
        <f t="shared" si="1"/>
        <v>0</v>
      </c>
      <c r="P18" s="165">
        <f t="shared" si="0"/>
        <v>0</v>
      </c>
    </row>
    <row r="19" spans="1:16" ht="15.75" thickBot="1" x14ac:dyDescent="0.3">
      <c r="A19" s="80"/>
      <c r="B19" s="81"/>
      <c r="C19" s="81"/>
      <c r="D19" s="81"/>
      <c r="E19" s="167"/>
      <c r="F19" s="78"/>
      <c r="G19" s="78"/>
      <c r="H19" s="78"/>
      <c r="I19" s="82"/>
      <c r="J19" s="79"/>
      <c r="K19" s="79"/>
      <c r="L19" s="79"/>
      <c r="M19" s="79"/>
      <c r="N19" s="79"/>
      <c r="O19" s="83">
        <f t="shared" si="1"/>
        <v>0</v>
      </c>
      <c r="P19" s="165">
        <f t="shared" si="0"/>
        <v>0</v>
      </c>
    </row>
    <row r="20" spans="1:16" ht="15.75" thickBot="1" x14ac:dyDescent="0.3">
      <c r="A20" t="s">
        <v>4</v>
      </c>
      <c r="E20" s="16">
        <f>SUM(E9:E19)</f>
        <v>0</v>
      </c>
      <c r="F20" s="14"/>
      <c r="G20" s="14"/>
      <c r="H20" s="14"/>
      <c r="I20" s="14"/>
      <c r="J20" s="10"/>
      <c r="O20" s="17">
        <f>SUM(O9:O19)</f>
        <v>0</v>
      </c>
      <c r="P20" s="166">
        <f>SUM(P9:P19)</f>
        <v>0</v>
      </c>
    </row>
    <row r="21" spans="1:16" ht="15.75" thickBot="1" x14ac:dyDescent="0.3"/>
    <row r="22" spans="1:16" ht="16.5" thickBot="1" x14ac:dyDescent="0.35">
      <c r="H22" s="291" t="s">
        <v>20</v>
      </c>
      <c r="I22" s="292"/>
      <c r="J22" s="15">
        <f>E20</f>
        <v>0</v>
      </c>
      <c r="K22" s="4"/>
      <c r="L22" s="4"/>
      <c r="M22" s="4"/>
      <c r="N22" s="4"/>
    </row>
    <row r="23" spans="1:16" ht="19.5" thickBot="1" x14ac:dyDescent="0.45">
      <c r="H23" s="279" t="s">
        <v>3</v>
      </c>
      <c r="I23" s="280"/>
      <c r="J23" s="16">
        <f>O20</f>
        <v>0</v>
      </c>
      <c r="K23" s="4"/>
      <c r="L23" s="4"/>
      <c r="M23" s="4"/>
      <c r="N23" s="4"/>
    </row>
    <row r="24" spans="1:16" ht="19.5" thickBot="1" x14ac:dyDescent="0.45">
      <c r="H24" s="279" t="s">
        <v>7</v>
      </c>
      <c r="I24" s="279"/>
      <c r="J24" s="13">
        <f>P20</f>
        <v>0</v>
      </c>
      <c r="K24" s="175"/>
      <c r="L24" s="175"/>
      <c r="M24" s="175"/>
      <c r="N24" s="175"/>
    </row>
    <row r="26" spans="1:16" ht="18.75" x14ac:dyDescent="0.25">
      <c r="D26" s="137">
        <v>45292</v>
      </c>
      <c r="E26" s="138" t="s">
        <v>47</v>
      </c>
      <c r="F26" s="138" t="s">
        <v>41</v>
      </c>
      <c r="G26" s="138" t="s">
        <v>42</v>
      </c>
      <c r="H26" s="138" t="s">
        <v>43</v>
      </c>
      <c r="I26" s="138" t="s">
        <v>44</v>
      </c>
      <c r="J26" s="139" t="s">
        <v>45</v>
      </c>
      <c r="K26" s="139" t="s">
        <v>46</v>
      </c>
      <c r="L26" s="151"/>
      <c r="M26" s="151"/>
      <c r="N26" s="151"/>
      <c r="O26" s="151"/>
    </row>
    <row r="27" spans="1:16" ht="18.75" x14ac:dyDescent="0.25">
      <c r="D27" s="140" t="s">
        <v>167</v>
      </c>
      <c r="E27" s="141" t="s">
        <v>446</v>
      </c>
      <c r="F27" s="141" t="s">
        <v>447</v>
      </c>
      <c r="G27" s="141" t="s">
        <v>448</v>
      </c>
      <c r="H27" s="141" t="s">
        <v>449</v>
      </c>
      <c r="I27" s="141" t="s">
        <v>450</v>
      </c>
      <c r="J27" s="184" t="s">
        <v>451</v>
      </c>
      <c r="K27" s="184" t="s">
        <v>452</v>
      </c>
      <c r="L27" s="152"/>
      <c r="M27" s="152"/>
      <c r="N27" s="152"/>
      <c r="O27" s="152"/>
    </row>
    <row r="40" spans="15:15" x14ac:dyDescent="0.25">
      <c r="O40" t="s">
        <v>31</v>
      </c>
    </row>
  </sheetData>
  <sheetProtection algorithmName="SHA-512" hashValue="iyoBcbsmT37LMcNRZDna2pJorOE8PIOxu/ppAvjvoRpidLjwavlz/2mz78HBS6An6z6i2ih703LT2tegYMqfTQ==" saltValue="yxNDGutRaZKJe0w1vSh4Cg==" spinCount="100000" sheet="1" formatCells="0" formatColumns="0" formatRows="0" insertColumns="0" insertRows="0" insertHyperlinks="0" deleteColumns="0" deleteRows="0" sort="0" autoFilter="0" pivotTables="0"/>
  <autoFilter ref="A8:P8" xr:uid="{00000000-0001-0000-0800-000000000000}"/>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L27:O27">
    <cfRule type="expression" dxfId="143" priority="25">
      <formula>IFERROR(INDEX(DiasCategorias, L27-FechaInicio+1),0)=1</formula>
    </cfRule>
    <cfRule type="expression" dxfId="142" priority="26">
      <formula>IFERROR(INDEX(DiasCategorias, L27-FechaInicio+1),0)=2</formula>
    </cfRule>
    <cfRule type="expression" dxfId="141" priority="27">
      <formula>IFERROR(INDEX(DiasCategorias, L27-FechaInicio+1),0)=3</formula>
    </cfRule>
    <cfRule type="expression" dxfId="140" priority="28">
      <formula>IFERROR(INDEX(DiasCategorias, L27-FechaInicio+1),0)=4</formula>
    </cfRule>
    <cfRule type="expression" dxfId="139" priority="29">
      <formula>IFERROR(INDEX(DiasCategorias, L27-FechaInicio+1),0)=5</formula>
    </cfRule>
    <cfRule type="expression" dxfId="138" priority="30">
      <formula>IFERROR(INDEX(DiasCategorias, L27-FechaInicio+1),0)=6</formula>
    </cfRule>
    <cfRule type="expression" dxfId="137" priority="31">
      <formula>IFERROR(INDEX(DiasCategorias, L27-FechaInicio+1),0)=7</formula>
    </cfRule>
    <cfRule type="expression" dxfId="136" priority="32">
      <formula>IFERROR(INDEX(DiasCategorias, L27-FechaInicio+1),0)=8</formula>
    </cfRule>
    <cfRule type="expression" dxfId="135" priority="33">
      <formula>IFERROR(INDEX(DiasCategorias, L27-FechaInicio+1),0)=9</formula>
    </cfRule>
    <cfRule type="expression" dxfId="134" priority="34">
      <formula>IFERROR(INDEX(DiasCategorias, L27-FechaInicio+1),0)=10</formula>
    </cfRule>
    <cfRule type="expression" dxfId="133" priority="35">
      <formula>IFERROR(INDEX(DiasCategorias, L27-FechaInicio+1),0)=11</formula>
    </cfRule>
    <cfRule type="expression" dxfId="132" priority="36">
      <formula>IFERROR(INDEX(DiasCategorias, L27-FechaInicio+1),0)=12</formula>
    </cfRule>
  </conditionalFormatting>
  <conditionalFormatting sqref="E27:K27">
    <cfRule type="expression" dxfId="131" priority="1">
      <formula>IFERROR(INDEX(DiasCategorias, E27-FechaInicio+1),0)=1</formula>
    </cfRule>
    <cfRule type="expression" dxfId="130" priority="2">
      <formula>IFERROR(INDEX(DiasCategorias, E27-FechaInicio+1),0)=2</formula>
    </cfRule>
    <cfRule type="expression" dxfId="129" priority="3">
      <formula>IFERROR(INDEX(DiasCategorias, E27-FechaInicio+1),0)=3</formula>
    </cfRule>
    <cfRule type="expression" dxfId="128" priority="4">
      <formula>IFERROR(INDEX(DiasCategorias, E27-FechaInicio+1),0)=4</formula>
    </cfRule>
    <cfRule type="expression" dxfId="127" priority="5">
      <formula>IFERROR(INDEX(DiasCategorias, E27-FechaInicio+1),0)=5</formula>
    </cfRule>
    <cfRule type="expression" dxfId="126" priority="6">
      <formula>IFERROR(INDEX(DiasCategorias, E27-FechaInicio+1),0)=6</formula>
    </cfRule>
    <cfRule type="expression" dxfId="125" priority="7">
      <formula>IFERROR(INDEX(DiasCategorias, E27-FechaInicio+1),0)=7</formula>
    </cfRule>
    <cfRule type="expression" dxfId="124" priority="8">
      <formula>IFERROR(INDEX(DiasCategorias, E27-FechaInicio+1),0)=8</formula>
    </cfRule>
    <cfRule type="expression" dxfId="123" priority="9">
      <formula>IFERROR(INDEX(DiasCategorias, E27-FechaInicio+1),0)=9</formula>
    </cfRule>
    <cfRule type="expression" dxfId="122" priority="10">
      <formula>IFERROR(INDEX(DiasCategorias, E27-FechaInicio+1),0)=10</formula>
    </cfRule>
    <cfRule type="expression" dxfId="121" priority="11">
      <formula>IFERROR(INDEX(DiasCategorias, E27-FechaInicio+1),0)=11</formula>
    </cfRule>
    <cfRule type="expression" dxfId="120" priority="12">
      <formula>IFERROR(INDEX(DiasCategorias, E27-FechaInicio+1),0)=12</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1872A-44CD-4991-88C8-8DFAB15093CE}">
  <sheetPr codeName="Hoja14">
    <tabColor rgb="FFFFFF00"/>
  </sheetPr>
  <dimension ref="A1:N40"/>
  <sheetViews>
    <sheetView workbookViewId="0">
      <selection activeCell="E27" sqref="E27:K27"/>
    </sheetView>
  </sheetViews>
  <sheetFormatPr baseColWidth="10" defaultRowHeight="15" x14ac:dyDescent="0.25"/>
  <cols>
    <col min="2" max="2" width="9.140625" customWidth="1"/>
    <col min="3" max="3" width="32.28515625" customWidth="1"/>
    <col min="4" max="4" width="14.7109375" bestFit="1" customWidth="1"/>
    <col min="6" max="6" width="15" customWidth="1"/>
    <col min="7" max="7" width="13" customWidth="1"/>
    <col min="8" max="8" width="15" customWidth="1"/>
    <col min="9" max="9" width="15.5703125" customWidth="1"/>
    <col min="10" max="10" width="13.85546875" customWidth="1"/>
    <col min="11" max="12" width="14" customWidth="1"/>
  </cols>
  <sheetData>
    <row r="1" spans="1:14" ht="15" customHeight="1" x14ac:dyDescent="0.25">
      <c r="A1" s="268"/>
      <c r="B1" s="268"/>
      <c r="C1" s="281" t="s">
        <v>8</v>
      </c>
      <c r="D1" s="282"/>
      <c r="E1" s="282"/>
      <c r="F1" s="282"/>
      <c r="G1" s="283"/>
      <c r="H1" s="288"/>
      <c r="I1" s="289"/>
    </row>
    <row r="2" spans="1:14" ht="15.75" customHeight="1" thickBot="1" x14ac:dyDescent="0.3">
      <c r="A2" s="268"/>
      <c r="B2" s="268"/>
      <c r="C2" s="285"/>
      <c r="D2" s="286"/>
      <c r="E2" s="286"/>
      <c r="F2" s="286"/>
      <c r="G2" s="287"/>
      <c r="H2" s="288"/>
      <c r="I2" s="289"/>
    </row>
    <row r="3" spans="1:14" x14ac:dyDescent="0.25">
      <c r="A3" s="268"/>
      <c r="B3" s="268"/>
      <c r="C3" s="268"/>
      <c r="D3" s="268"/>
      <c r="E3" s="268"/>
      <c r="F3" s="268"/>
      <c r="G3" s="268"/>
      <c r="H3" s="268"/>
      <c r="I3" s="268"/>
    </row>
    <row r="4" spans="1:14" x14ac:dyDescent="0.25">
      <c r="A4" s="268"/>
      <c r="B4" s="268"/>
      <c r="C4" s="268"/>
      <c r="D4" s="268"/>
      <c r="E4" s="268"/>
      <c r="F4" s="268"/>
      <c r="G4" s="268"/>
      <c r="H4" s="268"/>
      <c r="I4" s="268"/>
    </row>
    <row r="5" spans="1:14" x14ac:dyDescent="0.25">
      <c r="A5" s="268"/>
      <c r="B5" s="268"/>
      <c r="C5" s="268"/>
      <c r="D5" s="268"/>
      <c r="E5" s="268"/>
      <c r="F5" s="268"/>
      <c r="G5" s="268"/>
      <c r="H5" s="268"/>
      <c r="I5" s="268"/>
    </row>
    <row r="6" spans="1:14" ht="27" x14ac:dyDescent="0.5">
      <c r="A6" s="273" t="s">
        <v>10</v>
      </c>
      <c r="B6" s="273"/>
      <c r="C6" s="268"/>
      <c r="D6" s="268"/>
      <c r="E6" s="268"/>
      <c r="F6" s="268"/>
      <c r="G6" s="268"/>
      <c r="H6" s="268"/>
      <c r="I6" s="268"/>
    </row>
    <row r="7" spans="1:14" ht="27.75" thickBot="1" x14ac:dyDescent="0.55000000000000004">
      <c r="A7" s="274">
        <v>44</v>
      </c>
      <c r="B7" s="274"/>
      <c r="C7" s="296"/>
      <c r="D7" s="296"/>
      <c r="E7" s="296"/>
      <c r="F7" s="296"/>
      <c r="G7" s="296"/>
      <c r="H7" s="296"/>
      <c r="I7" s="296"/>
    </row>
    <row r="8" spans="1:14" ht="15.75" thickBot="1" x14ac:dyDescent="0.3">
      <c r="A8" s="10" t="s">
        <v>14</v>
      </c>
      <c r="B8" s="10" t="s">
        <v>15</v>
      </c>
      <c r="C8" s="10" t="s">
        <v>16</v>
      </c>
      <c r="D8" s="10" t="s">
        <v>114</v>
      </c>
      <c r="E8" s="11" t="s">
        <v>17</v>
      </c>
      <c r="F8" s="10" t="s">
        <v>36</v>
      </c>
      <c r="G8" s="10" t="s">
        <v>37</v>
      </c>
      <c r="H8" s="10" t="s">
        <v>38</v>
      </c>
      <c r="I8" s="10" t="s">
        <v>39</v>
      </c>
      <c r="J8" s="10" t="s">
        <v>91</v>
      </c>
      <c r="K8" s="10" t="s">
        <v>92</v>
      </c>
      <c r="L8" s="10" t="s">
        <v>93</v>
      </c>
      <c r="M8" s="11" t="s">
        <v>4</v>
      </c>
      <c r="N8" s="174" t="s">
        <v>18</v>
      </c>
    </row>
    <row r="9" spans="1:14" ht="15.75" thickBot="1" x14ac:dyDescent="0.3">
      <c r="A9" s="80"/>
      <c r="B9" s="81"/>
      <c r="C9" s="81"/>
      <c r="D9" s="81"/>
      <c r="E9" s="167"/>
      <c r="F9" s="78"/>
      <c r="G9" s="78"/>
      <c r="H9" s="79"/>
      <c r="I9" s="79"/>
      <c r="J9" s="79"/>
      <c r="K9" s="79"/>
      <c r="L9" s="79"/>
      <c r="M9" s="16">
        <f>SUM(F9:L9)</f>
        <v>0</v>
      </c>
      <c r="N9" s="165">
        <f t="shared" ref="N9:N19" si="0">E9-M9</f>
        <v>0</v>
      </c>
    </row>
    <row r="10" spans="1:14" ht="15.75" thickBot="1" x14ac:dyDescent="0.3">
      <c r="A10" s="80"/>
      <c r="B10" s="81"/>
      <c r="C10" s="81"/>
      <c r="D10" s="81"/>
      <c r="E10" s="167"/>
      <c r="F10" s="78"/>
      <c r="G10" s="78"/>
      <c r="H10" s="78"/>
      <c r="I10" s="82"/>
      <c r="J10" s="82"/>
      <c r="K10" s="79"/>
      <c r="L10" s="79"/>
      <c r="M10" s="16">
        <f t="shared" ref="M10:M19" si="1">SUM(F10:L10)</f>
        <v>0</v>
      </c>
      <c r="N10" s="165">
        <f t="shared" si="0"/>
        <v>0</v>
      </c>
    </row>
    <row r="11" spans="1:14" ht="15.75" thickBot="1" x14ac:dyDescent="0.3">
      <c r="A11" s="80"/>
      <c r="B11" s="81"/>
      <c r="C11" s="81"/>
      <c r="D11" s="81"/>
      <c r="E11" s="167"/>
      <c r="F11" s="78"/>
      <c r="G11" s="78"/>
      <c r="H11" s="78"/>
      <c r="I11" s="82"/>
      <c r="J11" s="82"/>
      <c r="K11" s="79"/>
      <c r="L11" s="79"/>
      <c r="M11" s="16">
        <f t="shared" si="1"/>
        <v>0</v>
      </c>
      <c r="N11" s="165">
        <f t="shared" si="0"/>
        <v>0</v>
      </c>
    </row>
    <row r="12" spans="1:14" ht="15.75" thickBot="1" x14ac:dyDescent="0.3">
      <c r="A12" s="80"/>
      <c r="B12" s="81"/>
      <c r="C12" s="81"/>
      <c r="D12" s="81"/>
      <c r="E12" s="167"/>
      <c r="F12" s="78"/>
      <c r="G12" s="78"/>
      <c r="H12" s="78"/>
      <c r="I12" s="82"/>
      <c r="J12" s="82"/>
      <c r="K12" s="79"/>
      <c r="L12" s="79"/>
      <c r="M12" s="16">
        <f t="shared" si="1"/>
        <v>0</v>
      </c>
      <c r="N12" s="165">
        <f t="shared" si="0"/>
        <v>0</v>
      </c>
    </row>
    <row r="13" spans="1:14" ht="15.75" thickBot="1" x14ac:dyDescent="0.3">
      <c r="A13" s="80"/>
      <c r="B13" s="81"/>
      <c r="C13" s="81"/>
      <c r="D13" s="81"/>
      <c r="E13" s="167"/>
      <c r="F13" s="78"/>
      <c r="G13" s="78"/>
      <c r="H13" s="78"/>
      <c r="I13" s="82"/>
      <c r="J13" s="82"/>
      <c r="K13" s="79"/>
      <c r="L13" s="79"/>
      <c r="M13" s="16">
        <f t="shared" si="1"/>
        <v>0</v>
      </c>
      <c r="N13" s="165">
        <f t="shared" si="0"/>
        <v>0</v>
      </c>
    </row>
    <row r="14" spans="1:14" ht="15.75" thickBot="1" x14ac:dyDescent="0.3">
      <c r="A14" s="80"/>
      <c r="B14" s="81"/>
      <c r="C14" s="81"/>
      <c r="D14" s="81"/>
      <c r="E14" s="167"/>
      <c r="F14" s="78"/>
      <c r="G14" s="78"/>
      <c r="H14" s="78"/>
      <c r="I14" s="82"/>
      <c r="J14" s="82"/>
      <c r="K14" s="79"/>
      <c r="L14" s="79"/>
      <c r="M14" s="16">
        <f t="shared" si="1"/>
        <v>0</v>
      </c>
      <c r="N14" s="165">
        <f t="shared" si="0"/>
        <v>0</v>
      </c>
    </row>
    <row r="15" spans="1:14" ht="15.75" thickBot="1" x14ac:dyDescent="0.3">
      <c r="A15" s="80"/>
      <c r="B15" s="81"/>
      <c r="C15" s="81"/>
      <c r="D15" s="81"/>
      <c r="E15" s="167"/>
      <c r="F15" s="78"/>
      <c r="G15" s="78"/>
      <c r="H15" s="78"/>
      <c r="I15" s="82"/>
      <c r="J15" s="82"/>
      <c r="K15" s="79"/>
      <c r="L15" s="79"/>
      <c r="M15" s="16">
        <f t="shared" si="1"/>
        <v>0</v>
      </c>
      <c r="N15" s="165">
        <f t="shared" si="0"/>
        <v>0</v>
      </c>
    </row>
    <row r="16" spans="1:14" ht="15.75" thickBot="1" x14ac:dyDescent="0.3">
      <c r="A16" s="80"/>
      <c r="B16" s="81"/>
      <c r="C16" s="81"/>
      <c r="D16" s="81"/>
      <c r="E16" s="167"/>
      <c r="F16" s="78"/>
      <c r="G16" s="78"/>
      <c r="H16" s="78"/>
      <c r="I16" s="82"/>
      <c r="J16" s="82"/>
      <c r="K16" s="79"/>
      <c r="L16" s="79"/>
      <c r="M16" s="16">
        <f t="shared" si="1"/>
        <v>0</v>
      </c>
      <c r="N16" s="165">
        <f t="shared" si="0"/>
        <v>0</v>
      </c>
    </row>
    <row r="17" spans="1:14" ht="15.75" thickBot="1" x14ac:dyDescent="0.3">
      <c r="A17" s="80"/>
      <c r="B17" s="81"/>
      <c r="C17" s="81"/>
      <c r="D17" s="81"/>
      <c r="E17" s="167"/>
      <c r="F17" s="78"/>
      <c r="G17" s="78"/>
      <c r="H17" s="78"/>
      <c r="I17" s="82"/>
      <c r="J17" s="82"/>
      <c r="K17" s="79"/>
      <c r="L17" s="79"/>
      <c r="M17" s="16">
        <f t="shared" si="1"/>
        <v>0</v>
      </c>
      <c r="N17" s="165">
        <f t="shared" si="0"/>
        <v>0</v>
      </c>
    </row>
    <row r="18" spans="1:14" ht="15.75" thickBot="1" x14ac:dyDescent="0.3">
      <c r="A18" s="80"/>
      <c r="B18" s="81"/>
      <c r="C18" s="81"/>
      <c r="D18" s="81"/>
      <c r="E18" s="167"/>
      <c r="F18" s="78"/>
      <c r="G18" s="78"/>
      <c r="H18" s="78"/>
      <c r="I18" s="82"/>
      <c r="J18" s="82"/>
      <c r="K18" s="79"/>
      <c r="L18" s="79"/>
      <c r="M18" s="16">
        <f t="shared" si="1"/>
        <v>0</v>
      </c>
      <c r="N18" s="165">
        <f t="shared" si="0"/>
        <v>0</v>
      </c>
    </row>
    <row r="19" spans="1:14" ht="15.75" thickBot="1" x14ac:dyDescent="0.3">
      <c r="A19" s="80"/>
      <c r="B19" s="81"/>
      <c r="C19" s="81"/>
      <c r="D19" s="81"/>
      <c r="E19" s="167"/>
      <c r="F19" s="78"/>
      <c r="G19" s="78"/>
      <c r="H19" s="78"/>
      <c r="I19" s="82"/>
      <c r="J19" s="82"/>
      <c r="K19" s="79"/>
      <c r="L19" s="79"/>
      <c r="M19" s="16">
        <f t="shared" si="1"/>
        <v>0</v>
      </c>
      <c r="N19" s="165">
        <f t="shared" si="0"/>
        <v>0</v>
      </c>
    </row>
    <row r="20" spans="1:14" ht="15.75" thickBot="1" x14ac:dyDescent="0.3">
      <c r="A20" t="s">
        <v>4</v>
      </c>
      <c r="E20" s="16">
        <f>SUM(E9:E19)</f>
        <v>0</v>
      </c>
      <c r="F20" s="14"/>
      <c r="G20" s="14"/>
      <c r="H20" s="14"/>
      <c r="I20" s="14"/>
      <c r="J20" s="14"/>
      <c r="K20" s="10"/>
      <c r="L20" s="10"/>
      <c r="M20" s="74">
        <f>SUM(M9:M19)</f>
        <v>0</v>
      </c>
      <c r="N20" s="166">
        <f>SUM(N9:N19)</f>
        <v>0</v>
      </c>
    </row>
    <row r="21" spans="1:14" ht="15.75" thickBot="1" x14ac:dyDescent="0.3"/>
    <row r="22" spans="1:14" ht="16.5" thickBot="1" x14ac:dyDescent="0.35">
      <c r="H22" s="291" t="s">
        <v>20</v>
      </c>
      <c r="I22" s="292"/>
      <c r="J22" s="15">
        <f>E20</f>
        <v>0</v>
      </c>
    </row>
    <row r="23" spans="1:14" ht="19.5" thickBot="1" x14ac:dyDescent="0.45">
      <c r="H23" s="279" t="s">
        <v>3</v>
      </c>
      <c r="I23" s="280"/>
      <c r="J23" s="16">
        <f>M20</f>
        <v>0</v>
      </c>
    </row>
    <row r="24" spans="1:14" ht="19.5" thickBot="1" x14ac:dyDescent="0.45">
      <c r="H24" s="279" t="s">
        <v>7</v>
      </c>
      <c r="I24" s="279"/>
      <c r="J24" s="13">
        <f>N20</f>
        <v>0</v>
      </c>
    </row>
    <row r="26" spans="1:14" ht="18.75" x14ac:dyDescent="0.25">
      <c r="D26" s="137">
        <v>45292</v>
      </c>
      <c r="E26" s="138" t="s">
        <v>47</v>
      </c>
      <c r="F26" s="138" t="s">
        <v>41</v>
      </c>
      <c r="G26" s="138" t="s">
        <v>42</v>
      </c>
      <c r="H26" s="138" t="s">
        <v>43</v>
      </c>
      <c r="I26" s="138" t="s">
        <v>44</v>
      </c>
      <c r="J26" s="139" t="s">
        <v>45</v>
      </c>
      <c r="K26" s="139" t="s">
        <v>46</v>
      </c>
      <c r="L26" s="151"/>
    </row>
    <row r="27" spans="1:14" ht="18.75" x14ac:dyDescent="0.25">
      <c r="D27" s="140" t="s">
        <v>168</v>
      </c>
      <c r="E27" s="141" t="s">
        <v>453</v>
      </c>
      <c r="F27" s="141" t="s">
        <v>454</v>
      </c>
      <c r="G27" s="141" t="s">
        <v>455</v>
      </c>
      <c r="H27" s="141" t="s">
        <v>456</v>
      </c>
      <c r="I27" s="141" t="s">
        <v>457</v>
      </c>
      <c r="J27" s="184" t="s">
        <v>458</v>
      </c>
      <c r="K27" s="184" t="s">
        <v>459</v>
      </c>
      <c r="L27" s="152"/>
    </row>
    <row r="40" spans="11:11" x14ac:dyDescent="0.25">
      <c r="K40" t="s">
        <v>31</v>
      </c>
    </row>
  </sheetData>
  <sheetProtection algorithmName="SHA-512" hashValue="XUxTFDBdeozNrdP1DSneSB63GaHEZJleniKsq5mBfzO8eivSECgIEzPM1Ip91YKTtezarMa1gvAA6GCzaS+yGw==" saltValue="E3WEaxrCoBxB17X+SpkhBg==" spinCount="100000" sheet="1" formatCells="0" formatColumns="0" formatRows="0" insertColumns="0" insertRows="0" insertHyperlinks="0" deleteColumns="0" deleteRows="0" sort="0" autoFilter="0" pivotTables="0"/>
  <autoFilter ref="A8:N8" xr:uid="{4351872A-44CD-4991-88C8-8DFAB15093CE}"/>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L27">
    <cfRule type="expression" dxfId="119" priority="25">
      <formula>IFERROR(INDEX(DiasCategorias, L27-FechaInicio+1),0)=1</formula>
    </cfRule>
    <cfRule type="expression" dxfId="118" priority="26">
      <formula>IFERROR(INDEX(DiasCategorias, L27-FechaInicio+1),0)=2</formula>
    </cfRule>
    <cfRule type="expression" dxfId="117" priority="27">
      <formula>IFERROR(INDEX(DiasCategorias, L27-FechaInicio+1),0)=3</formula>
    </cfRule>
    <cfRule type="expression" dxfId="116" priority="28">
      <formula>IFERROR(INDEX(DiasCategorias, L27-FechaInicio+1),0)=4</formula>
    </cfRule>
    <cfRule type="expression" dxfId="115" priority="29">
      <formula>IFERROR(INDEX(DiasCategorias, L27-FechaInicio+1),0)=5</formula>
    </cfRule>
    <cfRule type="expression" dxfId="114" priority="30">
      <formula>IFERROR(INDEX(DiasCategorias, L27-FechaInicio+1),0)=6</formula>
    </cfRule>
    <cfRule type="expression" dxfId="113" priority="31">
      <formula>IFERROR(INDEX(DiasCategorias, L27-FechaInicio+1),0)=7</formula>
    </cfRule>
    <cfRule type="expression" dxfId="112" priority="32">
      <formula>IFERROR(INDEX(DiasCategorias, L27-FechaInicio+1),0)=8</formula>
    </cfRule>
    <cfRule type="expression" dxfId="111" priority="33">
      <formula>IFERROR(INDEX(DiasCategorias, L27-FechaInicio+1),0)=9</formula>
    </cfRule>
    <cfRule type="expression" dxfId="110" priority="34">
      <formula>IFERROR(INDEX(DiasCategorias, L27-FechaInicio+1),0)=10</formula>
    </cfRule>
    <cfRule type="expression" dxfId="109" priority="35">
      <formula>IFERROR(INDEX(DiasCategorias, L27-FechaInicio+1),0)=11</formula>
    </cfRule>
    <cfRule type="expression" dxfId="108" priority="36">
      <formula>IFERROR(INDEX(DiasCategorias, L27-FechaInicio+1),0)=12</formula>
    </cfRule>
  </conditionalFormatting>
  <conditionalFormatting sqref="E27:K27">
    <cfRule type="expression" dxfId="107" priority="1">
      <formula>IFERROR(INDEX(DiasCategorias, E27-FechaInicio+1),0)=1</formula>
    </cfRule>
    <cfRule type="expression" dxfId="106" priority="2">
      <formula>IFERROR(INDEX(DiasCategorias, E27-FechaInicio+1),0)=2</formula>
    </cfRule>
    <cfRule type="expression" dxfId="105" priority="3">
      <formula>IFERROR(INDEX(DiasCategorias, E27-FechaInicio+1),0)=3</formula>
    </cfRule>
    <cfRule type="expression" dxfId="104" priority="4">
      <formula>IFERROR(INDEX(DiasCategorias, E27-FechaInicio+1),0)=4</formula>
    </cfRule>
    <cfRule type="expression" dxfId="103" priority="5">
      <formula>IFERROR(INDEX(DiasCategorias, E27-FechaInicio+1),0)=5</formula>
    </cfRule>
    <cfRule type="expression" dxfId="102" priority="6">
      <formula>IFERROR(INDEX(DiasCategorias, E27-FechaInicio+1),0)=6</formula>
    </cfRule>
    <cfRule type="expression" dxfId="101" priority="7">
      <formula>IFERROR(INDEX(DiasCategorias, E27-FechaInicio+1),0)=7</formula>
    </cfRule>
    <cfRule type="expression" dxfId="100" priority="8">
      <formula>IFERROR(INDEX(DiasCategorias, E27-FechaInicio+1),0)=8</formula>
    </cfRule>
    <cfRule type="expression" dxfId="99" priority="9">
      <formula>IFERROR(INDEX(DiasCategorias, E27-FechaInicio+1),0)=9</formula>
    </cfRule>
    <cfRule type="expression" dxfId="98" priority="10">
      <formula>IFERROR(INDEX(DiasCategorias, E27-FechaInicio+1),0)=10</formula>
    </cfRule>
    <cfRule type="expression" dxfId="97" priority="11">
      <formula>IFERROR(INDEX(DiasCategorias, E27-FechaInicio+1),0)=11</formula>
    </cfRule>
    <cfRule type="expression" dxfId="96" priority="12">
      <formula>IFERROR(INDEX(DiasCategorias, E27-FechaInicio+1),0)=12</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4F3D0-55DB-4606-A061-D46ADEFE5ED6}">
  <sheetPr codeName="Hoja15">
    <tabColor rgb="FF7030A0"/>
  </sheetPr>
  <dimension ref="A1:M40"/>
  <sheetViews>
    <sheetView workbookViewId="0">
      <selection activeCell="E28" sqref="E28:K28"/>
    </sheetView>
  </sheetViews>
  <sheetFormatPr baseColWidth="10" defaultRowHeight="15" x14ac:dyDescent="0.25"/>
  <cols>
    <col min="2" max="2" width="11.5703125" customWidth="1"/>
    <col min="3" max="3" width="27.5703125" bestFit="1" customWidth="1"/>
    <col min="4" max="4" width="14.7109375" bestFit="1" customWidth="1"/>
    <col min="6" max="6" width="14.85546875" customWidth="1"/>
    <col min="7" max="7" width="13.85546875" customWidth="1"/>
    <col min="8" max="8" width="15.42578125" customWidth="1"/>
    <col min="10" max="10" width="12.85546875" bestFit="1" customWidth="1"/>
    <col min="11" max="11" width="13.28515625" customWidth="1"/>
  </cols>
  <sheetData>
    <row r="1" spans="1:13" ht="15" customHeight="1" x14ac:dyDescent="0.25">
      <c r="A1" s="268"/>
      <c r="B1" s="268"/>
      <c r="C1" s="281" t="s">
        <v>8</v>
      </c>
      <c r="D1" s="282"/>
      <c r="E1" s="282"/>
      <c r="F1" s="282"/>
      <c r="G1" s="283"/>
      <c r="H1" s="288"/>
      <c r="I1" s="289"/>
    </row>
    <row r="2" spans="1:13" ht="15.75" customHeight="1" thickBot="1" x14ac:dyDescent="0.3">
      <c r="A2" s="268"/>
      <c r="B2" s="268"/>
      <c r="C2" s="285"/>
      <c r="D2" s="286"/>
      <c r="E2" s="286"/>
      <c r="F2" s="286"/>
      <c r="G2" s="287"/>
      <c r="H2" s="288"/>
      <c r="I2" s="289"/>
    </row>
    <row r="3" spans="1:13" x14ac:dyDescent="0.25">
      <c r="A3" s="268"/>
      <c r="B3" s="268"/>
      <c r="C3" s="268"/>
      <c r="D3" s="268"/>
      <c r="E3" s="268"/>
      <c r="F3" s="268"/>
      <c r="G3" s="268"/>
      <c r="H3" s="268"/>
      <c r="I3" s="268"/>
    </row>
    <row r="4" spans="1:13" x14ac:dyDescent="0.25">
      <c r="A4" s="268"/>
      <c r="B4" s="268"/>
      <c r="C4" s="268"/>
      <c r="D4" s="268"/>
      <c r="E4" s="268"/>
      <c r="F4" s="268"/>
      <c r="G4" s="268"/>
      <c r="H4" s="268"/>
      <c r="I4" s="268"/>
    </row>
    <row r="5" spans="1:13" x14ac:dyDescent="0.25">
      <c r="A5" s="268"/>
      <c r="B5" s="268"/>
      <c r="C5" s="268"/>
      <c r="D5" s="268"/>
      <c r="E5" s="268"/>
      <c r="F5" s="268"/>
      <c r="G5" s="268"/>
      <c r="H5" s="268"/>
      <c r="I5" s="268"/>
    </row>
    <row r="6" spans="1:13" ht="27" x14ac:dyDescent="0.5">
      <c r="A6" s="273" t="s">
        <v>10</v>
      </c>
      <c r="B6" s="273"/>
      <c r="C6" s="268"/>
      <c r="D6" s="268"/>
      <c r="E6" s="268"/>
      <c r="F6" s="268"/>
      <c r="G6" s="268"/>
      <c r="H6" s="268"/>
      <c r="I6" s="268"/>
    </row>
    <row r="7" spans="1:13" ht="27.75" thickBot="1" x14ac:dyDescent="0.55000000000000004">
      <c r="A7" s="274">
        <v>45</v>
      </c>
      <c r="B7" s="274"/>
      <c r="C7" s="296"/>
      <c r="D7" s="296"/>
      <c r="E7" s="296"/>
      <c r="F7" s="296"/>
      <c r="G7" s="296"/>
      <c r="H7" s="296"/>
      <c r="I7" s="296"/>
    </row>
    <row r="8" spans="1:13" ht="15.75" thickBot="1" x14ac:dyDescent="0.3">
      <c r="A8" s="10" t="s">
        <v>14</v>
      </c>
      <c r="B8" s="10" t="s">
        <v>15</v>
      </c>
      <c r="C8" s="10" t="s">
        <v>16</v>
      </c>
      <c r="D8" s="10" t="s">
        <v>114</v>
      </c>
      <c r="E8" s="11" t="s">
        <v>17</v>
      </c>
      <c r="F8" s="10" t="s">
        <v>37</v>
      </c>
      <c r="G8" s="10" t="s">
        <v>38</v>
      </c>
      <c r="H8" s="10" t="s">
        <v>39</v>
      </c>
      <c r="I8" s="10" t="s">
        <v>91</v>
      </c>
      <c r="J8" s="10" t="s">
        <v>92</v>
      </c>
      <c r="K8" s="10" t="s">
        <v>93</v>
      </c>
      <c r="L8" s="11" t="s">
        <v>4</v>
      </c>
      <c r="M8" s="174" t="s">
        <v>18</v>
      </c>
    </row>
    <row r="9" spans="1:13" ht="15.75" thickBot="1" x14ac:dyDescent="0.3">
      <c r="A9" s="80"/>
      <c r="B9" s="81"/>
      <c r="C9" s="81"/>
      <c r="D9" s="81"/>
      <c r="E9" s="167"/>
      <c r="F9" s="78"/>
      <c r="G9" s="78"/>
      <c r="H9" s="79"/>
      <c r="I9" s="79"/>
      <c r="J9" s="79"/>
      <c r="K9" s="79"/>
      <c r="L9" s="16">
        <f>F9+G9+H9+I9+K9+J9</f>
        <v>0</v>
      </c>
      <c r="M9" s="165">
        <f t="shared" ref="M9:M19" si="0">E9-L9</f>
        <v>0</v>
      </c>
    </row>
    <row r="10" spans="1:13" ht="15.75" thickBot="1" x14ac:dyDescent="0.3">
      <c r="A10" s="80"/>
      <c r="B10" s="81"/>
      <c r="C10" s="81"/>
      <c r="D10" s="81"/>
      <c r="E10" s="167"/>
      <c r="F10" s="78"/>
      <c r="G10" s="78"/>
      <c r="H10" s="78"/>
      <c r="I10" s="82"/>
      <c r="J10" s="82"/>
      <c r="K10" s="79"/>
      <c r="L10" s="16">
        <f t="shared" ref="L10:L19" si="1">F10+G10+H10+I10+K10+J10</f>
        <v>0</v>
      </c>
      <c r="M10" s="165">
        <f t="shared" si="0"/>
        <v>0</v>
      </c>
    </row>
    <row r="11" spans="1:13" ht="15.75" thickBot="1" x14ac:dyDescent="0.3">
      <c r="A11" s="80"/>
      <c r="B11" s="81"/>
      <c r="C11" s="81"/>
      <c r="D11" s="81"/>
      <c r="E11" s="167"/>
      <c r="F11" s="78"/>
      <c r="G11" s="78"/>
      <c r="H11" s="78"/>
      <c r="I11" s="82"/>
      <c r="J11" s="82"/>
      <c r="K11" s="79"/>
      <c r="L11" s="16">
        <f t="shared" si="1"/>
        <v>0</v>
      </c>
      <c r="M11" s="165">
        <f t="shared" si="0"/>
        <v>0</v>
      </c>
    </row>
    <row r="12" spans="1:13" ht="15.75" thickBot="1" x14ac:dyDescent="0.3">
      <c r="A12" s="80"/>
      <c r="B12" s="81"/>
      <c r="C12" s="81"/>
      <c r="D12" s="81"/>
      <c r="E12" s="167"/>
      <c r="F12" s="78"/>
      <c r="G12" s="78"/>
      <c r="H12" s="78"/>
      <c r="I12" s="82"/>
      <c r="J12" s="82"/>
      <c r="K12" s="79"/>
      <c r="L12" s="16">
        <f t="shared" si="1"/>
        <v>0</v>
      </c>
      <c r="M12" s="165">
        <f t="shared" si="0"/>
        <v>0</v>
      </c>
    </row>
    <row r="13" spans="1:13" ht="15.75" thickBot="1" x14ac:dyDescent="0.3">
      <c r="A13" s="80"/>
      <c r="B13" s="81"/>
      <c r="C13" s="81"/>
      <c r="D13" s="81"/>
      <c r="E13" s="167"/>
      <c r="F13" s="78"/>
      <c r="G13" s="78"/>
      <c r="H13" s="78"/>
      <c r="I13" s="82"/>
      <c r="J13" s="82"/>
      <c r="K13" s="79"/>
      <c r="L13" s="16">
        <f t="shared" si="1"/>
        <v>0</v>
      </c>
      <c r="M13" s="165">
        <f t="shared" si="0"/>
        <v>0</v>
      </c>
    </row>
    <row r="14" spans="1:13" ht="15.75" thickBot="1" x14ac:dyDescent="0.3">
      <c r="A14" s="80"/>
      <c r="B14" s="81"/>
      <c r="C14" s="81"/>
      <c r="D14" s="81"/>
      <c r="E14" s="167"/>
      <c r="F14" s="78"/>
      <c r="G14" s="78"/>
      <c r="H14" s="78"/>
      <c r="I14" s="82"/>
      <c r="J14" s="82"/>
      <c r="K14" s="79"/>
      <c r="L14" s="16">
        <f t="shared" si="1"/>
        <v>0</v>
      </c>
      <c r="M14" s="165">
        <f t="shared" si="0"/>
        <v>0</v>
      </c>
    </row>
    <row r="15" spans="1:13" ht="15.75" thickBot="1" x14ac:dyDescent="0.3">
      <c r="A15" s="80"/>
      <c r="B15" s="81"/>
      <c r="C15" s="81"/>
      <c r="D15" s="81"/>
      <c r="E15" s="167"/>
      <c r="F15" s="78"/>
      <c r="G15" s="78"/>
      <c r="H15" s="78"/>
      <c r="I15" s="82"/>
      <c r="J15" s="82"/>
      <c r="K15" s="79"/>
      <c r="L15" s="16">
        <f t="shared" si="1"/>
        <v>0</v>
      </c>
      <c r="M15" s="165">
        <f t="shared" si="0"/>
        <v>0</v>
      </c>
    </row>
    <row r="16" spans="1:13" ht="15.75" thickBot="1" x14ac:dyDescent="0.3">
      <c r="A16" s="80"/>
      <c r="B16" s="81"/>
      <c r="C16" s="81"/>
      <c r="D16" s="81"/>
      <c r="E16" s="167"/>
      <c r="F16" s="78"/>
      <c r="G16" s="78"/>
      <c r="H16" s="78"/>
      <c r="I16" s="82"/>
      <c r="J16" s="82"/>
      <c r="K16" s="79"/>
      <c r="L16" s="16">
        <f t="shared" si="1"/>
        <v>0</v>
      </c>
      <c r="M16" s="165">
        <f t="shared" si="0"/>
        <v>0</v>
      </c>
    </row>
    <row r="17" spans="1:13" ht="15.75" thickBot="1" x14ac:dyDescent="0.3">
      <c r="A17" s="80"/>
      <c r="B17" s="81"/>
      <c r="C17" s="81"/>
      <c r="D17" s="81"/>
      <c r="E17" s="167"/>
      <c r="F17" s="78"/>
      <c r="G17" s="78"/>
      <c r="H17" s="78"/>
      <c r="I17" s="82"/>
      <c r="J17" s="82"/>
      <c r="K17" s="79"/>
      <c r="L17" s="16">
        <f t="shared" si="1"/>
        <v>0</v>
      </c>
      <c r="M17" s="165">
        <f t="shared" si="0"/>
        <v>0</v>
      </c>
    </row>
    <row r="18" spans="1:13" ht="15.75" thickBot="1" x14ac:dyDescent="0.3">
      <c r="A18" s="80"/>
      <c r="B18" s="81"/>
      <c r="C18" s="81"/>
      <c r="D18" s="81"/>
      <c r="E18" s="167"/>
      <c r="F18" s="78"/>
      <c r="G18" s="78"/>
      <c r="H18" s="78"/>
      <c r="I18" s="82"/>
      <c r="J18" s="82"/>
      <c r="K18" s="79"/>
      <c r="L18" s="16">
        <f t="shared" si="1"/>
        <v>0</v>
      </c>
      <c r="M18" s="165">
        <f t="shared" si="0"/>
        <v>0</v>
      </c>
    </row>
    <row r="19" spans="1:13" ht="15.75" thickBot="1" x14ac:dyDescent="0.3">
      <c r="A19" s="80"/>
      <c r="B19" s="81"/>
      <c r="C19" s="81"/>
      <c r="D19" s="81"/>
      <c r="E19" s="167"/>
      <c r="F19" s="78"/>
      <c r="G19" s="78"/>
      <c r="H19" s="78"/>
      <c r="I19" s="82"/>
      <c r="J19" s="82"/>
      <c r="K19" s="79"/>
      <c r="L19" s="16">
        <f t="shared" si="1"/>
        <v>0</v>
      </c>
      <c r="M19" s="165">
        <f t="shared" si="0"/>
        <v>0</v>
      </c>
    </row>
    <row r="20" spans="1:13" ht="15.75" thickBot="1" x14ac:dyDescent="0.3">
      <c r="A20" t="s">
        <v>4</v>
      </c>
      <c r="E20" s="16">
        <f>SUM(E9:E19)</f>
        <v>0</v>
      </c>
      <c r="F20" s="14"/>
      <c r="G20" s="14"/>
      <c r="H20" s="14"/>
      <c r="I20" s="14"/>
      <c r="J20" s="14"/>
      <c r="K20" s="10"/>
      <c r="L20" s="17">
        <f>SUM(L9:L19)</f>
        <v>0</v>
      </c>
      <c r="M20" s="166">
        <f>SUM(M9:M19)</f>
        <v>0</v>
      </c>
    </row>
    <row r="21" spans="1:13" ht="15.75" thickBot="1" x14ac:dyDescent="0.3"/>
    <row r="22" spans="1:13" ht="16.5" thickBot="1" x14ac:dyDescent="0.35">
      <c r="H22" s="291" t="s">
        <v>20</v>
      </c>
      <c r="I22" s="292"/>
      <c r="J22" s="15">
        <f>E20</f>
        <v>0</v>
      </c>
    </row>
    <row r="23" spans="1:13" ht="19.5" thickBot="1" x14ac:dyDescent="0.45">
      <c r="H23" s="279" t="s">
        <v>3</v>
      </c>
      <c r="I23" s="280"/>
      <c r="J23" s="16">
        <f>L20</f>
        <v>0</v>
      </c>
    </row>
    <row r="24" spans="1:13" ht="19.5" thickBot="1" x14ac:dyDescent="0.45">
      <c r="H24" s="279" t="s">
        <v>7</v>
      </c>
      <c r="I24" s="279"/>
      <c r="J24" s="13">
        <f>M20</f>
        <v>0</v>
      </c>
    </row>
    <row r="27" spans="1:13" ht="18.75" x14ac:dyDescent="0.25">
      <c r="D27" s="137">
        <v>45292</v>
      </c>
      <c r="E27" s="138" t="s">
        <v>47</v>
      </c>
      <c r="F27" s="138" t="s">
        <v>41</v>
      </c>
      <c r="G27" s="138" t="s">
        <v>42</v>
      </c>
      <c r="H27" s="138" t="s">
        <v>43</v>
      </c>
      <c r="I27" s="138" t="s">
        <v>44</v>
      </c>
      <c r="J27" s="139" t="s">
        <v>45</v>
      </c>
      <c r="K27" s="139" t="s">
        <v>46</v>
      </c>
    </row>
    <row r="28" spans="1:13" ht="18.75" x14ac:dyDescent="0.25">
      <c r="D28" s="140" t="s">
        <v>169</v>
      </c>
      <c r="E28" s="141" t="s">
        <v>460</v>
      </c>
      <c r="F28" s="141" t="s">
        <v>461</v>
      </c>
      <c r="G28" s="141" t="s">
        <v>462</v>
      </c>
      <c r="H28" s="141" t="s">
        <v>463</v>
      </c>
      <c r="I28" s="141" t="s">
        <v>464</v>
      </c>
      <c r="J28" s="184" t="s">
        <v>465</v>
      </c>
      <c r="K28" s="184" t="s">
        <v>466</v>
      </c>
    </row>
    <row r="40" spans="11:11" x14ac:dyDescent="0.25">
      <c r="K40" t="s">
        <v>31</v>
      </c>
    </row>
  </sheetData>
  <sheetProtection algorithmName="SHA-512" hashValue="E0fKCOrO0+5G94yGaVMf1m+3a+JZXFqt1O9KFeFuBwtP184J2++P9Uj6ByEaIXuR7sIS7r3FUrmNwk1JLe2uNg==" saltValue="GC40D7i3lHBHhJ+klp/OMQ==" spinCount="100000" sheet="1" formatCells="0" formatColumns="0" formatRows="0" insertColumns="0" insertRows="0" insertHyperlinks="0" deleteColumns="0" deleteRows="0" sort="0" autoFilter="0" pivotTables="0"/>
  <autoFilter ref="A8:M8" xr:uid="{5424F3D0-55DB-4606-A061-D46ADEFE5ED6}"/>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E28:K28">
    <cfRule type="expression" dxfId="95" priority="1">
      <formula>IFERROR(INDEX(DiasCategorias, E28-FechaInicio+1),0)=1</formula>
    </cfRule>
    <cfRule type="expression" dxfId="94" priority="2">
      <formula>IFERROR(INDEX(DiasCategorias, E28-FechaInicio+1),0)=2</formula>
    </cfRule>
    <cfRule type="expression" dxfId="93" priority="3">
      <formula>IFERROR(INDEX(DiasCategorias, E28-FechaInicio+1),0)=3</formula>
    </cfRule>
    <cfRule type="expression" dxfId="92" priority="4">
      <formula>IFERROR(INDEX(DiasCategorias, E28-FechaInicio+1),0)=4</formula>
    </cfRule>
    <cfRule type="expression" dxfId="91" priority="5">
      <formula>IFERROR(INDEX(DiasCategorias, E28-FechaInicio+1),0)=5</formula>
    </cfRule>
    <cfRule type="expression" dxfId="90" priority="6">
      <formula>IFERROR(INDEX(DiasCategorias, E28-FechaInicio+1),0)=6</formula>
    </cfRule>
    <cfRule type="expression" dxfId="89" priority="7">
      <formula>IFERROR(INDEX(DiasCategorias, E28-FechaInicio+1),0)=7</formula>
    </cfRule>
    <cfRule type="expression" dxfId="88" priority="8">
      <formula>IFERROR(INDEX(DiasCategorias, E28-FechaInicio+1),0)=8</formula>
    </cfRule>
    <cfRule type="expression" dxfId="87" priority="9">
      <formula>IFERROR(INDEX(DiasCategorias, E28-FechaInicio+1),0)=9</formula>
    </cfRule>
    <cfRule type="expression" dxfId="86" priority="10">
      <formula>IFERROR(INDEX(DiasCategorias, E28-FechaInicio+1),0)=10</formula>
    </cfRule>
    <cfRule type="expression" dxfId="85" priority="11">
      <formula>IFERROR(INDEX(DiasCategorias, E28-FechaInicio+1),0)=11</formula>
    </cfRule>
    <cfRule type="expression" dxfId="84" priority="12">
      <formula>IFERROR(INDEX(DiasCategorias, E28-FechaInicio+1),0)=12</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9017F-6C93-4D58-837C-166152386C2B}">
  <sheetPr codeName="Hoja16">
    <tabColor theme="7" tint="0.39997558519241921"/>
  </sheetPr>
  <dimension ref="A1:L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6" max="6" width="13.42578125" bestFit="1" customWidth="1"/>
    <col min="7" max="7" width="14.85546875" customWidth="1"/>
    <col min="8" max="8" width="15" customWidth="1"/>
    <col min="9" max="9" width="13.85546875" customWidth="1"/>
    <col min="10" max="10" width="15.140625" customWidth="1"/>
  </cols>
  <sheetData>
    <row r="1" spans="1:12" ht="15" customHeight="1" x14ac:dyDescent="0.25">
      <c r="A1" s="268"/>
      <c r="B1" s="268"/>
      <c r="C1" s="281" t="s">
        <v>8</v>
      </c>
      <c r="D1" s="282"/>
      <c r="E1" s="282"/>
      <c r="F1" s="282"/>
      <c r="G1" s="283"/>
      <c r="H1" s="288"/>
      <c r="I1" s="289"/>
    </row>
    <row r="2" spans="1:12" ht="15.75" customHeight="1" thickBot="1" x14ac:dyDescent="0.3">
      <c r="A2" s="268"/>
      <c r="B2" s="268"/>
      <c r="C2" s="285"/>
      <c r="D2" s="286"/>
      <c r="E2" s="286"/>
      <c r="F2" s="286"/>
      <c r="G2" s="287"/>
      <c r="H2" s="288"/>
      <c r="I2" s="289"/>
    </row>
    <row r="3" spans="1:12" x14ac:dyDescent="0.25">
      <c r="A3" s="268"/>
      <c r="B3" s="268"/>
      <c r="C3" s="268"/>
      <c r="D3" s="268"/>
      <c r="E3" s="268"/>
      <c r="F3" s="268"/>
      <c r="G3" s="268"/>
      <c r="H3" s="268"/>
      <c r="I3" s="268"/>
    </row>
    <row r="4" spans="1:12" x14ac:dyDescent="0.25">
      <c r="A4" s="268"/>
      <c r="B4" s="268"/>
      <c r="C4" s="268"/>
      <c r="D4" s="268"/>
      <c r="E4" s="268"/>
      <c r="F4" s="268"/>
      <c r="G4" s="268"/>
      <c r="H4" s="268"/>
      <c r="I4" s="268"/>
    </row>
    <row r="5" spans="1:12" x14ac:dyDescent="0.25">
      <c r="A5" s="268"/>
      <c r="B5" s="268"/>
      <c r="C5" s="268"/>
      <c r="D5" s="268"/>
      <c r="E5" s="268"/>
      <c r="F5" s="268"/>
      <c r="G5" s="268"/>
      <c r="H5" s="268"/>
      <c r="I5" s="268"/>
    </row>
    <row r="6" spans="1:12" ht="27" x14ac:dyDescent="0.5">
      <c r="A6" s="273" t="s">
        <v>10</v>
      </c>
      <c r="B6" s="273"/>
      <c r="C6" s="268"/>
      <c r="D6" s="268"/>
      <c r="E6" s="268"/>
      <c r="F6" s="268"/>
      <c r="G6" s="268"/>
      <c r="H6" s="268"/>
      <c r="I6" s="268"/>
    </row>
    <row r="7" spans="1:12" ht="27.75" thickBot="1" x14ac:dyDescent="0.55000000000000004">
      <c r="A7" s="274">
        <v>46</v>
      </c>
      <c r="B7" s="274"/>
      <c r="C7" s="296"/>
      <c r="D7" s="296"/>
      <c r="E7" s="296"/>
      <c r="F7" s="296"/>
      <c r="G7" s="296"/>
      <c r="H7" s="296"/>
      <c r="I7" s="296"/>
    </row>
    <row r="8" spans="1:12" ht="15.75" thickBot="1" x14ac:dyDescent="0.3">
      <c r="A8" s="10" t="s">
        <v>14</v>
      </c>
      <c r="B8" s="10" t="s">
        <v>15</v>
      </c>
      <c r="C8" s="10" t="s">
        <v>16</v>
      </c>
      <c r="D8" s="10" t="s">
        <v>114</v>
      </c>
      <c r="E8" s="11" t="s">
        <v>17</v>
      </c>
      <c r="F8" s="10" t="s">
        <v>38</v>
      </c>
      <c r="G8" s="10" t="s">
        <v>39</v>
      </c>
      <c r="H8" s="10" t="s">
        <v>91</v>
      </c>
      <c r="I8" s="10" t="s">
        <v>92</v>
      </c>
      <c r="J8" s="10" t="s">
        <v>93</v>
      </c>
      <c r="K8" s="11" t="s">
        <v>4</v>
      </c>
      <c r="L8" s="174" t="s">
        <v>18</v>
      </c>
    </row>
    <row r="9" spans="1:12" ht="15.75" thickBot="1" x14ac:dyDescent="0.3">
      <c r="A9" s="80"/>
      <c r="B9" s="81"/>
      <c r="C9" s="81"/>
      <c r="D9" s="81"/>
      <c r="E9" s="167"/>
      <c r="F9" s="78"/>
      <c r="G9" s="78"/>
      <c r="H9" s="79"/>
      <c r="I9" s="79"/>
      <c r="J9" s="79"/>
      <c r="K9" s="83">
        <f t="shared" ref="K9:K19" si="0">F9+G9+H9+I9+J9</f>
        <v>0</v>
      </c>
      <c r="L9" s="165">
        <f t="shared" ref="L9:L19" si="1">E9-K9</f>
        <v>0</v>
      </c>
    </row>
    <row r="10" spans="1:12" ht="15.75" thickBot="1" x14ac:dyDescent="0.3">
      <c r="A10" s="80"/>
      <c r="B10" s="81"/>
      <c r="C10" s="81"/>
      <c r="D10" s="81"/>
      <c r="E10" s="167"/>
      <c r="F10" s="78"/>
      <c r="G10" s="78"/>
      <c r="H10" s="78"/>
      <c r="I10" s="82"/>
      <c r="J10" s="79"/>
      <c r="K10" s="83">
        <f t="shared" si="0"/>
        <v>0</v>
      </c>
      <c r="L10" s="165">
        <f t="shared" si="1"/>
        <v>0</v>
      </c>
    </row>
    <row r="11" spans="1:12" ht="15.75" thickBot="1" x14ac:dyDescent="0.3">
      <c r="A11" s="80"/>
      <c r="B11" s="81"/>
      <c r="C11" s="81"/>
      <c r="D11" s="81"/>
      <c r="E11" s="167"/>
      <c r="F11" s="78"/>
      <c r="G11" s="78"/>
      <c r="H11" s="78"/>
      <c r="I11" s="82"/>
      <c r="J11" s="79"/>
      <c r="K11" s="83">
        <f t="shared" si="0"/>
        <v>0</v>
      </c>
      <c r="L11" s="165">
        <f t="shared" si="1"/>
        <v>0</v>
      </c>
    </row>
    <row r="12" spans="1:12" ht="15.75" thickBot="1" x14ac:dyDescent="0.3">
      <c r="A12" s="80"/>
      <c r="B12" s="81"/>
      <c r="C12" s="81"/>
      <c r="D12" s="81"/>
      <c r="E12" s="167"/>
      <c r="F12" s="78"/>
      <c r="G12" s="78"/>
      <c r="H12" s="78"/>
      <c r="I12" s="82"/>
      <c r="J12" s="79"/>
      <c r="K12" s="83">
        <f t="shared" si="0"/>
        <v>0</v>
      </c>
      <c r="L12" s="165">
        <f t="shared" si="1"/>
        <v>0</v>
      </c>
    </row>
    <row r="13" spans="1:12" ht="15.75" thickBot="1" x14ac:dyDescent="0.3">
      <c r="A13" s="80"/>
      <c r="B13" s="81"/>
      <c r="C13" s="81"/>
      <c r="D13" s="81"/>
      <c r="E13" s="167"/>
      <c r="F13" s="78"/>
      <c r="G13" s="78"/>
      <c r="H13" s="78"/>
      <c r="I13" s="82"/>
      <c r="J13" s="79"/>
      <c r="K13" s="83">
        <f t="shared" si="0"/>
        <v>0</v>
      </c>
      <c r="L13" s="165">
        <f t="shared" si="1"/>
        <v>0</v>
      </c>
    </row>
    <row r="14" spans="1:12" ht="15.75" thickBot="1" x14ac:dyDescent="0.3">
      <c r="A14" s="80"/>
      <c r="B14" s="81"/>
      <c r="C14" s="81"/>
      <c r="D14" s="81"/>
      <c r="E14" s="167"/>
      <c r="F14" s="78"/>
      <c r="G14" s="78"/>
      <c r="H14" s="78"/>
      <c r="I14" s="82"/>
      <c r="J14" s="79"/>
      <c r="K14" s="83">
        <f t="shared" si="0"/>
        <v>0</v>
      </c>
      <c r="L14" s="165">
        <f t="shared" si="1"/>
        <v>0</v>
      </c>
    </row>
    <row r="15" spans="1:12" ht="15.75" thickBot="1" x14ac:dyDescent="0.3">
      <c r="A15" s="80"/>
      <c r="B15" s="81"/>
      <c r="C15" s="81"/>
      <c r="D15" s="81"/>
      <c r="E15" s="167"/>
      <c r="F15" s="78"/>
      <c r="G15" s="78"/>
      <c r="H15" s="78"/>
      <c r="I15" s="82"/>
      <c r="J15" s="79"/>
      <c r="K15" s="83">
        <f t="shared" si="0"/>
        <v>0</v>
      </c>
      <c r="L15" s="165">
        <f t="shared" si="1"/>
        <v>0</v>
      </c>
    </row>
    <row r="16" spans="1:12" ht="15.75" thickBot="1" x14ac:dyDescent="0.3">
      <c r="A16" s="80"/>
      <c r="B16" s="81"/>
      <c r="C16" s="81"/>
      <c r="D16" s="81"/>
      <c r="E16" s="167"/>
      <c r="F16" s="78"/>
      <c r="G16" s="78"/>
      <c r="H16" s="78"/>
      <c r="I16" s="82"/>
      <c r="J16" s="79"/>
      <c r="K16" s="83">
        <f t="shared" si="0"/>
        <v>0</v>
      </c>
      <c r="L16" s="165">
        <f t="shared" si="1"/>
        <v>0</v>
      </c>
    </row>
    <row r="17" spans="1:12" ht="15.75" thickBot="1" x14ac:dyDescent="0.3">
      <c r="A17" s="80"/>
      <c r="B17" s="81"/>
      <c r="C17" s="81"/>
      <c r="D17" s="81"/>
      <c r="E17" s="167"/>
      <c r="F17" s="78"/>
      <c r="G17" s="78"/>
      <c r="H17" s="78"/>
      <c r="I17" s="82"/>
      <c r="J17" s="79"/>
      <c r="K17" s="83">
        <f t="shared" si="0"/>
        <v>0</v>
      </c>
      <c r="L17" s="165">
        <f t="shared" si="1"/>
        <v>0</v>
      </c>
    </row>
    <row r="18" spans="1:12" ht="15.75" thickBot="1" x14ac:dyDescent="0.3">
      <c r="A18" s="80"/>
      <c r="B18" s="81"/>
      <c r="C18" s="81"/>
      <c r="D18" s="81"/>
      <c r="E18" s="167"/>
      <c r="F18" s="78"/>
      <c r="G18" s="78"/>
      <c r="H18" s="78"/>
      <c r="I18" s="82"/>
      <c r="J18" s="79"/>
      <c r="K18" s="83">
        <f t="shared" si="0"/>
        <v>0</v>
      </c>
      <c r="L18" s="165">
        <f t="shared" si="1"/>
        <v>0</v>
      </c>
    </row>
    <row r="19" spans="1:12" ht="15.75" thickBot="1" x14ac:dyDescent="0.3">
      <c r="A19" s="80"/>
      <c r="B19" s="81"/>
      <c r="C19" s="81"/>
      <c r="D19" s="81"/>
      <c r="E19" s="167"/>
      <c r="F19" s="78"/>
      <c r="G19" s="78"/>
      <c r="H19" s="78"/>
      <c r="I19" s="82"/>
      <c r="J19" s="79"/>
      <c r="K19" s="83">
        <f t="shared" si="0"/>
        <v>0</v>
      </c>
      <c r="L19" s="165">
        <f t="shared" si="1"/>
        <v>0</v>
      </c>
    </row>
    <row r="20" spans="1:12" ht="15.75" thickBot="1" x14ac:dyDescent="0.3">
      <c r="A20" t="s">
        <v>4</v>
      </c>
      <c r="E20" s="16">
        <f>SUM(E9:E19)</f>
        <v>0</v>
      </c>
      <c r="F20" s="14"/>
      <c r="G20" s="14"/>
      <c r="H20" s="14"/>
      <c r="I20" s="14"/>
      <c r="J20" s="10"/>
      <c r="K20" s="17">
        <f>SUM(K9:K19)</f>
        <v>0</v>
      </c>
      <c r="L20" s="166">
        <f>SUM(L9:L19)</f>
        <v>0</v>
      </c>
    </row>
    <row r="21" spans="1:12" ht="15.75" thickBot="1" x14ac:dyDescent="0.3"/>
    <row r="22" spans="1:12" ht="16.5" thickBot="1" x14ac:dyDescent="0.35">
      <c r="H22" s="291" t="s">
        <v>20</v>
      </c>
      <c r="I22" s="292"/>
      <c r="J22" s="15">
        <f>E20</f>
        <v>0</v>
      </c>
    </row>
    <row r="23" spans="1:12" ht="19.5" thickBot="1" x14ac:dyDescent="0.45">
      <c r="H23" s="279" t="s">
        <v>3</v>
      </c>
      <c r="I23" s="280"/>
      <c r="J23" s="16">
        <f>K20</f>
        <v>0</v>
      </c>
    </row>
    <row r="24" spans="1:12" ht="19.5" thickBot="1" x14ac:dyDescent="0.45">
      <c r="H24" s="279" t="s">
        <v>7</v>
      </c>
      <c r="I24" s="279"/>
      <c r="J24" s="13">
        <f>L20</f>
        <v>0</v>
      </c>
    </row>
    <row r="26" spans="1:12" ht="18.75" x14ac:dyDescent="0.25">
      <c r="D26" s="137">
        <v>45292</v>
      </c>
      <c r="E26" s="138" t="s">
        <v>47</v>
      </c>
      <c r="F26" s="138" t="s">
        <v>41</v>
      </c>
      <c r="G26" s="138" t="s">
        <v>42</v>
      </c>
      <c r="H26" s="138" t="s">
        <v>43</v>
      </c>
      <c r="I26" s="138" t="s">
        <v>44</v>
      </c>
      <c r="J26" s="139" t="s">
        <v>45</v>
      </c>
      <c r="K26" s="139" t="s">
        <v>46</v>
      </c>
    </row>
    <row r="27" spans="1:12" ht="18.75" x14ac:dyDescent="0.25">
      <c r="D27" s="140" t="s">
        <v>170</v>
      </c>
      <c r="E27" s="141" t="s">
        <v>467</v>
      </c>
      <c r="F27" s="141" t="s">
        <v>468</v>
      </c>
      <c r="G27" s="141" t="s">
        <v>469</v>
      </c>
      <c r="H27" s="141" t="s">
        <v>470</v>
      </c>
      <c r="I27" s="141" t="s">
        <v>471</v>
      </c>
      <c r="J27" s="184" t="s">
        <v>472</v>
      </c>
      <c r="K27" s="184" t="s">
        <v>473</v>
      </c>
    </row>
    <row r="40" spans="11:11" x14ac:dyDescent="0.25">
      <c r="K40" t="s">
        <v>31</v>
      </c>
    </row>
  </sheetData>
  <sheetProtection algorithmName="SHA-512" hashValue="JhItH4l/z2+oIX42h9illeJ3eGMTH4Ktfg1qwhuOiQo4XC6IvVoHdPLlh1+pM8MOxJBjzal78JwbgNdbMD264A==" saltValue="W64GIrPDFZjFHLuXRh8M4A==" spinCount="100000" sheet="1" formatCells="0" formatColumns="0" formatRows="0" insertColumns="0" insertRows="0" insertHyperlinks="0" deleteColumns="0" deleteRows="0" sort="0" autoFilter="0" pivotTables="0"/>
  <autoFilter ref="A8:L8" xr:uid="{A6F9017F-6C93-4D58-837C-166152386C2B}"/>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83" priority="1">
      <formula>IFERROR(INDEX(DiasCategorias, E27-FechaInicio+1),0)=1</formula>
    </cfRule>
    <cfRule type="expression" dxfId="82" priority="2">
      <formula>IFERROR(INDEX(DiasCategorias, E27-FechaInicio+1),0)=2</formula>
    </cfRule>
    <cfRule type="expression" dxfId="81" priority="3">
      <formula>IFERROR(INDEX(DiasCategorias, E27-FechaInicio+1),0)=3</formula>
    </cfRule>
    <cfRule type="expression" dxfId="80" priority="4">
      <formula>IFERROR(INDEX(DiasCategorias, E27-FechaInicio+1),0)=4</formula>
    </cfRule>
    <cfRule type="expression" dxfId="79" priority="5">
      <formula>IFERROR(INDEX(DiasCategorias, E27-FechaInicio+1),0)=5</formula>
    </cfRule>
    <cfRule type="expression" dxfId="78" priority="6">
      <formula>IFERROR(INDEX(DiasCategorias, E27-FechaInicio+1),0)=6</formula>
    </cfRule>
    <cfRule type="expression" dxfId="77" priority="7">
      <formula>IFERROR(INDEX(DiasCategorias, E27-FechaInicio+1),0)=7</formula>
    </cfRule>
    <cfRule type="expression" dxfId="76" priority="8">
      <formula>IFERROR(INDEX(DiasCategorias, E27-FechaInicio+1),0)=8</formula>
    </cfRule>
    <cfRule type="expression" dxfId="75" priority="9">
      <formula>IFERROR(INDEX(DiasCategorias, E27-FechaInicio+1),0)=9</formula>
    </cfRule>
    <cfRule type="expression" dxfId="74" priority="10">
      <formula>IFERROR(INDEX(DiasCategorias, E27-FechaInicio+1),0)=10</formula>
    </cfRule>
    <cfRule type="expression" dxfId="73" priority="11">
      <formula>IFERROR(INDEX(DiasCategorias, E27-FechaInicio+1),0)=11</formula>
    </cfRule>
    <cfRule type="expression" dxfId="72" priority="12">
      <formula>IFERROR(INDEX(DiasCategorias, E27-FechaInicio+1),0)=12</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26925-6A03-42AE-A3EC-F056176D3065}">
  <sheetPr codeName="Hoja17">
    <tabColor theme="5" tint="0.79998168889431442"/>
  </sheetPr>
  <dimension ref="A1:L41"/>
  <sheetViews>
    <sheetView topLeftCell="A3" workbookViewId="0">
      <selection activeCell="E28" sqref="E28:K28"/>
    </sheetView>
  </sheetViews>
  <sheetFormatPr baseColWidth="10" defaultRowHeight="15" x14ac:dyDescent="0.25"/>
  <cols>
    <col min="2" max="2" width="9.140625" customWidth="1"/>
    <col min="3" max="3" width="27.5703125" bestFit="1" customWidth="1"/>
    <col min="4" max="4" width="14.7109375" bestFit="1" customWidth="1"/>
    <col min="5" max="5" width="13.42578125" customWidth="1"/>
    <col min="6" max="6" width="13.85546875" customWidth="1"/>
    <col min="7" max="7" width="13" customWidth="1"/>
    <col min="10" max="10" width="14.140625" customWidth="1"/>
  </cols>
  <sheetData>
    <row r="1" spans="1:12" ht="15" customHeight="1" x14ac:dyDescent="0.25">
      <c r="A1" s="268"/>
      <c r="B1" s="268"/>
      <c r="C1" s="281" t="s">
        <v>8</v>
      </c>
      <c r="D1" s="282"/>
      <c r="E1" s="282"/>
      <c r="F1" s="282"/>
      <c r="G1" s="283"/>
      <c r="H1" s="288"/>
      <c r="I1" s="289"/>
    </row>
    <row r="2" spans="1:12" ht="15.75" customHeight="1" thickBot="1" x14ac:dyDescent="0.3">
      <c r="A2" s="268"/>
      <c r="B2" s="268"/>
      <c r="C2" s="285"/>
      <c r="D2" s="286"/>
      <c r="E2" s="286"/>
      <c r="F2" s="286"/>
      <c r="G2" s="287"/>
      <c r="H2" s="288"/>
      <c r="I2" s="289"/>
    </row>
    <row r="3" spans="1:12" x14ac:dyDescent="0.25">
      <c r="A3" s="268"/>
      <c r="B3" s="268"/>
      <c r="C3" s="268"/>
      <c r="D3" s="268"/>
      <c r="E3" s="268"/>
      <c r="F3" s="268"/>
      <c r="G3" s="268"/>
      <c r="H3" s="268"/>
      <c r="I3" s="268"/>
    </row>
    <row r="4" spans="1:12" x14ac:dyDescent="0.25">
      <c r="A4" s="268"/>
      <c r="B4" s="268"/>
      <c r="C4" s="268"/>
      <c r="D4" s="268"/>
      <c r="E4" s="268"/>
      <c r="F4" s="268"/>
      <c r="G4" s="268"/>
      <c r="H4" s="268"/>
      <c r="I4" s="268"/>
    </row>
    <row r="5" spans="1:12" x14ac:dyDescent="0.25">
      <c r="A5" s="268"/>
      <c r="B5" s="268"/>
      <c r="C5" s="268"/>
      <c r="D5" s="268"/>
      <c r="E5" s="268"/>
      <c r="F5" s="268"/>
      <c r="G5" s="268"/>
      <c r="H5" s="268"/>
      <c r="I5" s="268"/>
    </row>
    <row r="6" spans="1:12" ht="27" x14ac:dyDescent="0.5">
      <c r="A6" s="273" t="s">
        <v>10</v>
      </c>
      <c r="B6" s="273"/>
      <c r="C6" s="268"/>
      <c r="D6" s="268"/>
      <c r="E6" s="268"/>
      <c r="F6" s="268"/>
      <c r="G6" s="268"/>
      <c r="H6" s="268"/>
      <c r="I6" s="268"/>
    </row>
    <row r="7" spans="1:12" ht="27.75" thickBot="1" x14ac:dyDescent="0.55000000000000004">
      <c r="A7" s="274">
        <v>47</v>
      </c>
      <c r="B7" s="274"/>
      <c r="C7" s="296"/>
      <c r="D7" s="296"/>
      <c r="E7" s="296"/>
      <c r="F7" s="296"/>
      <c r="G7" s="296"/>
      <c r="H7" s="296"/>
      <c r="I7" s="296"/>
    </row>
    <row r="8" spans="1:12" ht="15.75" thickBot="1" x14ac:dyDescent="0.3">
      <c r="A8" s="10" t="s">
        <v>14</v>
      </c>
      <c r="B8" s="10" t="s">
        <v>15</v>
      </c>
      <c r="C8" s="10" t="s">
        <v>16</v>
      </c>
      <c r="D8" s="10" t="s">
        <v>114</v>
      </c>
      <c r="E8" s="11" t="s">
        <v>17</v>
      </c>
      <c r="F8" s="10" t="s">
        <v>39</v>
      </c>
      <c r="G8" s="10" t="s">
        <v>91</v>
      </c>
      <c r="H8" s="10" t="s">
        <v>92</v>
      </c>
      <c r="I8" s="10" t="s">
        <v>93</v>
      </c>
      <c r="J8" s="10" t="s">
        <v>94</v>
      </c>
      <c r="K8" s="11" t="s">
        <v>4</v>
      </c>
      <c r="L8" s="174" t="s">
        <v>18</v>
      </c>
    </row>
    <row r="9" spans="1:12" ht="15.75" thickBot="1" x14ac:dyDescent="0.3">
      <c r="A9" s="80"/>
      <c r="B9" s="81"/>
      <c r="C9" s="81"/>
      <c r="D9" s="81"/>
      <c r="E9" s="167"/>
      <c r="F9" s="78"/>
      <c r="G9" s="78"/>
      <c r="H9" s="79"/>
      <c r="I9" s="79"/>
      <c r="J9" s="79"/>
      <c r="K9" s="83">
        <f>F9+G9+H9+I9+J9</f>
        <v>0</v>
      </c>
      <c r="L9" s="165">
        <f t="shared" ref="L9:L20" si="0">E9-K9</f>
        <v>0</v>
      </c>
    </row>
    <row r="10" spans="1:12" ht="15.75" thickBot="1" x14ac:dyDescent="0.3">
      <c r="A10" s="80"/>
      <c r="B10" s="81"/>
      <c r="C10" s="81"/>
      <c r="D10" s="81"/>
      <c r="E10" s="167"/>
      <c r="F10" s="78"/>
      <c r="G10" s="78"/>
      <c r="H10" s="53"/>
      <c r="I10" s="79"/>
      <c r="J10" s="79"/>
      <c r="K10" s="83">
        <f>F10+G10+H10+I10+J10</f>
        <v>0</v>
      </c>
      <c r="L10" s="165">
        <f t="shared" si="0"/>
        <v>0</v>
      </c>
    </row>
    <row r="11" spans="1:12" ht="15.75" thickBot="1" x14ac:dyDescent="0.3">
      <c r="A11" s="80"/>
      <c r="B11" s="81"/>
      <c r="C11" s="81"/>
      <c r="D11" s="81"/>
      <c r="E11" s="167"/>
      <c r="F11" s="78"/>
      <c r="G11" s="78"/>
      <c r="H11" s="78"/>
      <c r="I11" s="82"/>
      <c r="J11" s="79"/>
      <c r="K11" s="83">
        <f t="shared" ref="K11:K20" si="1">F11+G11+H11+I11+J11</f>
        <v>0</v>
      </c>
      <c r="L11" s="165">
        <f t="shared" si="0"/>
        <v>0</v>
      </c>
    </row>
    <row r="12" spans="1:12" ht="15.75" thickBot="1" x14ac:dyDescent="0.3">
      <c r="A12" s="80"/>
      <c r="B12" s="81"/>
      <c r="C12" s="81"/>
      <c r="D12" s="81"/>
      <c r="E12" s="167"/>
      <c r="F12" s="78"/>
      <c r="G12" s="78"/>
      <c r="H12" s="78"/>
      <c r="I12" s="82"/>
      <c r="J12" s="79"/>
      <c r="K12" s="83">
        <f t="shared" si="1"/>
        <v>0</v>
      </c>
      <c r="L12" s="165">
        <f t="shared" si="0"/>
        <v>0</v>
      </c>
    </row>
    <row r="13" spans="1:12" ht="15.75" thickBot="1" x14ac:dyDescent="0.3">
      <c r="A13" s="80"/>
      <c r="B13" s="81"/>
      <c r="C13" s="81"/>
      <c r="D13" s="81"/>
      <c r="E13" s="167"/>
      <c r="F13" s="78"/>
      <c r="G13" s="78"/>
      <c r="H13" s="78"/>
      <c r="I13" s="82"/>
      <c r="J13" s="79"/>
      <c r="K13" s="83">
        <f t="shared" si="1"/>
        <v>0</v>
      </c>
      <c r="L13" s="165">
        <f t="shared" si="0"/>
        <v>0</v>
      </c>
    </row>
    <row r="14" spans="1:12" ht="15.75" thickBot="1" x14ac:dyDescent="0.3">
      <c r="A14" s="80"/>
      <c r="B14" s="81"/>
      <c r="C14" s="81"/>
      <c r="D14" s="81"/>
      <c r="E14" s="167"/>
      <c r="F14" s="78"/>
      <c r="G14" s="78"/>
      <c r="H14" s="78"/>
      <c r="I14" s="82"/>
      <c r="J14" s="79"/>
      <c r="K14" s="83">
        <f t="shared" si="1"/>
        <v>0</v>
      </c>
      <c r="L14" s="165">
        <f t="shared" si="0"/>
        <v>0</v>
      </c>
    </row>
    <row r="15" spans="1:12" ht="15.75" thickBot="1" x14ac:dyDescent="0.3">
      <c r="A15" s="80"/>
      <c r="B15" s="81"/>
      <c r="C15" s="81"/>
      <c r="D15" s="81"/>
      <c r="E15" s="167"/>
      <c r="F15" s="78"/>
      <c r="G15" s="78"/>
      <c r="H15" s="78"/>
      <c r="I15" s="82"/>
      <c r="J15" s="79"/>
      <c r="K15" s="83">
        <f t="shared" si="1"/>
        <v>0</v>
      </c>
      <c r="L15" s="165">
        <f t="shared" si="0"/>
        <v>0</v>
      </c>
    </row>
    <row r="16" spans="1:12" ht="15.75" thickBot="1" x14ac:dyDescent="0.3">
      <c r="A16" s="80"/>
      <c r="B16" s="81"/>
      <c r="C16" s="81"/>
      <c r="D16" s="81"/>
      <c r="E16" s="167"/>
      <c r="F16" s="78"/>
      <c r="G16" s="78"/>
      <c r="H16" s="78"/>
      <c r="I16" s="82"/>
      <c r="J16" s="79"/>
      <c r="K16" s="83">
        <f t="shared" si="1"/>
        <v>0</v>
      </c>
      <c r="L16" s="165">
        <f t="shared" si="0"/>
        <v>0</v>
      </c>
    </row>
    <row r="17" spans="1:12" ht="15.75" thickBot="1" x14ac:dyDescent="0.3">
      <c r="A17" s="80"/>
      <c r="B17" s="81"/>
      <c r="C17" s="81"/>
      <c r="D17" s="81"/>
      <c r="E17" s="167"/>
      <c r="F17" s="78"/>
      <c r="G17" s="78"/>
      <c r="H17" s="78"/>
      <c r="I17" s="82"/>
      <c r="J17" s="79"/>
      <c r="K17" s="83">
        <f t="shared" si="1"/>
        <v>0</v>
      </c>
      <c r="L17" s="165">
        <f t="shared" si="0"/>
        <v>0</v>
      </c>
    </row>
    <row r="18" spans="1:12" ht="15.75" thickBot="1" x14ac:dyDescent="0.3">
      <c r="A18" s="80"/>
      <c r="B18" s="81"/>
      <c r="C18" s="81"/>
      <c r="D18" s="81"/>
      <c r="E18" s="167"/>
      <c r="F18" s="78"/>
      <c r="G18" s="78"/>
      <c r="H18" s="78"/>
      <c r="I18" s="82"/>
      <c r="J18" s="79"/>
      <c r="K18" s="83">
        <f t="shared" si="1"/>
        <v>0</v>
      </c>
      <c r="L18" s="165">
        <f t="shared" si="0"/>
        <v>0</v>
      </c>
    </row>
    <row r="19" spans="1:12" ht="15.75" thickBot="1" x14ac:dyDescent="0.3">
      <c r="A19" s="80"/>
      <c r="B19" s="81"/>
      <c r="C19" s="81"/>
      <c r="D19" s="81"/>
      <c r="E19" s="167"/>
      <c r="F19" s="78"/>
      <c r="G19" s="78"/>
      <c r="H19" s="78"/>
      <c r="I19" s="82"/>
      <c r="J19" s="79"/>
      <c r="K19" s="83">
        <f t="shared" si="1"/>
        <v>0</v>
      </c>
      <c r="L19" s="165">
        <f t="shared" si="0"/>
        <v>0</v>
      </c>
    </row>
    <row r="20" spans="1:12" ht="15.75" thickBot="1" x14ac:dyDescent="0.3">
      <c r="A20" s="80"/>
      <c r="B20" s="81"/>
      <c r="C20" s="81"/>
      <c r="D20" s="81"/>
      <c r="E20" s="167"/>
      <c r="F20" s="78"/>
      <c r="G20" s="78"/>
      <c r="H20" s="78"/>
      <c r="I20" s="82"/>
      <c r="J20" s="79"/>
      <c r="K20" s="83">
        <f t="shared" si="1"/>
        <v>0</v>
      </c>
      <c r="L20" s="165">
        <f t="shared" si="0"/>
        <v>0</v>
      </c>
    </row>
    <row r="21" spans="1:12" ht="15.75" thickBot="1" x14ac:dyDescent="0.3">
      <c r="A21" t="s">
        <v>4</v>
      </c>
      <c r="E21" s="16">
        <f>SUM(E9:E20)</f>
        <v>0</v>
      </c>
      <c r="F21" s="14"/>
      <c r="G21" s="14"/>
      <c r="H21" s="14"/>
      <c r="I21" s="14"/>
      <c r="J21" s="10"/>
      <c r="K21" s="17">
        <f>SUM(K9:K20)</f>
        <v>0</v>
      </c>
      <c r="L21" s="166">
        <f>SUM(L9:L20)</f>
        <v>0</v>
      </c>
    </row>
    <row r="22" spans="1:12" ht="15.75" thickBot="1" x14ac:dyDescent="0.3"/>
    <row r="23" spans="1:12" ht="16.5" thickBot="1" x14ac:dyDescent="0.35">
      <c r="H23" s="291" t="s">
        <v>20</v>
      </c>
      <c r="I23" s="292"/>
      <c r="J23" s="15">
        <f>E21</f>
        <v>0</v>
      </c>
    </row>
    <row r="24" spans="1:12" ht="19.5" thickBot="1" x14ac:dyDescent="0.45">
      <c r="H24" s="279" t="s">
        <v>3</v>
      </c>
      <c r="I24" s="280"/>
      <c r="J24" s="16">
        <f>K21</f>
        <v>0</v>
      </c>
    </row>
    <row r="25" spans="1:12" ht="19.5" thickBot="1" x14ac:dyDescent="0.45">
      <c r="H25" s="279" t="s">
        <v>7</v>
      </c>
      <c r="I25" s="279"/>
      <c r="J25" s="13">
        <f>L21</f>
        <v>0</v>
      </c>
    </row>
    <row r="27" spans="1:12" ht="18.75" x14ac:dyDescent="0.25">
      <c r="D27" s="137">
        <v>45292</v>
      </c>
      <c r="E27" s="138" t="s">
        <v>47</v>
      </c>
      <c r="F27" s="138" t="s">
        <v>41</v>
      </c>
      <c r="G27" s="138" t="s">
        <v>42</v>
      </c>
      <c r="H27" s="138" t="s">
        <v>43</v>
      </c>
      <c r="I27" s="138" t="s">
        <v>44</v>
      </c>
      <c r="J27" s="139" t="s">
        <v>45</v>
      </c>
      <c r="K27" s="139" t="s">
        <v>46</v>
      </c>
    </row>
    <row r="28" spans="1:12" ht="18.75" x14ac:dyDescent="0.25">
      <c r="D28" s="140" t="s">
        <v>171</v>
      </c>
      <c r="E28" s="141" t="s">
        <v>474</v>
      </c>
      <c r="F28" s="141" t="s">
        <v>475</v>
      </c>
      <c r="G28" s="141" t="s">
        <v>476</v>
      </c>
      <c r="H28" s="141" t="s">
        <v>477</v>
      </c>
      <c r="I28" s="141" t="s">
        <v>478</v>
      </c>
      <c r="J28" s="184" t="s">
        <v>479</v>
      </c>
      <c r="K28" s="184" t="s">
        <v>480</v>
      </c>
    </row>
    <row r="41" spans="11:11" x14ac:dyDescent="0.25">
      <c r="K41" t="s">
        <v>31</v>
      </c>
    </row>
  </sheetData>
  <sheetProtection algorithmName="SHA-512" hashValue="5CoU3aIzT2j8BvO04fH7h+E1x+5CGL+Sv1iwRXKf8ngmMqeWWJdp3Ps/0PrXJc7CuQIGcIUmRU4P9o273n/PQg==" saltValue="XTQaRpVtw2ojVzZpkcfQ8A==" spinCount="100000" sheet="1" formatCells="0" formatColumns="0" formatRows="0" insertColumns="0" insertRows="0" insertHyperlinks="0" deleteColumns="0" deleteRows="0" sort="0" autoFilter="0" pivotTables="0"/>
  <autoFilter ref="A8:L8" xr:uid="{30426925-6A03-42AE-A3EC-F056176D3065}"/>
  <dataConsolidate>
    <dataRefs count="1">
      <dataRef ref="A9:A19" sheet="43 SEMANA "/>
    </dataRefs>
  </dataConsolidate>
  <mergeCells count="9">
    <mergeCell ref="H23:I23"/>
    <mergeCell ref="H24:I24"/>
    <mergeCell ref="H25:I25"/>
    <mergeCell ref="A1:B5"/>
    <mergeCell ref="C1:G2"/>
    <mergeCell ref="H1:I2"/>
    <mergeCell ref="C3:I7"/>
    <mergeCell ref="A6:B6"/>
    <mergeCell ref="A7:B7"/>
  </mergeCells>
  <phoneticPr fontId="18" type="noConversion"/>
  <conditionalFormatting sqref="E28:K28">
    <cfRule type="expression" dxfId="71" priority="1">
      <formula>IFERROR(INDEX(DiasCategorias, E28-FechaInicio+1),0)=1</formula>
    </cfRule>
    <cfRule type="expression" dxfId="70" priority="2">
      <formula>IFERROR(INDEX(DiasCategorias, E28-FechaInicio+1),0)=2</formula>
    </cfRule>
    <cfRule type="expression" dxfId="69" priority="3">
      <formula>IFERROR(INDEX(DiasCategorias, E28-FechaInicio+1),0)=3</formula>
    </cfRule>
    <cfRule type="expression" dxfId="68" priority="4">
      <formula>IFERROR(INDEX(DiasCategorias, E28-FechaInicio+1),0)=4</formula>
    </cfRule>
    <cfRule type="expression" dxfId="67" priority="5">
      <formula>IFERROR(INDEX(DiasCategorias, E28-FechaInicio+1),0)=5</formula>
    </cfRule>
    <cfRule type="expression" dxfId="66" priority="6">
      <formula>IFERROR(INDEX(DiasCategorias, E28-FechaInicio+1),0)=6</formula>
    </cfRule>
    <cfRule type="expression" dxfId="65" priority="7">
      <formula>IFERROR(INDEX(DiasCategorias, E28-FechaInicio+1),0)=7</formula>
    </cfRule>
    <cfRule type="expression" dxfId="64" priority="8">
      <formula>IFERROR(INDEX(DiasCategorias, E28-FechaInicio+1),0)=8</formula>
    </cfRule>
    <cfRule type="expression" dxfId="63" priority="9">
      <formula>IFERROR(INDEX(DiasCategorias, E28-FechaInicio+1),0)=9</formula>
    </cfRule>
    <cfRule type="expression" dxfId="62" priority="10">
      <formula>IFERROR(INDEX(DiasCategorias, E28-FechaInicio+1),0)=10</formula>
    </cfRule>
    <cfRule type="expression" dxfId="61" priority="11">
      <formula>IFERROR(INDEX(DiasCategorias, E28-FechaInicio+1),0)=11</formula>
    </cfRule>
    <cfRule type="expression" dxfId="60" priority="12">
      <formula>IFERROR(INDEX(DiasCategorias, E28-FechaInicio+1),0)=12</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ED8A1-C419-4D69-B8E4-3B852F6F213F}">
  <sheetPr codeName="Hoja18">
    <tabColor rgb="FFFF00FF"/>
  </sheetPr>
  <dimension ref="A1:L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6" max="9" width="13.42578125" bestFit="1" customWidth="1"/>
    <col min="10" max="10" width="12.42578125" bestFit="1" customWidth="1"/>
  </cols>
  <sheetData>
    <row r="1" spans="1:12" ht="15" customHeight="1" x14ac:dyDescent="0.25">
      <c r="A1" s="268"/>
      <c r="B1" s="268"/>
      <c r="C1" s="281" t="s">
        <v>8</v>
      </c>
      <c r="D1" s="282"/>
      <c r="E1" s="282"/>
      <c r="F1" s="282"/>
      <c r="G1" s="283"/>
      <c r="H1" s="288"/>
      <c r="I1" s="289"/>
    </row>
    <row r="2" spans="1:12" ht="15.75" customHeight="1" thickBot="1" x14ac:dyDescent="0.3">
      <c r="A2" s="268"/>
      <c r="B2" s="268"/>
      <c r="C2" s="285"/>
      <c r="D2" s="286"/>
      <c r="E2" s="286"/>
      <c r="F2" s="286"/>
      <c r="G2" s="287"/>
      <c r="H2" s="288"/>
      <c r="I2" s="289"/>
    </row>
    <row r="3" spans="1:12" x14ac:dyDescent="0.25">
      <c r="A3" s="268"/>
      <c r="B3" s="268"/>
      <c r="C3" s="268"/>
      <c r="D3" s="268"/>
      <c r="E3" s="268"/>
      <c r="F3" s="268"/>
      <c r="G3" s="268"/>
      <c r="H3" s="268"/>
      <c r="I3" s="268"/>
    </row>
    <row r="4" spans="1:12" x14ac:dyDescent="0.25">
      <c r="A4" s="268"/>
      <c r="B4" s="268"/>
      <c r="C4" s="268"/>
      <c r="D4" s="268"/>
      <c r="E4" s="268"/>
      <c r="F4" s="268"/>
      <c r="G4" s="268"/>
      <c r="H4" s="268"/>
      <c r="I4" s="268"/>
    </row>
    <row r="5" spans="1:12" x14ac:dyDescent="0.25">
      <c r="A5" s="268"/>
      <c r="B5" s="268"/>
      <c r="C5" s="268"/>
      <c r="D5" s="268"/>
      <c r="E5" s="268"/>
      <c r="F5" s="268"/>
      <c r="G5" s="268"/>
      <c r="H5" s="268"/>
      <c r="I5" s="268"/>
    </row>
    <row r="6" spans="1:12" ht="27" x14ac:dyDescent="0.5">
      <c r="A6" s="273" t="s">
        <v>10</v>
      </c>
      <c r="B6" s="273"/>
      <c r="C6" s="268"/>
      <c r="D6" s="268"/>
      <c r="E6" s="268"/>
      <c r="F6" s="268"/>
      <c r="G6" s="268"/>
      <c r="H6" s="268"/>
      <c r="I6" s="268"/>
    </row>
    <row r="7" spans="1:12" ht="27.75" thickBot="1" x14ac:dyDescent="0.55000000000000004">
      <c r="A7" s="274">
        <v>48</v>
      </c>
      <c r="B7" s="274"/>
      <c r="C7" s="296"/>
      <c r="D7" s="296"/>
      <c r="E7" s="296"/>
      <c r="F7" s="296"/>
      <c r="G7" s="296"/>
      <c r="H7" s="296"/>
      <c r="I7" s="296"/>
    </row>
    <row r="8" spans="1:12" ht="15.75" thickBot="1" x14ac:dyDescent="0.3">
      <c r="A8" s="10" t="s">
        <v>14</v>
      </c>
      <c r="B8" s="10" t="s">
        <v>15</v>
      </c>
      <c r="C8" s="10" t="s">
        <v>16</v>
      </c>
      <c r="D8" s="10" t="s">
        <v>114</v>
      </c>
      <c r="E8" s="11" t="s">
        <v>17</v>
      </c>
      <c r="F8" s="10" t="s">
        <v>91</v>
      </c>
      <c r="G8" s="10" t="s">
        <v>92</v>
      </c>
      <c r="H8" s="10" t="s">
        <v>93</v>
      </c>
      <c r="I8" s="10" t="s">
        <v>94</v>
      </c>
      <c r="J8" s="10" t="s">
        <v>124</v>
      </c>
      <c r="K8" s="11" t="s">
        <v>4</v>
      </c>
      <c r="L8" s="174" t="s">
        <v>18</v>
      </c>
    </row>
    <row r="9" spans="1:12" ht="15.75" thickBot="1" x14ac:dyDescent="0.3">
      <c r="A9" s="80"/>
      <c r="B9" s="81"/>
      <c r="C9" s="81"/>
      <c r="D9" s="81"/>
      <c r="E9" s="167"/>
      <c r="F9" s="78"/>
      <c r="G9" s="78"/>
      <c r="H9" s="79"/>
      <c r="I9" s="79"/>
      <c r="J9" s="79"/>
      <c r="K9" s="83">
        <f t="shared" ref="K9:K19" si="0">F9+G9+H9+I9+J9</f>
        <v>0</v>
      </c>
      <c r="L9" s="165">
        <f t="shared" ref="L9:L19" si="1">E9-K9</f>
        <v>0</v>
      </c>
    </row>
    <row r="10" spans="1:12" ht="15.75" thickBot="1" x14ac:dyDescent="0.3">
      <c r="A10" s="80"/>
      <c r="B10" s="81"/>
      <c r="C10" s="81"/>
      <c r="D10" s="81"/>
      <c r="E10" s="167"/>
      <c r="F10" s="78"/>
      <c r="G10" s="78"/>
      <c r="H10" s="78"/>
      <c r="I10" s="82"/>
      <c r="J10" s="79"/>
      <c r="K10" s="83">
        <f t="shared" si="0"/>
        <v>0</v>
      </c>
      <c r="L10" s="165">
        <f t="shared" si="1"/>
        <v>0</v>
      </c>
    </row>
    <row r="11" spans="1:12" ht="15.75" thickBot="1" x14ac:dyDescent="0.3">
      <c r="A11" s="80"/>
      <c r="B11" s="81"/>
      <c r="C11" s="81"/>
      <c r="D11" s="81"/>
      <c r="E11" s="167"/>
      <c r="F11" s="78"/>
      <c r="G11" s="78"/>
      <c r="H11" s="78"/>
      <c r="I11" s="82"/>
      <c r="J11" s="79"/>
      <c r="K11" s="83">
        <f t="shared" si="0"/>
        <v>0</v>
      </c>
      <c r="L11" s="165">
        <f t="shared" si="1"/>
        <v>0</v>
      </c>
    </row>
    <row r="12" spans="1:12" ht="15.75" thickBot="1" x14ac:dyDescent="0.3">
      <c r="A12" s="80"/>
      <c r="B12" s="81"/>
      <c r="C12" s="81"/>
      <c r="D12" s="81"/>
      <c r="E12" s="167"/>
      <c r="F12" s="78"/>
      <c r="G12" s="78"/>
      <c r="H12" s="78"/>
      <c r="I12" s="82"/>
      <c r="J12" s="79"/>
      <c r="K12" s="83">
        <f t="shared" si="0"/>
        <v>0</v>
      </c>
      <c r="L12" s="165">
        <f t="shared" si="1"/>
        <v>0</v>
      </c>
    </row>
    <row r="13" spans="1:12" ht="15.75" thickBot="1" x14ac:dyDescent="0.3">
      <c r="A13" s="80"/>
      <c r="B13" s="81"/>
      <c r="C13" s="81"/>
      <c r="D13" s="81"/>
      <c r="E13" s="167"/>
      <c r="F13" s="78"/>
      <c r="G13" s="78"/>
      <c r="H13" s="78"/>
      <c r="I13" s="82"/>
      <c r="J13" s="79"/>
      <c r="K13" s="83">
        <f t="shared" si="0"/>
        <v>0</v>
      </c>
      <c r="L13" s="165">
        <f t="shared" si="1"/>
        <v>0</v>
      </c>
    </row>
    <row r="14" spans="1:12" ht="15.75" thickBot="1" x14ac:dyDescent="0.3">
      <c r="A14" s="80"/>
      <c r="B14" s="81"/>
      <c r="C14" s="81"/>
      <c r="D14" s="81"/>
      <c r="E14" s="167"/>
      <c r="F14" s="78"/>
      <c r="G14" s="78"/>
      <c r="H14" s="78"/>
      <c r="I14" s="82"/>
      <c r="J14" s="79"/>
      <c r="K14" s="83">
        <f t="shared" si="0"/>
        <v>0</v>
      </c>
      <c r="L14" s="165">
        <f t="shared" si="1"/>
        <v>0</v>
      </c>
    </row>
    <row r="15" spans="1:12" ht="15.75" thickBot="1" x14ac:dyDescent="0.3">
      <c r="A15" s="80"/>
      <c r="B15" s="81"/>
      <c r="C15" s="81"/>
      <c r="D15" s="81"/>
      <c r="E15" s="167"/>
      <c r="F15" s="78"/>
      <c r="G15" s="78"/>
      <c r="H15" s="78"/>
      <c r="I15" s="82"/>
      <c r="J15" s="79"/>
      <c r="K15" s="83">
        <f t="shared" si="0"/>
        <v>0</v>
      </c>
      <c r="L15" s="165">
        <f t="shared" si="1"/>
        <v>0</v>
      </c>
    </row>
    <row r="16" spans="1:12" ht="15.75" thickBot="1" x14ac:dyDescent="0.3">
      <c r="A16" s="80"/>
      <c r="B16" s="81"/>
      <c r="C16" s="81"/>
      <c r="D16" s="81"/>
      <c r="E16" s="167"/>
      <c r="F16" s="78"/>
      <c r="G16" s="78"/>
      <c r="H16" s="78"/>
      <c r="I16" s="82"/>
      <c r="J16" s="79"/>
      <c r="K16" s="83">
        <f t="shared" si="0"/>
        <v>0</v>
      </c>
      <c r="L16" s="165">
        <f t="shared" si="1"/>
        <v>0</v>
      </c>
    </row>
    <row r="17" spans="1:12" ht="15.75" thickBot="1" x14ac:dyDescent="0.3">
      <c r="A17" s="80"/>
      <c r="B17" s="81"/>
      <c r="C17" s="81"/>
      <c r="D17" s="81"/>
      <c r="E17" s="167"/>
      <c r="F17" s="78"/>
      <c r="G17" s="78"/>
      <c r="H17" s="78"/>
      <c r="I17" s="82"/>
      <c r="J17" s="79"/>
      <c r="K17" s="83">
        <f t="shared" si="0"/>
        <v>0</v>
      </c>
      <c r="L17" s="165">
        <f t="shared" si="1"/>
        <v>0</v>
      </c>
    </row>
    <row r="18" spans="1:12" ht="15.75" thickBot="1" x14ac:dyDescent="0.3">
      <c r="A18" s="80"/>
      <c r="B18" s="81"/>
      <c r="C18" s="81"/>
      <c r="D18" s="81"/>
      <c r="E18" s="167"/>
      <c r="F18" s="78"/>
      <c r="G18" s="78"/>
      <c r="H18" s="78"/>
      <c r="I18" s="82"/>
      <c r="J18" s="79"/>
      <c r="K18" s="83">
        <f t="shared" si="0"/>
        <v>0</v>
      </c>
      <c r="L18" s="165">
        <f t="shared" si="1"/>
        <v>0</v>
      </c>
    </row>
    <row r="19" spans="1:12" ht="15.75" thickBot="1" x14ac:dyDescent="0.3">
      <c r="A19" s="80"/>
      <c r="B19" s="81"/>
      <c r="C19" s="81"/>
      <c r="D19" s="81"/>
      <c r="E19" s="167"/>
      <c r="F19" s="78"/>
      <c r="G19" s="78"/>
      <c r="H19" s="78"/>
      <c r="I19" s="82"/>
      <c r="J19" s="79"/>
      <c r="K19" s="83">
        <f t="shared" si="0"/>
        <v>0</v>
      </c>
      <c r="L19" s="165">
        <f t="shared" si="1"/>
        <v>0</v>
      </c>
    </row>
    <row r="20" spans="1:12" ht="15.75" thickBot="1" x14ac:dyDescent="0.3">
      <c r="A20" t="s">
        <v>4</v>
      </c>
      <c r="E20" s="16">
        <f>SUM(E9:E19)</f>
        <v>0</v>
      </c>
      <c r="F20" s="14"/>
      <c r="G20" s="14"/>
      <c r="H20" s="14"/>
      <c r="I20" s="14"/>
      <c r="J20" s="10"/>
      <c r="K20" s="17">
        <f>SUM(K9:K19)</f>
        <v>0</v>
      </c>
      <c r="L20" s="166">
        <f>SUM(L9:L19)</f>
        <v>0</v>
      </c>
    </row>
    <row r="21" spans="1:12" ht="15.75" thickBot="1" x14ac:dyDescent="0.3"/>
    <row r="22" spans="1:12" ht="16.5" thickBot="1" x14ac:dyDescent="0.35">
      <c r="H22" s="291" t="s">
        <v>20</v>
      </c>
      <c r="I22" s="292"/>
      <c r="J22" s="15">
        <f>E20</f>
        <v>0</v>
      </c>
    </row>
    <row r="23" spans="1:12" ht="19.5" thickBot="1" x14ac:dyDescent="0.45">
      <c r="H23" s="279" t="s">
        <v>3</v>
      </c>
      <c r="I23" s="280"/>
      <c r="J23" s="16">
        <f>K20</f>
        <v>0</v>
      </c>
    </row>
    <row r="24" spans="1:12" ht="19.5" thickBot="1" x14ac:dyDescent="0.45">
      <c r="H24" s="279" t="s">
        <v>7</v>
      </c>
      <c r="I24" s="279"/>
      <c r="J24" s="13">
        <f>L20</f>
        <v>0</v>
      </c>
    </row>
    <row r="26" spans="1:12" ht="18.75" x14ac:dyDescent="0.25">
      <c r="D26" s="137">
        <v>45292</v>
      </c>
      <c r="E26" s="138" t="s">
        <v>47</v>
      </c>
      <c r="F26" s="138" t="s">
        <v>41</v>
      </c>
      <c r="G26" s="138" t="s">
        <v>42</v>
      </c>
      <c r="H26" s="138" t="s">
        <v>43</v>
      </c>
      <c r="I26" s="138" t="s">
        <v>44</v>
      </c>
      <c r="J26" s="139" t="s">
        <v>45</v>
      </c>
      <c r="K26" s="139" t="s">
        <v>46</v>
      </c>
    </row>
    <row r="27" spans="1:12" ht="18.75" x14ac:dyDescent="0.25">
      <c r="D27" s="140" t="s">
        <v>172</v>
      </c>
      <c r="E27" s="141" t="s">
        <v>481</v>
      </c>
      <c r="F27" s="141" t="s">
        <v>482</v>
      </c>
      <c r="G27" s="141" t="s">
        <v>483</v>
      </c>
      <c r="H27" s="141" t="s">
        <v>484</v>
      </c>
      <c r="I27" s="141" t="s">
        <v>485</v>
      </c>
      <c r="J27" s="184" t="s">
        <v>486</v>
      </c>
      <c r="K27" s="184" t="s">
        <v>487</v>
      </c>
    </row>
    <row r="40" spans="11:11" x14ac:dyDescent="0.25">
      <c r="K40" t="s">
        <v>31</v>
      </c>
    </row>
  </sheetData>
  <sheetProtection algorithmName="SHA-512" hashValue="9vjw/jQT95m+8PDxew5USQQiFGUtin6COsnRNWlBsir9VAHRul7uBUlEc2TSQF8nuYEgbVr/gTrrnpNOP7Kfhw==" saltValue="nrDwA76tVbYMVzCD9k658Q==" spinCount="100000" sheet="1" formatCells="0" formatColumns="0" formatRows="0" insertColumns="0" insertRows="0" insertHyperlinks="0" deleteColumns="0" deleteRows="0" sort="0" autoFilter="0" pivotTables="0"/>
  <autoFilter ref="A8:L8" xr:uid="{F83ED8A1-C419-4D69-B8E4-3B852F6F213F}"/>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59" priority="1">
      <formula>IFERROR(INDEX(DiasCategorias, E27-FechaInicio+1),0)=1</formula>
    </cfRule>
    <cfRule type="expression" dxfId="58" priority="2">
      <formula>IFERROR(INDEX(DiasCategorias, E27-FechaInicio+1),0)=2</formula>
    </cfRule>
    <cfRule type="expression" dxfId="57" priority="3">
      <formula>IFERROR(INDEX(DiasCategorias, E27-FechaInicio+1),0)=3</formula>
    </cfRule>
    <cfRule type="expression" dxfId="56" priority="4">
      <formula>IFERROR(INDEX(DiasCategorias, E27-FechaInicio+1),0)=4</formula>
    </cfRule>
    <cfRule type="expression" dxfId="55" priority="5">
      <formula>IFERROR(INDEX(DiasCategorias, E27-FechaInicio+1),0)=5</formula>
    </cfRule>
    <cfRule type="expression" dxfId="54" priority="6">
      <formula>IFERROR(INDEX(DiasCategorias, E27-FechaInicio+1),0)=6</formula>
    </cfRule>
    <cfRule type="expression" dxfId="53" priority="7">
      <formula>IFERROR(INDEX(DiasCategorias, E27-FechaInicio+1),0)=7</formula>
    </cfRule>
    <cfRule type="expression" dxfId="52" priority="8">
      <formula>IFERROR(INDEX(DiasCategorias, E27-FechaInicio+1),0)=8</formula>
    </cfRule>
    <cfRule type="expression" dxfId="51" priority="9">
      <formula>IFERROR(INDEX(DiasCategorias, E27-FechaInicio+1),0)=9</formula>
    </cfRule>
    <cfRule type="expression" dxfId="50" priority="10">
      <formula>IFERROR(INDEX(DiasCategorias, E27-FechaInicio+1),0)=10</formula>
    </cfRule>
    <cfRule type="expression" dxfId="49" priority="11">
      <formula>IFERROR(INDEX(DiasCategorias, E27-FechaInicio+1),0)=11</formula>
    </cfRule>
    <cfRule type="expression" dxfId="48" priority="12">
      <formula>IFERROR(INDEX(DiasCategorias, E27-FechaInicio+1),0)=12</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E3308-6C70-4A63-AA4D-FFD26DE6B812}">
  <sheetPr codeName="Hoja19">
    <tabColor rgb="FF7030A0"/>
  </sheetPr>
  <dimension ref="A1:M40"/>
  <sheetViews>
    <sheetView workbookViewId="0">
      <selection activeCell="E27" sqref="E27:K27"/>
    </sheetView>
  </sheetViews>
  <sheetFormatPr baseColWidth="10" defaultRowHeight="15" x14ac:dyDescent="0.25"/>
  <cols>
    <col min="2" max="2" width="9.140625" customWidth="1"/>
    <col min="3" max="3" width="41.140625" customWidth="1"/>
    <col min="4" max="4" width="14.7109375" bestFit="1" customWidth="1"/>
    <col min="6" max="6" width="13.85546875" customWidth="1"/>
    <col min="7" max="11" width="13.42578125" bestFit="1" customWidth="1"/>
  </cols>
  <sheetData>
    <row r="1" spans="1:13" ht="15" customHeight="1" x14ac:dyDescent="0.25">
      <c r="A1" s="268"/>
      <c r="B1" s="268"/>
      <c r="C1" s="281" t="s">
        <v>8</v>
      </c>
      <c r="D1" s="282"/>
      <c r="E1" s="282"/>
      <c r="F1" s="282"/>
      <c r="G1" s="283"/>
      <c r="H1" s="288"/>
      <c r="I1" s="289"/>
    </row>
    <row r="2" spans="1:13" ht="15.75" customHeight="1" thickBot="1" x14ac:dyDescent="0.3">
      <c r="A2" s="268"/>
      <c r="B2" s="268"/>
      <c r="C2" s="285"/>
      <c r="D2" s="286"/>
      <c r="E2" s="286"/>
      <c r="F2" s="286"/>
      <c r="G2" s="287"/>
      <c r="H2" s="288"/>
      <c r="I2" s="289"/>
    </row>
    <row r="3" spans="1:13" x14ac:dyDescent="0.25">
      <c r="A3" s="268"/>
      <c r="B3" s="268"/>
      <c r="C3" s="268"/>
      <c r="D3" s="268"/>
      <c r="E3" s="268"/>
      <c r="F3" s="268"/>
      <c r="G3" s="268"/>
      <c r="H3" s="268"/>
      <c r="I3" s="268"/>
    </row>
    <row r="4" spans="1:13" x14ac:dyDescent="0.25">
      <c r="A4" s="268"/>
      <c r="B4" s="268"/>
      <c r="C4" s="268"/>
      <c r="D4" s="268"/>
      <c r="E4" s="268"/>
      <c r="F4" s="268"/>
      <c r="G4" s="268"/>
      <c r="H4" s="268"/>
      <c r="I4" s="268"/>
    </row>
    <row r="5" spans="1:13" x14ac:dyDescent="0.25">
      <c r="A5" s="268"/>
      <c r="B5" s="268"/>
      <c r="C5" s="268"/>
      <c r="D5" s="268"/>
      <c r="E5" s="268"/>
      <c r="F5" s="268"/>
      <c r="G5" s="268"/>
      <c r="H5" s="268"/>
      <c r="I5" s="268"/>
    </row>
    <row r="6" spans="1:13" ht="27" x14ac:dyDescent="0.5">
      <c r="A6" s="273" t="s">
        <v>10</v>
      </c>
      <c r="B6" s="273"/>
      <c r="C6" s="268"/>
      <c r="D6" s="268"/>
      <c r="E6" s="268"/>
      <c r="F6" s="268"/>
      <c r="G6" s="268"/>
      <c r="H6" s="268"/>
      <c r="I6" s="268"/>
    </row>
    <row r="7" spans="1:13" ht="27.75" thickBot="1" x14ac:dyDescent="0.55000000000000004">
      <c r="A7" s="274">
        <v>49</v>
      </c>
      <c r="B7" s="274"/>
      <c r="C7" s="296"/>
      <c r="D7" s="296"/>
      <c r="E7" s="296"/>
      <c r="F7" s="296"/>
      <c r="G7" s="296"/>
      <c r="H7" s="296"/>
      <c r="I7" s="296"/>
    </row>
    <row r="8" spans="1:13" ht="15.75" thickBot="1" x14ac:dyDescent="0.3">
      <c r="A8" s="10" t="s">
        <v>14</v>
      </c>
      <c r="B8" s="10" t="s">
        <v>15</v>
      </c>
      <c r="C8" s="10" t="s">
        <v>16</v>
      </c>
      <c r="D8" s="10" t="s">
        <v>114</v>
      </c>
      <c r="E8" s="11" t="s">
        <v>17</v>
      </c>
      <c r="F8" s="10" t="s">
        <v>92</v>
      </c>
      <c r="G8" s="10" t="s">
        <v>93</v>
      </c>
      <c r="H8" s="10" t="s">
        <v>94</v>
      </c>
      <c r="I8" s="10" t="s">
        <v>95</v>
      </c>
      <c r="J8" s="10" t="s">
        <v>58</v>
      </c>
      <c r="K8" s="10" t="s">
        <v>60</v>
      </c>
      <c r="L8" s="11" t="s">
        <v>4</v>
      </c>
      <c r="M8" s="174" t="s">
        <v>18</v>
      </c>
    </row>
    <row r="9" spans="1:13" ht="15.75" thickBot="1" x14ac:dyDescent="0.3">
      <c r="A9" s="80"/>
      <c r="B9" s="81"/>
      <c r="C9" s="81"/>
      <c r="D9" s="81"/>
      <c r="E9" s="167"/>
      <c r="F9" s="78"/>
      <c r="G9" s="78"/>
      <c r="H9" s="79"/>
      <c r="I9" s="79"/>
      <c r="J9" s="79"/>
      <c r="K9" s="79"/>
      <c r="L9" s="16">
        <f>F9+G9+H9+I9+J9+K9</f>
        <v>0</v>
      </c>
      <c r="M9" s="165">
        <f t="shared" ref="M9:M19" si="0">E9-L9</f>
        <v>0</v>
      </c>
    </row>
    <row r="10" spans="1:13" ht="15.75" thickBot="1" x14ac:dyDescent="0.3">
      <c r="A10" s="80"/>
      <c r="B10" s="81"/>
      <c r="C10" s="81"/>
      <c r="D10" s="81"/>
      <c r="E10" s="167"/>
      <c r="F10" s="78"/>
      <c r="G10" s="78"/>
      <c r="H10" s="78"/>
      <c r="I10" s="82"/>
      <c r="J10" s="79"/>
      <c r="K10" s="79"/>
      <c r="L10" s="16">
        <f t="shared" ref="L10:L19" si="1">F10+G10+H10+I10+J10+K10</f>
        <v>0</v>
      </c>
      <c r="M10" s="165">
        <f t="shared" si="0"/>
        <v>0</v>
      </c>
    </row>
    <row r="11" spans="1:13" ht="15.75" thickBot="1" x14ac:dyDescent="0.3">
      <c r="A11" s="80"/>
      <c r="B11" s="81"/>
      <c r="C11" s="81"/>
      <c r="D11" s="81"/>
      <c r="E11" s="167"/>
      <c r="F11" s="78"/>
      <c r="G11" s="78"/>
      <c r="H11" s="78"/>
      <c r="I11" s="82"/>
      <c r="J11" s="79"/>
      <c r="K11" s="79"/>
      <c r="L11" s="16">
        <f t="shared" si="1"/>
        <v>0</v>
      </c>
      <c r="M11" s="165">
        <f t="shared" si="0"/>
        <v>0</v>
      </c>
    </row>
    <row r="12" spans="1:13" ht="15.75" thickBot="1" x14ac:dyDescent="0.3">
      <c r="A12" s="80"/>
      <c r="B12" s="81"/>
      <c r="C12" s="81"/>
      <c r="D12" s="81"/>
      <c r="E12" s="167"/>
      <c r="F12" s="78"/>
      <c r="G12" s="78"/>
      <c r="H12" s="78"/>
      <c r="I12" s="82"/>
      <c r="J12" s="79"/>
      <c r="K12" s="79"/>
      <c r="L12" s="16">
        <f t="shared" si="1"/>
        <v>0</v>
      </c>
      <c r="M12" s="165">
        <f t="shared" si="0"/>
        <v>0</v>
      </c>
    </row>
    <row r="13" spans="1:13" ht="15.75" thickBot="1" x14ac:dyDescent="0.3">
      <c r="A13" s="80"/>
      <c r="B13" s="81"/>
      <c r="C13" s="81"/>
      <c r="D13" s="81"/>
      <c r="E13" s="167"/>
      <c r="F13" s="78"/>
      <c r="G13" s="78"/>
      <c r="H13" s="78"/>
      <c r="I13" s="82"/>
      <c r="J13" s="79"/>
      <c r="K13" s="79"/>
      <c r="L13" s="16">
        <f t="shared" si="1"/>
        <v>0</v>
      </c>
      <c r="M13" s="165">
        <f t="shared" si="0"/>
        <v>0</v>
      </c>
    </row>
    <row r="14" spans="1:13" ht="15.75" thickBot="1" x14ac:dyDescent="0.3">
      <c r="A14" s="80"/>
      <c r="B14" s="81"/>
      <c r="C14" s="81"/>
      <c r="D14" s="81"/>
      <c r="E14" s="167"/>
      <c r="F14" s="78"/>
      <c r="G14" s="78"/>
      <c r="H14" s="78"/>
      <c r="I14" s="82"/>
      <c r="J14" s="79"/>
      <c r="K14" s="79"/>
      <c r="L14" s="16">
        <f t="shared" si="1"/>
        <v>0</v>
      </c>
      <c r="M14" s="165">
        <f t="shared" si="0"/>
        <v>0</v>
      </c>
    </row>
    <row r="15" spans="1:13" ht="15.75" thickBot="1" x14ac:dyDescent="0.3">
      <c r="A15" s="80"/>
      <c r="B15" s="81"/>
      <c r="C15" s="81"/>
      <c r="D15" s="81"/>
      <c r="E15" s="167"/>
      <c r="F15" s="78"/>
      <c r="G15" s="78"/>
      <c r="H15" s="78"/>
      <c r="I15" s="82"/>
      <c r="J15" s="79"/>
      <c r="K15" s="79"/>
      <c r="L15" s="16">
        <f t="shared" si="1"/>
        <v>0</v>
      </c>
      <c r="M15" s="165">
        <f t="shared" si="0"/>
        <v>0</v>
      </c>
    </row>
    <row r="16" spans="1:13" ht="15.75" thickBot="1" x14ac:dyDescent="0.3">
      <c r="A16" s="80"/>
      <c r="B16" s="81"/>
      <c r="C16" s="81"/>
      <c r="D16" s="81"/>
      <c r="E16" s="167"/>
      <c r="F16" s="78"/>
      <c r="G16" s="78"/>
      <c r="H16" s="78"/>
      <c r="I16" s="82"/>
      <c r="J16" s="79"/>
      <c r="K16" s="79"/>
      <c r="L16" s="16">
        <f t="shared" si="1"/>
        <v>0</v>
      </c>
      <c r="M16" s="165">
        <f t="shared" si="0"/>
        <v>0</v>
      </c>
    </row>
    <row r="17" spans="1:13" ht="15.75" thickBot="1" x14ac:dyDescent="0.3">
      <c r="A17" s="80"/>
      <c r="B17" s="81"/>
      <c r="C17" s="81"/>
      <c r="D17" s="81"/>
      <c r="E17" s="167"/>
      <c r="F17" s="78"/>
      <c r="G17" s="78"/>
      <c r="H17" s="78"/>
      <c r="I17" s="82"/>
      <c r="J17" s="79"/>
      <c r="K17" s="79"/>
      <c r="L17" s="16">
        <f t="shared" si="1"/>
        <v>0</v>
      </c>
      <c r="M17" s="165">
        <f t="shared" si="0"/>
        <v>0</v>
      </c>
    </row>
    <row r="18" spans="1:13" ht="15.75" thickBot="1" x14ac:dyDescent="0.3">
      <c r="A18" s="80"/>
      <c r="B18" s="81"/>
      <c r="C18" s="81"/>
      <c r="D18" s="81"/>
      <c r="E18" s="167"/>
      <c r="F18" s="78"/>
      <c r="G18" s="78"/>
      <c r="H18" s="78"/>
      <c r="I18" s="82"/>
      <c r="J18" s="79"/>
      <c r="K18" s="79"/>
      <c r="L18" s="16">
        <f t="shared" si="1"/>
        <v>0</v>
      </c>
      <c r="M18" s="165">
        <f t="shared" si="0"/>
        <v>0</v>
      </c>
    </row>
    <row r="19" spans="1:13" ht="15.75" thickBot="1" x14ac:dyDescent="0.3">
      <c r="A19" s="80"/>
      <c r="B19" s="81"/>
      <c r="C19" s="81"/>
      <c r="D19" s="81"/>
      <c r="E19" s="167"/>
      <c r="F19" s="78"/>
      <c r="G19" s="78"/>
      <c r="H19" s="78"/>
      <c r="I19" s="82"/>
      <c r="J19" s="79"/>
      <c r="K19" s="79"/>
      <c r="L19" s="16">
        <f t="shared" si="1"/>
        <v>0</v>
      </c>
      <c r="M19" s="165">
        <f t="shared" si="0"/>
        <v>0</v>
      </c>
    </row>
    <row r="20" spans="1:13" ht="15.75" thickBot="1" x14ac:dyDescent="0.3">
      <c r="A20" t="s">
        <v>4</v>
      </c>
      <c r="E20" s="16">
        <f>SUM(E9:E19)</f>
        <v>0</v>
      </c>
      <c r="F20" s="14"/>
      <c r="G20" s="14"/>
      <c r="H20" s="14"/>
      <c r="I20" s="14"/>
      <c r="J20" s="10"/>
      <c r="L20" s="17">
        <f>SUM(L9:L19)</f>
        <v>0</v>
      </c>
      <c r="M20" s="166">
        <f>SUM(M9:M19)</f>
        <v>0</v>
      </c>
    </row>
    <row r="21" spans="1:13" ht="15.75" thickBot="1" x14ac:dyDescent="0.3"/>
    <row r="22" spans="1:13" ht="16.5" thickBot="1" x14ac:dyDescent="0.35">
      <c r="H22" s="291" t="s">
        <v>20</v>
      </c>
      <c r="I22" s="292"/>
      <c r="J22" s="15">
        <f>E20</f>
        <v>0</v>
      </c>
    </row>
    <row r="23" spans="1:13" ht="19.5" thickBot="1" x14ac:dyDescent="0.45">
      <c r="H23" s="279" t="s">
        <v>3</v>
      </c>
      <c r="I23" s="280"/>
      <c r="J23" s="16">
        <f>L20</f>
        <v>0</v>
      </c>
    </row>
    <row r="24" spans="1:13" ht="19.5" thickBot="1" x14ac:dyDescent="0.45">
      <c r="H24" s="279" t="s">
        <v>7</v>
      </c>
      <c r="I24" s="279"/>
      <c r="J24" s="13">
        <f>M20</f>
        <v>0</v>
      </c>
    </row>
    <row r="26" spans="1:13" ht="18.75" x14ac:dyDescent="0.25">
      <c r="D26" s="137">
        <v>45292</v>
      </c>
      <c r="E26" s="138" t="s">
        <v>47</v>
      </c>
      <c r="F26" s="138" t="s">
        <v>41</v>
      </c>
      <c r="G26" s="138" t="s">
        <v>42</v>
      </c>
      <c r="H26" s="138" t="s">
        <v>43</v>
      </c>
      <c r="I26" s="138" t="s">
        <v>44</v>
      </c>
      <c r="J26" s="139" t="s">
        <v>45</v>
      </c>
      <c r="K26" s="139" t="s">
        <v>46</v>
      </c>
    </row>
    <row r="27" spans="1:13" ht="18.75" x14ac:dyDescent="0.25">
      <c r="D27" s="140" t="s">
        <v>173</v>
      </c>
      <c r="E27" s="141" t="s">
        <v>488</v>
      </c>
      <c r="F27" s="141" t="s">
        <v>489</v>
      </c>
      <c r="G27" s="141" t="s">
        <v>490</v>
      </c>
      <c r="H27" s="141" t="s">
        <v>491</v>
      </c>
      <c r="I27" s="141" t="s">
        <v>492</v>
      </c>
      <c r="J27" s="184" t="s">
        <v>493</v>
      </c>
      <c r="K27" s="184" t="s">
        <v>494</v>
      </c>
    </row>
    <row r="40" spans="11:11" x14ac:dyDescent="0.25">
      <c r="K40" t="s">
        <v>31</v>
      </c>
    </row>
  </sheetData>
  <sheetProtection algorithmName="SHA-512" hashValue="l97Y0MgUsGVpR0w5I6IC6ksXYsPaII80Ee6QKeOBhjhTz6vD3xP9b6OERLwokBs6uuC08Fejfq0ypbx/NFn6/g==" saltValue="m7SMEypvz318HSI7b7POsA==" spinCount="100000" sheet="1" formatCells="0" formatColumns="0" formatRows="0" insertColumns="0" insertRows="0" insertHyperlinks="0" deleteColumns="0" deleteRows="0" sort="0" autoFilter="0" pivotTables="0"/>
  <autoFilter ref="A8:M8" xr:uid="{CDCE3308-6C70-4A63-AA4D-FFD26DE6B812}"/>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47" priority="1">
      <formula>IFERROR(INDEX(DiasCategorias, E27-FechaInicio+1),0)=1</formula>
    </cfRule>
    <cfRule type="expression" dxfId="46" priority="2">
      <formula>IFERROR(INDEX(DiasCategorias, E27-FechaInicio+1),0)=2</formula>
    </cfRule>
    <cfRule type="expression" dxfId="45" priority="3">
      <formula>IFERROR(INDEX(DiasCategorias, E27-FechaInicio+1),0)=3</formula>
    </cfRule>
    <cfRule type="expression" dxfId="44" priority="4">
      <formula>IFERROR(INDEX(DiasCategorias, E27-FechaInicio+1),0)=4</formula>
    </cfRule>
    <cfRule type="expression" dxfId="43" priority="5">
      <formula>IFERROR(INDEX(DiasCategorias, E27-FechaInicio+1),0)=5</formula>
    </cfRule>
    <cfRule type="expression" dxfId="42" priority="6">
      <formula>IFERROR(INDEX(DiasCategorias, E27-FechaInicio+1),0)=6</formula>
    </cfRule>
    <cfRule type="expression" dxfId="41" priority="7">
      <formula>IFERROR(INDEX(DiasCategorias, E27-FechaInicio+1),0)=7</formula>
    </cfRule>
    <cfRule type="expression" dxfId="40" priority="8">
      <formula>IFERROR(INDEX(DiasCategorias, E27-FechaInicio+1),0)=8</formula>
    </cfRule>
    <cfRule type="expression" dxfId="39" priority="9">
      <formula>IFERROR(INDEX(DiasCategorias, E27-FechaInicio+1),0)=9</formula>
    </cfRule>
    <cfRule type="expression" dxfId="38" priority="10">
      <formula>IFERROR(INDEX(DiasCategorias, E27-FechaInicio+1),0)=10</formula>
    </cfRule>
    <cfRule type="expression" dxfId="37" priority="11">
      <formula>IFERROR(INDEX(DiasCategorias, E27-FechaInicio+1),0)=11</formula>
    </cfRule>
    <cfRule type="expression" dxfId="36" priority="12">
      <formula>IFERROR(INDEX(DiasCategorias, E27-FechaInicio+1),0)=12</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61364-6AD5-4E82-A439-799E86CAA867}">
  <sheetPr codeName="Hoja20">
    <tabColor theme="4" tint="0.79998168889431442"/>
  </sheetPr>
  <dimension ref="A1:M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6" max="6" width="14.28515625" customWidth="1"/>
    <col min="7" max="7" width="13.7109375" customWidth="1"/>
    <col min="10" max="10" width="12.85546875" bestFit="1" customWidth="1"/>
  </cols>
  <sheetData>
    <row r="1" spans="1:13" ht="15" customHeight="1" x14ac:dyDescent="0.25">
      <c r="A1" s="268"/>
      <c r="B1" s="268"/>
      <c r="C1" s="281" t="s">
        <v>8</v>
      </c>
      <c r="D1" s="282"/>
      <c r="E1" s="282"/>
      <c r="F1" s="282"/>
      <c r="G1" s="283"/>
      <c r="H1" s="288"/>
      <c r="I1" s="289"/>
    </row>
    <row r="2" spans="1:13" ht="15.75" customHeight="1" thickBot="1" x14ac:dyDescent="0.3">
      <c r="A2" s="268"/>
      <c r="B2" s="268"/>
      <c r="C2" s="285"/>
      <c r="D2" s="286"/>
      <c r="E2" s="286"/>
      <c r="F2" s="286"/>
      <c r="G2" s="287"/>
      <c r="H2" s="288"/>
      <c r="I2" s="289"/>
    </row>
    <row r="3" spans="1:13" x14ac:dyDescent="0.25">
      <c r="A3" s="268"/>
      <c r="B3" s="268"/>
      <c r="C3" s="268"/>
      <c r="D3" s="268"/>
      <c r="E3" s="268"/>
      <c r="F3" s="268"/>
      <c r="G3" s="268"/>
      <c r="H3" s="268"/>
      <c r="I3" s="268"/>
    </row>
    <row r="4" spans="1:13" x14ac:dyDescent="0.25">
      <c r="A4" s="268"/>
      <c r="B4" s="268"/>
      <c r="C4" s="268"/>
      <c r="D4" s="268"/>
      <c r="E4" s="268"/>
      <c r="F4" s="268"/>
      <c r="G4" s="268"/>
      <c r="H4" s="268"/>
      <c r="I4" s="268"/>
    </row>
    <row r="5" spans="1:13" x14ac:dyDescent="0.25">
      <c r="A5" s="268"/>
      <c r="B5" s="268"/>
      <c r="C5" s="268"/>
      <c r="D5" s="268"/>
      <c r="E5" s="268"/>
      <c r="F5" s="268"/>
      <c r="G5" s="268"/>
      <c r="H5" s="268"/>
      <c r="I5" s="268"/>
    </row>
    <row r="6" spans="1:13" ht="27" x14ac:dyDescent="0.5">
      <c r="A6" s="273" t="s">
        <v>10</v>
      </c>
      <c r="B6" s="273"/>
      <c r="C6" s="268"/>
      <c r="D6" s="268"/>
      <c r="E6" s="268"/>
      <c r="F6" s="268"/>
      <c r="G6" s="268"/>
      <c r="H6" s="268"/>
      <c r="I6" s="268"/>
    </row>
    <row r="7" spans="1:13" ht="27.75" thickBot="1" x14ac:dyDescent="0.55000000000000004">
      <c r="A7" s="274">
        <v>50</v>
      </c>
      <c r="B7" s="274"/>
      <c r="C7" s="296"/>
      <c r="D7" s="296"/>
      <c r="E7" s="296"/>
      <c r="F7" s="296"/>
      <c r="G7" s="296"/>
      <c r="H7" s="296"/>
      <c r="I7" s="296"/>
    </row>
    <row r="8" spans="1:13" ht="15.75" thickBot="1" x14ac:dyDescent="0.3">
      <c r="A8" s="10" t="s">
        <v>14</v>
      </c>
      <c r="B8" s="10" t="s">
        <v>15</v>
      </c>
      <c r="C8" s="10" t="s">
        <v>16</v>
      </c>
      <c r="D8" s="10" t="s">
        <v>114</v>
      </c>
      <c r="E8" s="11" t="s">
        <v>17</v>
      </c>
      <c r="F8" s="10" t="s">
        <v>93</v>
      </c>
      <c r="G8" s="10" t="s">
        <v>94</v>
      </c>
      <c r="H8" s="10" t="s">
        <v>95</v>
      </c>
      <c r="I8" s="10" t="s">
        <v>58</v>
      </c>
      <c r="J8" s="10" t="s">
        <v>60</v>
      </c>
      <c r="K8" s="10" t="s">
        <v>59</v>
      </c>
      <c r="L8" s="11" t="s">
        <v>4</v>
      </c>
      <c r="M8" s="174" t="s">
        <v>18</v>
      </c>
    </row>
    <row r="9" spans="1:13" ht="15.75" thickBot="1" x14ac:dyDescent="0.3">
      <c r="A9" s="80"/>
      <c r="B9" s="81"/>
      <c r="C9" s="81"/>
      <c r="D9" s="81"/>
      <c r="E9" s="167"/>
      <c r="F9" s="78"/>
      <c r="G9" s="78"/>
      <c r="H9" s="79"/>
      <c r="I9" s="79"/>
      <c r="J9" s="79"/>
      <c r="K9" s="79"/>
      <c r="L9" s="16">
        <f>F9+G9+H9+I9+K9+J9</f>
        <v>0</v>
      </c>
      <c r="M9" s="165">
        <f t="shared" ref="M9:M19" si="0">E9-L9</f>
        <v>0</v>
      </c>
    </row>
    <row r="10" spans="1:13" ht="15.75" thickBot="1" x14ac:dyDescent="0.3">
      <c r="A10" s="80"/>
      <c r="B10" s="81"/>
      <c r="C10" s="81"/>
      <c r="D10" s="81"/>
      <c r="E10" s="167"/>
      <c r="F10" s="78"/>
      <c r="G10" s="78"/>
      <c r="H10" s="78"/>
      <c r="I10" s="82"/>
      <c r="J10" s="82"/>
      <c r="K10" s="79"/>
      <c r="L10" s="16">
        <f t="shared" ref="L10:L19" si="1">F10+G10+H10+I10+K10+J10</f>
        <v>0</v>
      </c>
      <c r="M10" s="165">
        <f t="shared" si="0"/>
        <v>0</v>
      </c>
    </row>
    <row r="11" spans="1:13" ht="15.75" thickBot="1" x14ac:dyDescent="0.3">
      <c r="A11" s="80"/>
      <c r="B11" s="81"/>
      <c r="C11" s="81"/>
      <c r="D11" s="81"/>
      <c r="E11" s="167"/>
      <c r="F11" s="78"/>
      <c r="G11" s="78"/>
      <c r="H11" s="78"/>
      <c r="I11" s="82"/>
      <c r="J11" s="82"/>
      <c r="K11" s="79"/>
      <c r="L11" s="16">
        <f t="shared" si="1"/>
        <v>0</v>
      </c>
      <c r="M11" s="165">
        <f t="shared" si="0"/>
        <v>0</v>
      </c>
    </row>
    <row r="12" spans="1:13" ht="15.75" thickBot="1" x14ac:dyDescent="0.3">
      <c r="A12" s="80"/>
      <c r="B12" s="81"/>
      <c r="C12" s="81"/>
      <c r="D12" s="81"/>
      <c r="E12" s="167"/>
      <c r="F12" s="78"/>
      <c r="G12" s="78"/>
      <c r="H12" s="78"/>
      <c r="I12" s="82"/>
      <c r="J12" s="82"/>
      <c r="K12" s="79"/>
      <c r="L12" s="16">
        <f t="shared" si="1"/>
        <v>0</v>
      </c>
      <c r="M12" s="165">
        <f t="shared" si="0"/>
        <v>0</v>
      </c>
    </row>
    <row r="13" spans="1:13" ht="15.75" thickBot="1" x14ac:dyDescent="0.3">
      <c r="A13" s="80"/>
      <c r="B13" s="81"/>
      <c r="C13" s="81"/>
      <c r="D13" s="81"/>
      <c r="E13" s="167"/>
      <c r="F13" s="78"/>
      <c r="G13" s="78"/>
      <c r="H13" s="78"/>
      <c r="I13" s="82"/>
      <c r="J13" s="82"/>
      <c r="K13" s="79"/>
      <c r="L13" s="16">
        <f t="shared" si="1"/>
        <v>0</v>
      </c>
      <c r="M13" s="165">
        <f t="shared" si="0"/>
        <v>0</v>
      </c>
    </row>
    <row r="14" spans="1:13" ht="15.75" thickBot="1" x14ac:dyDescent="0.3">
      <c r="A14" s="80"/>
      <c r="B14" s="81"/>
      <c r="C14" s="81"/>
      <c r="D14" s="81"/>
      <c r="E14" s="167"/>
      <c r="F14" s="78"/>
      <c r="G14" s="78"/>
      <c r="H14" s="78"/>
      <c r="I14" s="82"/>
      <c r="J14" s="82"/>
      <c r="K14" s="79"/>
      <c r="L14" s="16">
        <f t="shared" si="1"/>
        <v>0</v>
      </c>
      <c r="M14" s="165">
        <f t="shared" si="0"/>
        <v>0</v>
      </c>
    </row>
    <row r="15" spans="1:13" ht="15.75" thickBot="1" x14ac:dyDescent="0.3">
      <c r="A15" s="80"/>
      <c r="B15" s="81"/>
      <c r="C15" s="81"/>
      <c r="D15" s="81"/>
      <c r="E15" s="167"/>
      <c r="F15" s="78"/>
      <c r="G15" s="78"/>
      <c r="H15" s="78"/>
      <c r="I15" s="82"/>
      <c r="J15" s="82"/>
      <c r="K15" s="79"/>
      <c r="L15" s="16">
        <f t="shared" si="1"/>
        <v>0</v>
      </c>
      <c r="M15" s="165">
        <f t="shared" si="0"/>
        <v>0</v>
      </c>
    </row>
    <row r="16" spans="1:13" ht="15.75" thickBot="1" x14ac:dyDescent="0.3">
      <c r="A16" s="80"/>
      <c r="B16" s="81"/>
      <c r="C16" s="81"/>
      <c r="D16" s="81"/>
      <c r="E16" s="167"/>
      <c r="F16" s="78"/>
      <c r="G16" s="78"/>
      <c r="H16" s="78"/>
      <c r="I16" s="82"/>
      <c r="J16" s="82"/>
      <c r="K16" s="79"/>
      <c r="L16" s="16">
        <f t="shared" si="1"/>
        <v>0</v>
      </c>
      <c r="M16" s="165">
        <f t="shared" si="0"/>
        <v>0</v>
      </c>
    </row>
    <row r="17" spans="1:13" ht="15.75" thickBot="1" x14ac:dyDescent="0.3">
      <c r="A17" s="80"/>
      <c r="B17" s="81"/>
      <c r="C17" s="81"/>
      <c r="D17" s="81"/>
      <c r="E17" s="167"/>
      <c r="F17" s="78"/>
      <c r="G17" s="78"/>
      <c r="H17" s="78"/>
      <c r="I17" s="82"/>
      <c r="J17" s="82"/>
      <c r="K17" s="79"/>
      <c r="L17" s="16">
        <f t="shared" si="1"/>
        <v>0</v>
      </c>
      <c r="M17" s="165">
        <f t="shared" si="0"/>
        <v>0</v>
      </c>
    </row>
    <row r="18" spans="1:13" ht="15.75" thickBot="1" x14ac:dyDescent="0.3">
      <c r="A18" s="80"/>
      <c r="B18" s="81"/>
      <c r="C18" s="81"/>
      <c r="D18" s="81"/>
      <c r="E18" s="167"/>
      <c r="F18" s="78"/>
      <c r="G18" s="78"/>
      <c r="H18" s="78"/>
      <c r="I18" s="82"/>
      <c r="J18" s="82"/>
      <c r="K18" s="79"/>
      <c r="L18" s="16">
        <f t="shared" si="1"/>
        <v>0</v>
      </c>
      <c r="M18" s="165">
        <f t="shared" si="0"/>
        <v>0</v>
      </c>
    </row>
    <row r="19" spans="1:13" ht="15.75" thickBot="1" x14ac:dyDescent="0.3">
      <c r="A19" s="80"/>
      <c r="B19" s="81"/>
      <c r="C19" s="81"/>
      <c r="D19" s="81"/>
      <c r="E19" s="167"/>
      <c r="F19" s="78"/>
      <c r="G19" s="78"/>
      <c r="H19" s="78"/>
      <c r="I19" s="82"/>
      <c r="J19" s="82"/>
      <c r="K19" s="79"/>
      <c r="L19" s="16">
        <f t="shared" si="1"/>
        <v>0</v>
      </c>
      <c r="M19" s="165">
        <f t="shared" si="0"/>
        <v>0</v>
      </c>
    </row>
    <row r="20" spans="1:13" ht="15.75" thickBot="1" x14ac:dyDescent="0.3">
      <c r="A20" t="s">
        <v>4</v>
      </c>
      <c r="E20" s="16">
        <f>SUM(E9:E19)</f>
        <v>0</v>
      </c>
      <c r="F20" s="14"/>
      <c r="G20" s="14"/>
      <c r="H20" s="14"/>
      <c r="I20" s="14"/>
      <c r="J20" s="14"/>
      <c r="K20" s="10"/>
      <c r="L20" s="17">
        <f>SUM(L9:L19)</f>
        <v>0</v>
      </c>
      <c r="M20" s="166">
        <f>SUM(M9:M19)</f>
        <v>0</v>
      </c>
    </row>
    <row r="21" spans="1:13" ht="15.75" thickBot="1" x14ac:dyDescent="0.3"/>
    <row r="22" spans="1:13" ht="16.5" thickBot="1" x14ac:dyDescent="0.35">
      <c r="H22" s="291" t="s">
        <v>20</v>
      </c>
      <c r="I22" s="292"/>
      <c r="J22" s="15">
        <f>E20</f>
        <v>0</v>
      </c>
    </row>
    <row r="23" spans="1:13" ht="19.5" thickBot="1" x14ac:dyDescent="0.45">
      <c r="H23" s="279" t="s">
        <v>3</v>
      </c>
      <c r="I23" s="280"/>
      <c r="J23" s="16">
        <f>L20</f>
        <v>0</v>
      </c>
    </row>
    <row r="24" spans="1:13" ht="19.5" thickBot="1" x14ac:dyDescent="0.45">
      <c r="H24" s="279" t="s">
        <v>7</v>
      </c>
      <c r="I24" s="279"/>
      <c r="J24" s="13">
        <f>M20</f>
        <v>0</v>
      </c>
    </row>
    <row r="26" spans="1:13" ht="18.75" x14ac:dyDescent="0.25">
      <c r="D26" s="137">
        <v>45292</v>
      </c>
      <c r="E26" s="138" t="s">
        <v>47</v>
      </c>
      <c r="F26" s="138" t="s">
        <v>41</v>
      </c>
      <c r="G26" s="138" t="s">
        <v>42</v>
      </c>
      <c r="H26" s="138" t="s">
        <v>43</v>
      </c>
      <c r="I26" s="138" t="s">
        <v>44</v>
      </c>
      <c r="J26" s="139" t="s">
        <v>45</v>
      </c>
      <c r="K26" s="139" t="s">
        <v>46</v>
      </c>
    </row>
    <row r="27" spans="1:13" ht="18.75" x14ac:dyDescent="0.25">
      <c r="D27" s="140" t="s">
        <v>174</v>
      </c>
      <c r="E27" s="141" t="s">
        <v>495</v>
      </c>
      <c r="F27" s="141" t="s">
        <v>496</v>
      </c>
      <c r="G27" s="141" t="s">
        <v>497</v>
      </c>
      <c r="H27" s="141" t="s">
        <v>498</v>
      </c>
      <c r="I27" s="141" t="s">
        <v>499</v>
      </c>
      <c r="J27" s="184" t="s">
        <v>500</v>
      </c>
      <c r="K27" s="184" t="s">
        <v>501</v>
      </c>
    </row>
    <row r="40" spans="11:11" x14ac:dyDescent="0.25">
      <c r="K40" t="s">
        <v>31</v>
      </c>
    </row>
  </sheetData>
  <sheetProtection algorithmName="SHA-512" hashValue="m0RLAHg65o9e2fJGwdwq/+dbFGzR69mNsF6FLqvHxbZjDxg/l6CeY2DaGWo8XvGJujwf9KnT1oZcF6mDesC6eA==" saltValue="INiXCPciZMquFojPBMCRDg==" spinCount="100000" sheet="1" formatCells="0" formatColumns="0" formatRows="0" insertColumns="0" insertRows="0" insertHyperlinks="0" deleteColumns="0" deleteRows="0" sort="0" autoFilter="0" pivotTables="0"/>
  <autoFilter ref="A8:M8" xr:uid="{17661364-6AD5-4E82-A439-799E86CAA867}"/>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35" priority="1">
      <formula>IFERROR(INDEX(DiasCategorias, E27-FechaInicio+1),0)=1</formula>
    </cfRule>
    <cfRule type="expression" dxfId="34" priority="2">
      <formula>IFERROR(INDEX(DiasCategorias, E27-FechaInicio+1),0)=2</formula>
    </cfRule>
    <cfRule type="expression" dxfId="33" priority="3">
      <formula>IFERROR(INDEX(DiasCategorias, E27-FechaInicio+1),0)=3</formula>
    </cfRule>
    <cfRule type="expression" dxfId="32" priority="4">
      <formula>IFERROR(INDEX(DiasCategorias, E27-FechaInicio+1),0)=4</formula>
    </cfRule>
    <cfRule type="expression" dxfId="31" priority="5">
      <formula>IFERROR(INDEX(DiasCategorias, E27-FechaInicio+1),0)=5</formula>
    </cfRule>
    <cfRule type="expression" dxfId="30" priority="6">
      <formula>IFERROR(INDEX(DiasCategorias, E27-FechaInicio+1),0)=6</formula>
    </cfRule>
    <cfRule type="expression" dxfId="29" priority="7">
      <formula>IFERROR(INDEX(DiasCategorias, E27-FechaInicio+1),0)=7</formula>
    </cfRule>
    <cfRule type="expression" dxfId="28" priority="8">
      <formula>IFERROR(INDEX(DiasCategorias, E27-FechaInicio+1),0)=8</formula>
    </cfRule>
    <cfRule type="expression" dxfId="27" priority="9">
      <formula>IFERROR(INDEX(DiasCategorias, E27-FechaInicio+1),0)=9</formula>
    </cfRule>
    <cfRule type="expression" dxfId="26" priority="10">
      <formula>IFERROR(INDEX(DiasCategorias, E27-FechaInicio+1),0)=10</formula>
    </cfRule>
    <cfRule type="expression" dxfId="25" priority="11">
      <formula>IFERROR(INDEX(DiasCategorias, E27-FechaInicio+1),0)=11</formula>
    </cfRule>
    <cfRule type="expression" dxfId="24" priority="12">
      <formula>IFERROR(INDEX(DiasCategorias, E27-FechaInicio+1),0)=12</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D7AAA-36AE-413A-860A-81DC11971291}">
  <sheetPr codeName="Hoja21">
    <tabColor theme="9"/>
  </sheetPr>
  <dimension ref="A1:M40"/>
  <sheetViews>
    <sheetView workbookViewId="0">
      <selection activeCell="E27" sqref="E27:K27"/>
    </sheetView>
  </sheetViews>
  <sheetFormatPr baseColWidth="10" defaultRowHeight="15" x14ac:dyDescent="0.25"/>
  <cols>
    <col min="2" max="2" width="9.140625" customWidth="1"/>
    <col min="3" max="3" width="27.5703125" bestFit="1" customWidth="1"/>
    <col min="4" max="4" width="14.7109375" bestFit="1" customWidth="1"/>
    <col min="6" max="6" width="15.5703125" customWidth="1"/>
    <col min="10" max="10" width="12.85546875" bestFit="1" customWidth="1"/>
  </cols>
  <sheetData>
    <row r="1" spans="1:13" ht="15" customHeight="1" x14ac:dyDescent="0.25">
      <c r="A1" s="268"/>
      <c r="B1" s="268"/>
      <c r="C1" s="281" t="s">
        <v>8</v>
      </c>
      <c r="D1" s="282"/>
      <c r="E1" s="282"/>
      <c r="F1" s="282"/>
      <c r="G1" s="283"/>
      <c r="H1" s="288"/>
      <c r="I1" s="289"/>
    </row>
    <row r="2" spans="1:13" ht="15.75" customHeight="1" thickBot="1" x14ac:dyDescent="0.3">
      <c r="A2" s="268"/>
      <c r="B2" s="268"/>
      <c r="C2" s="285"/>
      <c r="D2" s="286"/>
      <c r="E2" s="286"/>
      <c r="F2" s="286"/>
      <c r="G2" s="287"/>
      <c r="H2" s="288"/>
      <c r="I2" s="289"/>
    </row>
    <row r="3" spans="1:13" x14ac:dyDescent="0.25">
      <c r="A3" s="268"/>
      <c r="B3" s="268"/>
      <c r="C3" s="268"/>
      <c r="D3" s="268"/>
      <c r="E3" s="268"/>
      <c r="F3" s="268"/>
      <c r="G3" s="268"/>
      <c r="H3" s="268"/>
      <c r="I3" s="268"/>
    </row>
    <row r="4" spans="1:13" x14ac:dyDescent="0.25">
      <c r="A4" s="268"/>
      <c r="B4" s="268"/>
      <c r="C4" s="268"/>
      <c r="D4" s="268"/>
      <c r="E4" s="268"/>
      <c r="F4" s="268"/>
      <c r="G4" s="268"/>
      <c r="H4" s="268"/>
      <c r="I4" s="268"/>
    </row>
    <row r="5" spans="1:13" x14ac:dyDescent="0.25">
      <c r="A5" s="268"/>
      <c r="B5" s="268"/>
      <c r="C5" s="268"/>
      <c r="D5" s="268"/>
      <c r="E5" s="268"/>
      <c r="F5" s="268"/>
      <c r="G5" s="268"/>
      <c r="H5" s="268"/>
      <c r="I5" s="268"/>
    </row>
    <row r="6" spans="1:13" ht="27" x14ac:dyDescent="0.5">
      <c r="A6" s="273" t="s">
        <v>10</v>
      </c>
      <c r="B6" s="273"/>
      <c r="C6" s="268"/>
      <c r="D6" s="268"/>
      <c r="E6" s="268"/>
      <c r="F6" s="268"/>
      <c r="G6" s="268"/>
      <c r="H6" s="268"/>
      <c r="I6" s="268"/>
    </row>
    <row r="7" spans="1:13" ht="27.75" thickBot="1" x14ac:dyDescent="0.55000000000000004">
      <c r="A7" s="274">
        <v>51</v>
      </c>
      <c r="B7" s="274"/>
      <c r="C7" s="296"/>
      <c r="D7" s="296"/>
      <c r="E7" s="296"/>
      <c r="F7" s="296"/>
      <c r="G7" s="296"/>
      <c r="H7" s="296"/>
      <c r="I7" s="296"/>
    </row>
    <row r="8" spans="1:13" ht="15.75" thickBot="1" x14ac:dyDescent="0.3">
      <c r="A8" s="10" t="s">
        <v>14</v>
      </c>
      <c r="B8" s="10" t="s">
        <v>15</v>
      </c>
      <c r="C8" s="10" t="s">
        <v>16</v>
      </c>
      <c r="D8" s="10" t="s">
        <v>114</v>
      </c>
      <c r="E8" s="11" t="s">
        <v>17</v>
      </c>
      <c r="F8" s="10" t="s">
        <v>94</v>
      </c>
      <c r="G8" s="10" t="s">
        <v>95</v>
      </c>
      <c r="H8" s="10" t="s">
        <v>58</v>
      </c>
      <c r="I8" s="10" t="s">
        <v>60</v>
      </c>
      <c r="J8" s="10" t="s">
        <v>59</v>
      </c>
      <c r="K8" s="10" t="s">
        <v>61</v>
      </c>
      <c r="L8" s="11" t="s">
        <v>4</v>
      </c>
      <c r="M8" s="174" t="s">
        <v>18</v>
      </c>
    </row>
    <row r="9" spans="1:13" ht="15.75" thickBot="1" x14ac:dyDescent="0.3">
      <c r="A9" s="80"/>
      <c r="B9" s="81"/>
      <c r="C9" s="81"/>
      <c r="D9" s="81"/>
      <c r="E9" s="167"/>
      <c r="F9" s="78"/>
      <c r="G9" s="78"/>
      <c r="H9" s="79"/>
      <c r="I9" s="79"/>
      <c r="J9" s="79"/>
      <c r="K9" s="79"/>
      <c r="L9" s="16">
        <f>F9+G9+H9+I9+J9+K9</f>
        <v>0</v>
      </c>
      <c r="M9" s="165">
        <f t="shared" ref="M9:M19" si="0">E9-L9</f>
        <v>0</v>
      </c>
    </row>
    <row r="10" spans="1:13" ht="15.75" thickBot="1" x14ac:dyDescent="0.3">
      <c r="A10" s="80"/>
      <c r="B10" s="81"/>
      <c r="C10" s="81"/>
      <c r="D10" s="81"/>
      <c r="E10" s="167"/>
      <c r="F10" s="78"/>
      <c r="G10" s="78"/>
      <c r="H10" s="78"/>
      <c r="I10" s="82"/>
      <c r="J10" s="79"/>
      <c r="K10" s="79"/>
      <c r="L10" s="16">
        <f t="shared" ref="L10:L19" si="1">F10+G10+H10+I10+J10+K10</f>
        <v>0</v>
      </c>
      <c r="M10" s="165">
        <f t="shared" si="0"/>
        <v>0</v>
      </c>
    </row>
    <row r="11" spans="1:13" ht="15.75" thickBot="1" x14ac:dyDescent="0.3">
      <c r="A11" s="80"/>
      <c r="B11" s="81"/>
      <c r="C11" s="81"/>
      <c r="D11" s="81"/>
      <c r="E11" s="167"/>
      <c r="F11" s="78"/>
      <c r="G11" s="78"/>
      <c r="H11" s="78"/>
      <c r="I11" s="82"/>
      <c r="J11" s="79"/>
      <c r="K11" s="79"/>
      <c r="L11" s="16">
        <f t="shared" si="1"/>
        <v>0</v>
      </c>
      <c r="M11" s="165">
        <f t="shared" si="0"/>
        <v>0</v>
      </c>
    </row>
    <row r="12" spans="1:13" ht="15.75" thickBot="1" x14ac:dyDescent="0.3">
      <c r="A12" s="80"/>
      <c r="B12" s="81"/>
      <c r="C12" s="81"/>
      <c r="D12" s="81"/>
      <c r="E12" s="167"/>
      <c r="F12" s="78"/>
      <c r="G12" s="78"/>
      <c r="H12" s="78"/>
      <c r="I12" s="82"/>
      <c r="J12" s="79"/>
      <c r="K12" s="79"/>
      <c r="L12" s="16">
        <f t="shared" si="1"/>
        <v>0</v>
      </c>
      <c r="M12" s="165">
        <f t="shared" si="0"/>
        <v>0</v>
      </c>
    </row>
    <row r="13" spans="1:13" ht="15.75" thickBot="1" x14ac:dyDescent="0.3">
      <c r="A13" s="80"/>
      <c r="B13" s="81"/>
      <c r="C13" s="81"/>
      <c r="D13" s="81"/>
      <c r="E13" s="167"/>
      <c r="F13" s="78"/>
      <c r="G13" s="78"/>
      <c r="H13" s="78"/>
      <c r="I13" s="82"/>
      <c r="J13" s="79"/>
      <c r="K13" s="79"/>
      <c r="L13" s="16">
        <f t="shared" si="1"/>
        <v>0</v>
      </c>
      <c r="M13" s="165">
        <f t="shared" si="0"/>
        <v>0</v>
      </c>
    </row>
    <row r="14" spans="1:13" ht="15.75" thickBot="1" x14ac:dyDescent="0.3">
      <c r="A14" s="80"/>
      <c r="B14" s="81"/>
      <c r="C14" s="81"/>
      <c r="D14" s="81"/>
      <c r="E14" s="167"/>
      <c r="F14" s="78"/>
      <c r="G14" s="78"/>
      <c r="H14" s="78"/>
      <c r="I14" s="82"/>
      <c r="J14" s="79"/>
      <c r="K14" s="79"/>
      <c r="L14" s="16">
        <f t="shared" si="1"/>
        <v>0</v>
      </c>
      <c r="M14" s="165">
        <f t="shared" si="0"/>
        <v>0</v>
      </c>
    </row>
    <row r="15" spans="1:13" ht="15.75" thickBot="1" x14ac:dyDescent="0.3">
      <c r="A15" s="80"/>
      <c r="B15" s="81"/>
      <c r="C15" s="81"/>
      <c r="D15" s="81"/>
      <c r="E15" s="167"/>
      <c r="F15" s="78"/>
      <c r="G15" s="78"/>
      <c r="H15" s="78"/>
      <c r="I15" s="82"/>
      <c r="J15" s="79"/>
      <c r="K15" s="79"/>
      <c r="L15" s="16">
        <f t="shared" si="1"/>
        <v>0</v>
      </c>
      <c r="M15" s="165">
        <f t="shared" si="0"/>
        <v>0</v>
      </c>
    </row>
    <row r="16" spans="1:13" ht="15.75" thickBot="1" x14ac:dyDescent="0.3">
      <c r="A16" s="80"/>
      <c r="B16" s="81"/>
      <c r="C16" s="81"/>
      <c r="D16" s="81"/>
      <c r="E16" s="167"/>
      <c r="F16" s="78"/>
      <c r="G16" s="78"/>
      <c r="H16" s="78"/>
      <c r="I16" s="82"/>
      <c r="J16" s="79"/>
      <c r="K16" s="79"/>
      <c r="L16" s="16">
        <f t="shared" si="1"/>
        <v>0</v>
      </c>
      <c r="M16" s="165">
        <f t="shared" si="0"/>
        <v>0</v>
      </c>
    </row>
    <row r="17" spans="1:13" ht="15.75" thickBot="1" x14ac:dyDescent="0.3">
      <c r="A17" s="80"/>
      <c r="B17" s="81"/>
      <c r="C17" s="81"/>
      <c r="D17" s="81"/>
      <c r="E17" s="167"/>
      <c r="F17" s="78"/>
      <c r="G17" s="78"/>
      <c r="H17" s="78"/>
      <c r="I17" s="82"/>
      <c r="J17" s="79"/>
      <c r="K17" s="79"/>
      <c r="L17" s="16">
        <f t="shared" si="1"/>
        <v>0</v>
      </c>
      <c r="M17" s="165">
        <f t="shared" si="0"/>
        <v>0</v>
      </c>
    </row>
    <row r="18" spans="1:13" ht="15.75" thickBot="1" x14ac:dyDescent="0.3">
      <c r="A18" s="80"/>
      <c r="B18" s="81"/>
      <c r="C18" s="81"/>
      <c r="D18" s="81"/>
      <c r="E18" s="167"/>
      <c r="F18" s="78"/>
      <c r="G18" s="78"/>
      <c r="H18" s="78"/>
      <c r="I18" s="82"/>
      <c r="J18" s="79"/>
      <c r="K18" s="79"/>
      <c r="L18" s="16">
        <f t="shared" si="1"/>
        <v>0</v>
      </c>
      <c r="M18" s="165">
        <f t="shared" si="0"/>
        <v>0</v>
      </c>
    </row>
    <row r="19" spans="1:13" ht="15.75" thickBot="1" x14ac:dyDescent="0.3">
      <c r="A19" s="80"/>
      <c r="B19" s="81"/>
      <c r="C19" s="81"/>
      <c r="D19" s="81"/>
      <c r="E19" s="167"/>
      <c r="F19" s="78"/>
      <c r="G19" s="78"/>
      <c r="H19" s="78"/>
      <c r="I19" s="82"/>
      <c r="J19" s="79"/>
      <c r="K19" s="79"/>
      <c r="L19" s="16">
        <f t="shared" si="1"/>
        <v>0</v>
      </c>
      <c r="M19" s="165">
        <f t="shared" si="0"/>
        <v>0</v>
      </c>
    </row>
    <row r="20" spans="1:13" ht="15.75" thickBot="1" x14ac:dyDescent="0.3">
      <c r="A20" s="53" t="s">
        <v>4</v>
      </c>
      <c r="B20" s="53"/>
      <c r="C20" s="53"/>
      <c r="D20" s="53"/>
      <c r="E20" s="83">
        <f>SUM(E9:E19)</f>
        <v>0</v>
      </c>
      <c r="F20" s="82"/>
      <c r="G20" s="82"/>
      <c r="H20" s="82"/>
      <c r="I20" s="82"/>
      <c r="J20" s="79"/>
      <c r="K20" s="53"/>
      <c r="L20" s="17">
        <f>SUM(L9:L19)</f>
        <v>0</v>
      </c>
      <c r="M20" s="166">
        <f>SUM(M9:M19)</f>
        <v>0</v>
      </c>
    </row>
    <row r="21" spans="1:13" ht="15.75" thickBot="1" x14ac:dyDescent="0.3"/>
    <row r="22" spans="1:13" ht="16.5" thickBot="1" x14ac:dyDescent="0.35">
      <c r="H22" s="291" t="s">
        <v>20</v>
      </c>
      <c r="I22" s="292"/>
      <c r="J22" s="15">
        <f>E20</f>
        <v>0</v>
      </c>
    </row>
    <row r="23" spans="1:13" ht="19.5" thickBot="1" x14ac:dyDescent="0.45">
      <c r="H23" s="279" t="s">
        <v>3</v>
      </c>
      <c r="I23" s="280"/>
      <c r="J23" s="16">
        <f>L20</f>
        <v>0</v>
      </c>
    </row>
    <row r="24" spans="1:13" ht="19.5" thickBot="1" x14ac:dyDescent="0.45">
      <c r="H24" s="279" t="s">
        <v>7</v>
      </c>
      <c r="I24" s="279"/>
      <c r="J24" s="13">
        <f>M20</f>
        <v>0</v>
      </c>
    </row>
    <row r="26" spans="1:13" ht="18.75" x14ac:dyDescent="0.25">
      <c r="D26" s="137">
        <v>45292</v>
      </c>
      <c r="E26" s="138" t="s">
        <v>47</v>
      </c>
      <c r="F26" s="138" t="s">
        <v>41</v>
      </c>
      <c r="G26" s="138" t="s">
        <v>42</v>
      </c>
      <c r="H26" s="138" t="s">
        <v>43</v>
      </c>
      <c r="I26" s="138" t="s">
        <v>44</v>
      </c>
      <c r="J26" s="139" t="s">
        <v>45</v>
      </c>
      <c r="K26" s="139" t="s">
        <v>46</v>
      </c>
    </row>
    <row r="27" spans="1:13" ht="18.75" x14ac:dyDescent="0.25">
      <c r="D27" s="140" t="s">
        <v>175</v>
      </c>
      <c r="E27" s="141" t="s">
        <v>502</v>
      </c>
      <c r="F27" s="141" t="s">
        <v>503</v>
      </c>
      <c r="G27" s="141" t="s">
        <v>504</v>
      </c>
      <c r="H27" s="141" t="s">
        <v>505</v>
      </c>
      <c r="I27" s="141" t="s">
        <v>506</v>
      </c>
      <c r="J27" s="184" t="s">
        <v>507</v>
      </c>
      <c r="K27" s="184" t="s">
        <v>508</v>
      </c>
    </row>
    <row r="40" spans="11:11" x14ac:dyDescent="0.25">
      <c r="K40" t="s">
        <v>31</v>
      </c>
    </row>
  </sheetData>
  <sheetProtection algorithmName="SHA-512" hashValue="g9F9RUlWeVd0AlLk4mPTQ4a2vrJWSLLCFl2D1wMQEVDE7iQz9HA+Y0loNjRicd5sW9SkLbndDcyL02I7ZGFReg==" saltValue="GEAczaeJ81+uSMlWU+ZLLg==" spinCount="100000" sheet="1" formatCells="0" formatColumns="0" formatRows="0" insertColumns="0" insertRows="0" insertHyperlinks="0" deleteColumns="0" deleteRows="0" sort="0" autoFilter="0" pivotTables="0"/>
  <autoFilter ref="A8:M8" xr:uid="{8A4D7AAA-36AE-413A-860A-81DC11971291}"/>
  <dataConsolidate>
    <dataRefs count="1">
      <dataRef ref="A9:A19" sheet="43 SEMANA "/>
    </dataRefs>
  </dataConsolidate>
  <mergeCells count="9">
    <mergeCell ref="H22:I22"/>
    <mergeCell ref="H23:I23"/>
    <mergeCell ref="H24:I24"/>
    <mergeCell ref="A1:B5"/>
    <mergeCell ref="C1:G2"/>
    <mergeCell ref="H1:I2"/>
    <mergeCell ref="C3:I7"/>
    <mergeCell ref="A6:B6"/>
    <mergeCell ref="A7:B7"/>
  </mergeCells>
  <phoneticPr fontId="18" type="noConversion"/>
  <conditionalFormatting sqref="E27:K27">
    <cfRule type="expression" dxfId="23" priority="1">
      <formula>IFERROR(INDEX(DiasCategorias, E27-FechaInicio+1),0)=1</formula>
    </cfRule>
    <cfRule type="expression" dxfId="22" priority="2">
      <formula>IFERROR(INDEX(DiasCategorias, E27-FechaInicio+1),0)=2</formula>
    </cfRule>
    <cfRule type="expression" dxfId="21" priority="3">
      <formula>IFERROR(INDEX(DiasCategorias, E27-FechaInicio+1),0)=3</formula>
    </cfRule>
    <cfRule type="expression" dxfId="20" priority="4">
      <formula>IFERROR(INDEX(DiasCategorias, E27-FechaInicio+1),0)=4</formula>
    </cfRule>
    <cfRule type="expression" dxfId="19" priority="5">
      <formula>IFERROR(INDEX(DiasCategorias, E27-FechaInicio+1),0)=5</formula>
    </cfRule>
    <cfRule type="expression" dxfId="18" priority="6">
      <formula>IFERROR(INDEX(DiasCategorias, E27-FechaInicio+1),0)=6</formula>
    </cfRule>
    <cfRule type="expression" dxfId="17" priority="7">
      <formula>IFERROR(INDEX(DiasCategorias, E27-FechaInicio+1),0)=7</formula>
    </cfRule>
    <cfRule type="expression" dxfId="16" priority="8">
      <formula>IFERROR(INDEX(DiasCategorias, E27-FechaInicio+1),0)=8</formula>
    </cfRule>
    <cfRule type="expression" dxfId="15" priority="9">
      <formula>IFERROR(INDEX(DiasCategorias, E27-FechaInicio+1),0)=9</formula>
    </cfRule>
    <cfRule type="expression" dxfId="14" priority="10">
      <formula>IFERROR(INDEX(DiasCategorias, E27-FechaInicio+1),0)=10</formula>
    </cfRule>
    <cfRule type="expression" dxfId="13" priority="11">
      <formula>IFERROR(INDEX(DiasCategorias, E27-FechaInicio+1),0)=11</formula>
    </cfRule>
    <cfRule type="expression" dxfId="12" priority="12">
      <formula>IFERROR(INDEX(DiasCategorias, E27-FechaInicio+1),0)=12</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C859D-9D4C-4212-BD98-AEF9371DB622}">
  <sheetPr codeName="Hoja22">
    <tabColor rgb="FF0070C0"/>
  </sheetPr>
  <dimension ref="A1:M40"/>
  <sheetViews>
    <sheetView zoomScaleNormal="100" workbookViewId="0">
      <selection activeCell="M34" sqref="M34"/>
    </sheetView>
  </sheetViews>
  <sheetFormatPr baseColWidth="10" defaultRowHeight="15" x14ac:dyDescent="0.25"/>
  <cols>
    <col min="2" max="2" width="9.140625" customWidth="1"/>
    <col min="3" max="3" width="27.5703125" bestFit="1" customWidth="1"/>
    <col min="4" max="4" width="14.7109375" bestFit="1" customWidth="1"/>
    <col min="6" max="6" width="14.28515625" customWidth="1"/>
    <col min="10" max="10" width="12.85546875" bestFit="1" customWidth="1"/>
    <col min="11" max="11" width="14.7109375" customWidth="1"/>
  </cols>
  <sheetData>
    <row r="1" spans="1:13" ht="15" customHeight="1" x14ac:dyDescent="0.25">
      <c r="A1" s="268"/>
      <c r="B1" s="268"/>
      <c r="C1" s="281" t="s">
        <v>8</v>
      </c>
      <c r="D1" s="282"/>
      <c r="E1" s="282"/>
      <c r="F1" s="282"/>
      <c r="G1" s="283"/>
      <c r="H1" s="288"/>
      <c r="I1" s="289"/>
    </row>
    <row r="2" spans="1:13" ht="15.75" customHeight="1" thickBot="1" x14ac:dyDescent="0.3">
      <c r="A2" s="268"/>
      <c r="B2" s="268"/>
      <c r="C2" s="285"/>
      <c r="D2" s="286"/>
      <c r="E2" s="286"/>
      <c r="F2" s="286"/>
      <c r="G2" s="287"/>
      <c r="H2" s="288"/>
      <c r="I2" s="289"/>
    </row>
    <row r="3" spans="1:13" x14ac:dyDescent="0.25">
      <c r="A3" s="268"/>
      <c r="B3" s="268"/>
      <c r="C3" s="268"/>
      <c r="D3" s="268"/>
      <c r="E3" s="268"/>
      <c r="F3" s="268"/>
      <c r="G3" s="268"/>
      <c r="H3" s="268"/>
      <c r="I3" s="268"/>
    </row>
    <row r="4" spans="1:13" x14ac:dyDescent="0.25">
      <c r="A4" s="268"/>
      <c r="B4" s="268"/>
      <c r="C4" s="268"/>
      <c r="D4" s="268"/>
      <c r="E4" s="268"/>
      <c r="F4" s="268"/>
      <c r="G4" s="268"/>
      <c r="H4" s="268"/>
      <c r="I4" s="268"/>
    </row>
    <row r="5" spans="1:13" ht="3" customHeight="1" x14ac:dyDescent="0.25">
      <c r="A5" s="268"/>
      <c r="B5" s="268"/>
      <c r="C5" s="268"/>
      <c r="D5" s="268"/>
      <c r="E5" s="268"/>
      <c r="F5" s="268"/>
      <c r="G5" s="268"/>
      <c r="H5" s="268"/>
      <c r="I5" s="268"/>
    </row>
    <row r="6" spans="1:13" ht="38.25" customHeight="1" x14ac:dyDescent="0.25">
      <c r="A6" s="290" t="s">
        <v>96</v>
      </c>
      <c r="B6" s="290"/>
      <c r="C6" s="268"/>
      <c r="D6" s="268"/>
      <c r="E6" s="268"/>
      <c r="F6" s="268"/>
      <c r="G6" s="268"/>
      <c r="H6" s="268"/>
      <c r="I6" s="268"/>
    </row>
    <row r="7" spans="1:13" ht="15.75" customHeight="1" thickBot="1" x14ac:dyDescent="0.3">
      <c r="A7" s="297"/>
      <c r="B7" s="297"/>
      <c r="C7" s="296"/>
      <c r="D7" s="296"/>
      <c r="E7" s="296"/>
      <c r="F7" s="296"/>
      <c r="G7" s="296"/>
      <c r="H7" s="296"/>
      <c r="I7" s="296"/>
    </row>
    <row r="8" spans="1:13" ht="15.75" thickBot="1" x14ac:dyDescent="0.3">
      <c r="A8" s="10" t="s">
        <v>14</v>
      </c>
      <c r="B8" s="10" t="s">
        <v>15</v>
      </c>
      <c r="C8" s="10" t="s">
        <v>16</v>
      </c>
      <c r="D8" s="10" t="s">
        <v>114</v>
      </c>
      <c r="E8" s="11" t="s">
        <v>17</v>
      </c>
      <c r="F8" s="10" t="s">
        <v>95</v>
      </c>
      <c r="G8" s="10" t="s">
        <v>58</v>
      </c>
      <c r="H8" s="10" t="s">
        <v>60</v>
      </c>
      <c r="I8" s="10" t="s">
        <v>59</v>
      </c>
      <c r="J8" s="10" t="s">
        <v>61</v>
      </c>
      <c r="K8" s="10" t="s">
        <v>62</v>
      </c>
      <c r="L8" s="11" t="s">
        <v>4</v>
      </c>
      <c r="M8" s="174" t="s">
        <v>18</v>
      </c>
    </row>
    <row r="9" spans="1:13" ht="15.75" thickBot="1" x14ac:dyDescent="0.3">
      <c r="A9" s="80"/>
      <c r="B9" s="81"/>
      <c r="C9" s="81"/>
      <c r="D9" s="81"/>
      <c r="E9" s="167"/>
      <c r="F9" s="78"/>
      <c r="G9" s="78"/>
      <c r="H9" s="79"/>
      <c r="I9" s="79"/>
      <c r="J9" s="79"/>
      <c r="K9" s="79"/>
      <c r="L9" s="16">
        <f>F9+G9+H9+I9+K9+J9</f>
        <v>0</v>
      </c>
      <c r="M9" s="165">
        <f t="shared" ref="M9:M19" si="0">E9-L9</f>
        <v>0</v>
      </c>
    </row>
    <row r="10" spans="1:13" ht="15.75" thickBot="1" x14ac:dyDescent="0.3">
      <c r="A10" s="80"/>
      <c r="B10" s="81"/>
      <c r="C10" s="81"/>
      <c r="D10" s="81"/>
      <c r="E10" s="167"/>
      <c r="F10" s="78"/>
      <c r="G10" s="78"/>
      <c r="H10" s="78"/>
      <c r="I10" s="82"/>
      <c r="J10" s="82"/>
      <c r="K10" s="79"/>
      <c r="L10" s="16">
        <f t="shared" ref="L10:L19" si="1">F10+G10+H10+I10+K10+J10</f>
        <v>0</v>
      </c>
      <c r="M10" s="165">
        <f t="shared" si="0"/>
        <v>0</v>
      </c>
    </row>
    <row r="11" spans="1:13" ht="15.75" thickBot="1" x14ac:dyDescent="0.3">
      <c r="A11" s="80"/>
      <c r="B11" s="81"/>
      <c r="C11" s="81"/>
      <c r="D11" s="81"/>
      <c r="E11" s="167"/>
      <c r="F11" s="78"/>
      <c r="G11" s="78"/>
      <c r="H11" s="78"/>
      <c r="I11" s="82"/>
      <c r="J11" s="82"/>
      <c r="K11" s="79"/>
      <c r="L11" s="16">
        <f t="shared" si="1"/>
        <v>0</v>
      </c>
      <c r="M11" s="165">
        <f t="shared" si="0"/>
        <v>0</v>
      </c>
    </row>
    <row r="12" spans="1:13" ht="15.75" thickBot="1" x14ac:dyDescent="0.3">
      <c r="A12" s="80"/>
      <c r="B12" s="81"/>
      <c r="C12" s="81"/>
      <c r="D12" s="81"/>
      <c r="E12" s="167"/>
      <c r="F12" s="78"/>
      <c r="G12" s="78"/>
      <c r="H12" s="78"/>
      <c r="I12" s="82"/>
      <c r="J12" s="82"/>
      <c r="K12" s="79"/>
      <c r="L12" s="16">
        <f t="shared" si="1"/>
        <v>0</v>
      </c>
      <c r="M12" s="165">
        <f t="shared" si="0"/>
        <v>0</v>
      </c>
    </row>
    <row r="13" spans="1:13" ht="15.75" thickBot="1" x14ac:dyDescent="0.3">
      <c r="A13" s="80"/>
      <c r="B13" s="81"/>
      <c r="C13" s="81"/>
      <c r="D13" s="81"/>
      <c r="E13" s="167"/>
      <c r="F13" s="78"/>
      <c r="G13" s="78"/>
      <c r="H13" s="78"/>
      <c r="I13" s="82"/>
      <c r="J13" s="82"/>
      <c r="K13" s="79"/>
      <c r="L13" s="16">
        <f t="shared" si="1"/>
        <v>0</v>
      </c>
      <c r="M13" s="165">
        <f t="shared" si="0"/>
        <v>0</v>
      </c>
    </row>
    <row r="14" spans="1:13" ht="15.75" thickBot="1" x14ac:dyDescent="0.3">
      <c r="A14" s="80"/>
      <c r="B14" s="81"/>
      <c r="C14" s="81"/>
      <c r="D14" s="81"/>
      <c r="E14" s="167"/>
      <c r="F14" s="78"/>
      <c r="G14" s="78"/>
      <c r="H14" s="78"/>
      <c r="I14" s="82"/>
      <c r="J14" s="82"/>
      <c r="K14" s="79"/>
      <c r="L14" s="16">
        <f t="shared" si="1"/>
        <v>0</v>
      </c>
      <c r="M14" s="165">
        <f t="shared" si="0"/>
        <v>0</v>
      </c>
    </row>
    <row r="15" spans="1:13" ht="15.75" thickBot="1" x14ac:dyDescent="0.3">
      <c r="A15" s="80"/>
      <c r="B15" s="81"/>
      <c r="C15" s="81"/>
      <c r="D15" s="81"/>
      <c r="E15" s="167"/>
      <c r="F15" s="78"/>
      <c r="G15" s="78"/>
      <c r="H15" s="78"/>
      <c r="I15" s="82"/>
      <c r="J15" s="82"/>
      <c r="K15" s="79"/>
      <c r="L15" s="16">
        <f t="shared" si="1"/>
        <v>0</v>
      </c>
      <c r="M15" s="165">
        <f t="shared" si="0"/>
        <v>0</v>
      </c>
    </row>
    <row r="16" spans="1:13" ht="15.75" thickBot="1" x14ac:dyDescent="0.3">
      <c r="A16" s="80"/>
      <c r="B16" s="81"/>
      <c r="C16" s="81"/>
      <c r="D16" s="81"/>
      <c r="E16" s="167"/>
      <c r="F16" s="78"/>
      <c r="G16" s="78"/>
      <c r="H16" s="78"/>
      <c r="I16" s="82"/>
      <c r="J16" s="82"/>
      <c r="K16" s="79"/>
      <c r="L16" s="16">
        <f t="shared" si="1"/>
        <v>0</v>
      </c>
      <c r="M16" s="165">
        <f t="shared" si="0"/>
        <v>0</v>
      </c>
    </row>
    <row r="17" spans="1:13" ht="15.75" thickBot="1" x14ac:dyDescent="0.3">
      <c r="A17" s="80"/>
      <c r="B17" s="81"/>
      <c r="C17" s="81"/>
      <c r="D17" s="81"/>
      <c r="E17" s="167"/>
      <c r="F17" s="78"/>
      <c r="G17" s="78"/>
      <c r="H17" s="78"/>
      <c r="I17" s="82"/>
      <c r="J17" s="82"/>
      <c r="K17" s="79"/>
      <c r="L17" s="16">
        <f t="shared" si="1"/>
        <v>0</v>
      </c>
      <c r="M17" s="165">
        <f t="shared" si="0"/>
        <v>0</v>
      </c>
    </row>
    <row r="18" spans="1:13" ht="15.75" thickBot="1" x14ac:dyDescent="0.3">
      <c r="A18" s="80"/>
      <c r="B18" s="81"/>
      <c r="C18" s="81"/>
      <c r="D18" s="81"/>
      <c r="E18" s="167"/>
      <c r="F18" s="78"/>
      <c r="G18" s="78"/>
      <c r="H18" s="78"/>
      <c r="I18" s="82"/>
      <c r="J18" s="82"/>
      <c r="K18" s="79"/>
      <c r="L18" s="16">
        <f t="shared" si="1"/>
        <v>0</v>
      </c>
      <c r="M18" s="165">
        <f t="shared" si="0"/>
        <v>0</v>
      </c>
    </row>
    <row r="19" spans="1:13" ht="15.75" thickBot="1" x14ac:dyDescent="0.3">
      <c r="A19" s="80"/>
      <c r="B19" s="81"/>
      <c r="C19" s="81"/>
      <c r="D19" s="81"/>
      <c r="E19" s="167"/>
      <c r="F19" s="78"/>
      <c r="G19" s="78"/>
      <c r="H19" s="78"/>
      <c r="I19" s="82"/>
      <c r="J19" s="82"/>
      <c r="K19" s="79"/>
      <c r="L19" s="16">
        <f t="shared" si="1"/>
        <v>0</v>
      </c>
      <c r="M19" s="165">
        <f t="shared" si="0"/>
        <v>0</v>
      </c>
    </row>
    <row r="20" spans="1:13" ht="15.75" thickBot="1" x14ac:dyDescent="0.3">
      <c r="A20" t="s">
        <v>4</v>
      </c>
      <c r="E20" s="16">
        <f>SUM(E9:E19)</f>
        <v>0</v>
      </c>
      <c r="F20" s="14"/>
      <c r="G20" s="14"/>
      <c r="H20" s="14"/>
      <c r="I20" s="14"/>
      <c r="J20" s="14"/>
      <c r="K20" s="10"/>
      <c r="L20" s="17">
        <f>SUM(L9:L19)</f>
        <v>0</v>
      </c>
      <c r="M20" s="166">
        <f>SUM(M9:M19)</f>
        <v>0</v>
      </c>
    </row>
    <row r="21" spans="1:13" ht="15.75" thickBot="1" x14ac:dyDescent="0.3"/>
    <row r="22" spans="1:13" ht="16.5" thickBot="1" x14ac:dyDescent="0.35">
      <c r="H22" s="291" t="s">
        <v>20</v>
      </c>
      <c r="I22" s="292"/>
      <c r="J22" s="15">
        <f>E20</f>
        <v>0</v>
      </c>
    </row>
    <row r="23" spans="1:13" ht="19.5" thickBot="1" x14ac:dyDescent="0.45">
      <c r="H23" s="279" t="s">
        <v>3</v>
      </c>
      <c r="I23" s="280"/>
      <c r="J23" s="16">
        <f>L20</f>
        <v>0</v>
      </c>
    </row>
    <row r="24" spans="1:13" ht="19.5" thickBot="1" x14ac:dyDescent="0.45">
      <c r="H24" s="279" t="s">
        <v>7</v>
      </c>
      <c r="I24" s="279"/>
      <c r="J24" s="13">
        <f>M20</f>
        <v>0</v>
      </c>
    </row>
    <row r="26" spans="1:13" ht="18.75" x14ac:dyDescent="0.25">
      <c r="D26" s="137">
        <v>45292</v>
      </c>
      <c r="E26" s="138" t="s">
        <v>47</v>
      </c>
      <c r="F26" s="138" t="s">
        <v>41</v>
      </c>
      <c r="G26" s="138" t="s">
        <v>42</v>
      </c>
      <c r="H26" s="138" t="s">
        <v>43</v>
      </c>
      <c r="I26" s="138" t="s">
        <v>44</v>
      </c>
      <c r="J26" s="139" t="s">
        <v>45</v>
      </c>
      <c r="K26" s="139" t="s">
        <v>46</v>
      </c>
    </row>
    <row r="27" spans="1:13" ht="18.75" x14ac:dyDescent="0.25">
      <c r="D27" s="140" t="s">
        <v>176</v>
      </c>
      <c r="E27" s="141" t="s">
        <v>509</v>
      </c>
      <c r="F27" s="141" t="s">
        <v>510</v>
      </c>
      <c r="G27" s="141" t="s">
        <v>511</v>
      </c>
      <c r="H27" s="141" t="s">
        <v>512</v>
      </c>
      <c r="I27" s="141" t="s">
        <v>513</v>
      </c>
      <c r="J27" s="184" t="s">
        <v>514</v>
      </c>
      <c r="K27" s="184" t="s">
        <v>515</v>
      </c>
    </row>
    <row r="40" spans="11:11" x14ac:dyDescent="0.25">
      <c r="K40" t="s">
        <v>31</v>
      </c>
    </row>
  </sheetData>
  <sheetProtection algorithmName="SHA-512" hashValue="GrSB47mmmKGPkFOxLp1V7a8hRkRKb27zhYEl1UNcRiX487cZ0GyFlPacU5N8faB+U+dOjnZHN/Bexb8kjhd+Dw==" saltValue="gwVRv0bngMVDc+nmHIdslA==" spinCount="100000" sheet="1" formatCells="0" formatColumns="0" formatRows="0" insertColumns="0" insertRows="0" insertHyperlinks="0" deleteColumns="0" deleteRows="0" sort="0" autoFilter="0" pivotTables="0"/>
  <autoFilter ref="A8:M8" xr:uid="{622C859D-9D4C-4212-BD98-AEF9371DB622}"/>
  <dataConsolidate>
    <dataRefs count="1">
      <dataRef ref="A9:A19" sheet="43 SEMANA "/>
    </dataRefs>
  </dataConsolidate>
  <mergeCells count="8">
    <mergeCell ref="H22:I22"/>
    <mergeCell ref="H23:I23"/>
    <mergeCell ref="H24:I24"/>
    <mergeCell ref="A1:B5"/>
    <mergeCell ref="C1:G2"/>
    <mergeCell ref="H1:I2"/>
    <mergeCell ref="C3:I7"/>
    <mergeCell ref="A6:B7"/>
  </mergeCells>
  <phoneticPr fontId="18" type="noConversion"/>
  <conditionalFormatting sqref="E27:K27">
    <cfRule type="expression" dxfId="11" priority="1">
      <formula>IFERROR(INDEX(DiasCategorias, E27-FechaInicio+1),0)=1</formula>
    </cfRule>
    <cfRule type="expression" dxfId="10" priority="2">
      <formula>IFERROR(INDEX(DiasCategorias, E27-FechaInicio+1),0)=2</formula>
    </cfRule>
    <cfRule type="expression" dxfId="9" priority="3">
      <formula>IFERROR(INDEX(DiasCategorias, E27-FechaInicio+1),0)=3</formula>
    </cfRule>
    <cfRule type="expression" dxfId="8" priority="4">
      <formula>IFERROR(INDEX(DiasCategorias, E27-FechaInicio+1),0)=4</formula>
    </cfRule>
    <cfRule type="expression" dxfId="7" priority="5">
      <formula>IFERROR(INDEX(DiasCategorias, E27-FechaInicio+1),0)=5</formula>
    </cfRule>
    <cfRule type="expression" dxfId="6" priority="6">
      <formula>IFERROR(INDEX(DiasCategorias, E27-FechaInicio+1),0)=6</formula>
    </cfRule>
    <cfRule type="expression" dxfId="5" priority="7">
      <formula>IFERROR(INDEX(DiasCategorias, E27-FechaInicio+1),0)=7</formula>
    </cfRule>
    <cfRule type="expression" dxfId="4" priority="8">
      <formula>IFERROR(INDEX(DiasCategorias, E27-FechaInicio+1),0)=8</formula>
    </cfRule>
    <cfRule type="expression" dxfId="3" priority="9">
      <formula>IFERROR(INDEX(DiasCategorias, E27-FechaInicio+1),0)=9</formula>
    </cfRule>
    <cfRule type="expression" dxfId="2" priority="10">
      <formula>IFERROR(INDEX(DiasCategorias, E27-FechaInicio+1),0)=10</formula>
    </cfRule>
    <cfRule type="expression" dxfId="1" priority="11">
      <formula>IFERROR(INDEX(DiasCategorias, E27-FechaInicio+1),0)=11</formula>
    </cfRule>
    <cfRule type="expression" dxfId="0" priority="12">
      <formula>IFERROR(INDEX(DiasCategorias, E27-FechaInicio+1),0)=12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58</vt:i4>
      </vt:variant>
      <vt:variant>
        <vt:lpstr>Rangos con nombre</vt:lpstr>
      </vt:variant>
      <vt:variant>
        <vt:i4>1</vt:i4>
      </vt:variant>
    </vt:vector>
  </HeadingPairs>
  <TitlesOfParts>
    <vt:vector size="59" baseType="lpstr">
      <vt:lpstr>INSTRUCTIVO</vt:lpstr>
      <vt:lpstr>PRESTAMOS AL PERSONAL </vt:lpstr>
      <vt:lpstr>POR EMPLEADO</vt:lpstr>
      <vt:lpstr>SALDOS INICIALES</vt:lpstr>
      <vt:lpstr>POR SEMANA</vt:lpstr>
      <vt:lpstr>CALENDARIO</vt:lpstr>
      <vt:lpstr>01 SEMANA </vt:lpstr>
      <vt:lpstr>02 SEMANA</vt:lpstr>
      <vt:lpstr>03 SEMANA</vt:lpstr>
      <vt:lpstr>04 SEMANA</vt:lpstr>
      <vt:lpstr>05 SEMANA</vt:lpstr>
      <vt:lpstr>06 SEMANA</vt:lpstr>
      <vt:lpstr>07 SEMANA</vt:lpstr>
      <vt:lpstr>08 SEMANA</vt:lpstr>
      <vt:lpstr>09 SEMANA</vt:lpstr>
      <vt:lpstr>10 SEMANA </vt:lpstr>
      <vt:lpstr>11 SEMANA</vt:lpstr>
      <vt:lpstr>12 SEMANA</vt:lpstr>
      <vt:lpstr>13 SEMANA</vt:lpstr>
      <vt:lpstr>14 SEMANA </vt:lpstr>
      <vt:lpstr>15 SEMANA</vt:lpstr>
      <vt:lpstr>16 SEMANA </vt:lpstr>
      <vt:lpstr>17 SEMANA </vt:lpstr>
      <vt:lpstr>18 SEMANA </vt:lpstr>
      <vt:lpstr>19 SEMANA </vt:lpstr>
      <vt:lpstr>20 SEMANA</vt:lpstr>
      <vt:lpstr>21 SEMANA</vt:lpstr>
      <vt:lpstr>22 SEMANA</vt:lpstr>
      <vt:lpstr>23 SEMANA </vt:lpstr>
      <vt:lpstr>24 SEMANA </vt:lpstr>
      <vt:lpstr>25 SEMANA </vt:lpstr>
      <vt:lpstr>26 SEMANA</vt:lpstr>
      <vt:lpstr>27 SEMANA</vt:lpstr>
      <vt:lpstr>28 SEMANA </vt:lpstr>
      <vt:lpstr>29 SEMANA </vt:lpstr>
      <vt:lpstr>30 SEMANA </vt:lpstr>
      <vt:lpstr>31 SEMANA </vt:lpstr>
      <vt:lpstr>32 SEMANA </vt:lpstr>
      <vt:lpstr>33 SEMANA </vt:lpstr>
      <vt:lpstr>34 SEMANA</vt:lpstr>
      <vt:lpstr>35 SEMANA </vt:lpstr>
      <vt:lpstr>36 SEMANA </vt:lpstr>
      <vt:lpstr>37 SEMANA</vt:lpstr>
      <vt:lpstr>38 SEMANA</vt:lpstr>
      <vt:lpstr>39 SEMANA</vt:lpstr>
      <vt:lpstr>40 SEMANA</vt:lpstr>
      <vt:lpstr>41 SEMANA</vt:lpstr>
      <vt:lpstr>42 SEMANA </vt:lpstr>
      <vt:lpstr>43 SEMANA </vt:lpstr>
      <vt:lpstr>44 SEMANA</vt:lpstr>
      <vt:lpstr>45 SEMANA</vt:lpstr>
      <vt:lpstr>46 SEMANA </vt:lpstr>
      <vt:lpstr>47 SEMANA </vt:lpstr>
      <vt:lpstr>48 SEMANA </vt:lpstr>
      <vt:lpstr>49 SEMANA</vt:lpstr>
      <vt:lpstr>50 SEMANA</vt:lpstr>
      <vt:lpstr>51 SEMANA</vt:lpstr>
      <vt:lpstr>52 SEMANA </vt:lpstr>
      <vt:lpstr>'PRESTAMOS AL PERSONAL '!Área_de_impresión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ALMACEN</dc:creator>
  <cp:lastModifiedBy>Eduardo Lozada</cp:lastModifiedBy>
  <cp:lastPrinted>2025-07-23T22:23:23Z</cp:lastPrinted>
  <dcterms:created xsi:type="dcterms:W3CDTF">2023-09-13T20:22:50Z</dcterms:created>
  <dcterms:modified xsi:type="dcterms:W3CDTF">2026-02-24T20:49:07Z</dcterms:modified>
</cp:coreProperties>
</file>